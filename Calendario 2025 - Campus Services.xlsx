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antandernet.sharepoint.com/sites/NetworkGlobalPlatform/Shared Documents/Campus and Branches/ES/Documentación General/Control de Guardias/"/>
    </mc:Choice>
  </mc:AlternateContent>
  <xr:revisionPtr revIDLastSave="11306" documentId="6_{BB7F3912-99DC-405E-AFC9-A3345B571FAA}" xr6:coauthVersionLast="47" xr6:coauthVersionMax="47" xr10:uidLastSave="{22CDC2DF-D853-4730-B3FC-B0646EC9A93B}"/>
  <bookViews>
    <workbookView xWindow="-120" yWindow="-120" windowWidth="29040" windowHeight="15720" tabRatio="953" firstSheet="12" activeTab="19" xr2:uid="{00000000-000D-0000-FFFF-FFFF00000000}"/>
  </bookViews>
  <sheets>
    <sheet name="CALENDARIO 2020" sheetId="1" state="hidden" r:id="rId1"/>
    <sheet name="Guardias Voz" sheetId="25" r:id="rId2"/>
    <sheet name="Guardias Internos Network" sheetId="5" state="hidden" r:id="rId3"/>
    <sheet name="Guardias Networking 2026" sheetId="32" r:id="rId4"/>
    <sheet name="Guardias Networking 2025" sheetId="27" r:id="rId5"/>
    <sheet name="TT NAVIDADES 2025-2026" sheetId="31" r:id="rId6"/>
    <sheet name="Hoja2" sheetId="26" r:id="rId7"/>
    <sheet name="Intervenciones NyM" sheetId="8" r:id="rId8"/>
    <sheet name="Cuadrante Móvil Guardia Network" sheetId="16" r:id="rId9"/>
    <sheet name="TURNOS TELETRABAJO NETWORK" sheetId="20" r:id="rId10"/>
    <sheet name="Intervenciones Networking" sheetId="3" state="hidden" r:id="rId11"/>
    <sheet name="Contactos Genericos" sheetId="14" r:id="rId12"/>
    <sheet name="Turnos Servicio Network 2026" sheetId="30" r:id="rId13"/>
    <sheet name="Vacaciones Servicio" sheetId="33" r:id="rId14"/>
    <sheet name="Turnos Tardes Verano 2025" sheetId="29" r:id="rId15"/>
    <sheet name="Listado Personas" sheetId="9" r:id="rId16"/>
    <sheet name="Calendario Interven Formu" sheetId="12" state="hidden" r:id="rId17"/>
    <sheet name="Hoja1" sheetId="6" state="hidden" r:id="rId18"/>
    <sheet name="Contactos Internos" sheetId="13" r:id="rId19"/>
    <sheet name="Contactos Servicio" sheetId="22" r:id="rId20"/>
    <sheet name="Turnos Servicio Network 2025" sheetId="24" r:id="rId21"/>
    <sheet name="Turnos Servicio 2024" sheetId="28" r:id="rId22"/>
  </sheets>
  <definedNames>
    <definedName name="_xlnm._FilterDatabase" localSheetId="16" hidden="1">'Calendario Interven Formu'!$A$1:$J$596</definedName>
    <definedName name="_xlnm._FilterDatabase" localSheetId="18" hidden="1">'Contactos Internos'!$A$4:$J$20</definedName>
    <definedName name="_xlnm._FilterDatabase" localSheetId="7" hidden="1">'Intervenciones NyM'!$A$1:$K$1</definedName>
    <definedName name="_xlnm._FilterDatabase" localSheetId="5" hidden="1">'TT NAVIDADES 2025-2026'!$A$2:$AJ$2</definedName>
    <definedName name="_xlnm._FilterDatabase" localSheetId="9" hidden="1">'TURNOS TELETRABAJO NETWORK'!$A$35:$G$47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9" i="30" l="1"/>
  <c r="AS20" i="30"/>
  <c r="AS21" i="30"/>
  <c r="AS22" i="30"/>
  <c r="AS23" i="30"/>
  <c r="AS24" i="30"/>
  <c r="AS25" i="30"/>
  <c r="AS26" i="30"/>
  <c r="AS19" i="30"/>
  <c r="AJ110" i="30"/>
  <c r="AJ109" i="30"/>
  <c r="AJ108" i="30"/>
  <c r="AJ107" i="30"/>
  <c r="AJ106" i="30"/>
  <c r="AJ105" i="30"/>
  <c r="AJ104" i="30"/>
  <c r="AJ103" i="30"/>
  <c r="AJ98" i="30"/>
  <c r="AJ97" i="30"/>
  <c r="AJ96" i="30"/>
  <c r="AJ95" i="30"/>
  <c r="AJ94" i="30"/>
  <c r="AJ93" i="30"/>
  <c r="AJ92" i="30"/>
  <c r="AJ91" i="30"/>
  <c r="AJ55" i="30"/>
  <c r="AK55" i="30"/>
  <c r="AL55" i="30"/>
  <c r="AJ56" i="30"/>
  <c r="AK56" i="30"/>
  <c r="AL56" i="30"/>
  <c r="AJ57" i="30"/>
  <c r="AK57" i="30"/>
  <c r="AL57" i="30"/>
  <c r="AJ58" i="30"/>
  <c r="AK58" i="30"/>
  <c r="AL58" i="30"/>
  <c r="AJ59" i="30"/>
  <c r="AK59" i="30"/>
  <c r="AL59" i="30"/>
  <c r="AJ60" i="30"/>
  <c r="AK60" i="30"/>
  <c r="AL60" i="30"/>
  <c r="AJ61" i="30"/>
  <c r="AK61" i="30"/>
  <c r="AL61" i="30"/>
  <c r="AJ62" i="30"/>
  <c r="AK62" i="30"/>
  <c r="AL62" i="30"/>
  <c r="AJ67" i="30"/>
  <c r="AK67" i="30"/>
  <c r="AL67" i="30"/>
  <c r="AJ68" i="30"/>
  <c r="AK68" i="30"/>
  <c r="AL68" i="30"/>
  <c r="AJ69" i="30"/>
  <c r="AK69" i="30"/>
  <c r="AL69" i="30"/>
  <c r="AJ70" i="30"/>
  <c r="AK70" i="30"/>
  <c r="AL70" i="30"/>
  <c r="AJ71" i="30"/>
  <c r="AK71" i="30"/>
  <c r="AL71" i="30"/>
  <c r="AJ72" i="30"/>
  <c r="AK72" i="30"/>
  <c r="AL72" i="30"/>
  <c r="AJ73" i="30"/>
  <c r="AK73" i="30"/>
  <c r="AL73" i="30"/>
  <c r="AJ74" i="30"/>
  <c r="AK74" i="30"/>
  <c r="AL74" i="30"/>
  <c r="AJ79" i="30"/>
  <c r="AK79" i="30"/>
  <c r="AL79" i="30"/>
  <c r="AJ80" i="30"/>
  <c r="AK80" i="30"/>
  <c r="AL80" i="30"/>
  <c r="AJ81" i="30"/>
  <c r="AK81" i="30"/>
  <c r="AL81" i="30"/>
  <c r="AJ82" i="30"/>
  <c r="AK82" i="30"/>
  <c r="AL82" i="30"/>
  <c r="AJ83" i="30"/>
  <c r="AK83" i="30"/>
  <c r="AL83" i="30"/>
  <c r="AJ84" i="30"/>
  <c r="AK84" i="30"/>
  <c r="AL84" i="30"/>
  <c r="AJ85" i="30"/>
  <c r="AK85" i="30"/>
  <c r="AL85" i="30"/>
  <c r="AJ86" i="30"/>
  <c r="AK86" i="30"/>
  <c r="AL86" i="30"/>
  <c r="AK91" i="30"/>
  <c r="AL91" i="30"/>
  <c r="AK92" i="30"/>
  <c r="AL92" i="30"/>
  <c r="AK93" i="30"/>
  <c r="AL93" i="30"/>
  <c r="AK94" i="30"/>
  <c r="AL94" i="30"/>
  <c r="AK95" i="30"/>
  <c r="AL95" i="30"/>
  <c r="AK96" i="30"/>
  <c r="AL96" i="30"/>
  <c r="AK97" i="30"/>
  <c r="AL97" i="30"/>
  <c r="AK98" i="30"/>
  <c r="AL98" i="30"/>
  <c r="AK103" i="30"/>
  <c r="AL103" i="30"/>
  <c r="AK104" i="30"/>
  <c r="AL104" i="30"/>
  <c r="AK105" i="30"/>
  <c r="AL105" i="30"/>
  <c r="AK106" i="30"/>
  <c r="AL106" i="30"/>
  <c r="AK107" i="30"/>
  <c r="AL107" i="30"/>
  <c r="AK108" i="30"/>
  <c r="AL108" i="30"/>
  <c r="AK109" i="30"/>
  <c r="AL109" i="30"/>
  <c r="AK110" i="30"/>
  <c r="AL110" i="30"/>
  <c r="AJ115" i="30"/>
  <c r="AK115" i="30"/>
  <c r="AL115" i="30"/>
  <c r="AJ116" i="30"/>
  <c r="AK116" i="30"/>
  <c r="AL116" i="30"/>
  <c r="AJ117" i="30"/>
  <c r="AK117" i="30"/>
  <c r="AL117" i="30"/>
  <c r="AJ118" i="30"/>
  <c r="AK118" i="30"/>
  <c r="AL118" i="30"/>
  <c r="AJ119" i="30"/>
  <c r="AK119" i="30"/>
  <c r="AL119" i="30"/>
  <c r="AJ120" i="30"/>
  <c r="AK120" i="30"/>
  <c r="AL120" i="30"/>
  <c r="AJ121" i="30"/>
  <c r="AK121" i="30"/>
  <c r="AL121" i="30"/>
  <c r="AJ122" i="30"/>
  <c r="AK122" i="30"/>
  <c r="AL122" i="30"/>
  <c r="AJ127" i="30"/>
  <c r="AK127" i="30"/>
  <c r="AL127" i="30"/>
  <c r="AJ128" i="30"/>
  <c r="AK128" i="30"/>
  <c r="AL128" i="30"/>
  <c r="AJ129" i="30"/>
  <c r="AK129" i="30"/>
  <c r="AL129" i="30"/>
  <c r="AJ130" i="30"/>
  <c r="AK130" i="30"/>
  <c r="AL130" i="30"/>
  <c r="AJ131" i="30"/>
  <c r="AK131" i="30"/>
  <c r="AL131" i="30"/>
  <c r="AJ132" i="30"/>
  <c r="AK132" i="30"/>
  <c r="AL132" i="30"/>
  <c r="AJ133" i="30"/>
  <c r="AK133" i="30"/>
  <c r="AL133" i="30"/>
  <c r="AJ134" i="30"/>
  <c r="AK134" i="30"/>
  <c r="AL134" i="30"/>
  <c r="AJ139" i="30"/>
  <c r="AK139" i="30"/>
  <c r="AL139" i="30"/>
  <c r="AJ140" i="30"/>
  <c r="AK140" i="30"/>
  <c r="AL140" i="30"/>
  <c r="AJ141" i="30"/>
  <c r="AK141" i="30"/>
  <c r="AL141" i="30"/>
  <c r="AJ142" i="30"/>
  <c r="AK142" i="30"/>
  <c r="AL142" i="30"/>
  <c r="AJ143" i="30"/>
  <c r="AK143" i="30"/>
  <c r="AL143" i="30"/>
  <c r="AJ144" i="30"/>
  <c r="AK144" i="30"/>
  <c r="AL144" i="30"/>
  <c r="AJ145" i="30"/>
  <c r="AK145" i="30"/>
  <c r="AL145" i="30"/>
  <c r="AJ146" i="30"/>
  <c r="AK146" i="30"/>
  <c r="AL146" i="30"/>
  <c r="AJ151" i="30"/>
  <c r="AK151" i="30"/>
  <c r="AL151" i="30"/>
  <c r="AJ152" i="30"/>
  <c r="AK152" i="30"/>
  <c r="AL152" i="30"/>
  <c r="AJ153" i="30"/>
  <c r="AK153" i="30"/>
  <c r="AL153" i="30"/>
  <c r="AJ154" i="30"/>
  <c r="AK154" i="30"/>
  <c r="AL154" i="30"/>
  <c r="AJ155" i="30"/>
  <c r="AK155" i="30"/>
  <c r="AL155" i="30"/>
  <c r="AJ156" i="30"/>
  <c r="AK156" i="30"/>
  <c r="AL156" i="30"/>
  <c r="AJ157" i="30"/>
  <c r="AK157" i="30"/>
  <c r="AL157" i="30"/>
  <c r="AJ158" i="30"/>
  <c r="AK158" i="30"/>
  <c r="AL158" i="30"/>
  <c r="AJ43" i="30"/>
  <c r="AK43" i="30"/>
  <c r="AL43" i="30"/>
  <c r="AJ44" i="30"/>
  <c r="AK44" i="30"/>
  <c r="AL44" i="30"/>
  <c r="AJ45" i="30"/>
  <c r="AK45" i="30"/>
  <c r="AL45" i="30"/>
  <c r="AJ46" i="30"/>
  <c r="AK46" i="30"/>
  <c r="AL46" i="30"/>
  <c r="AJ47" i="30"/>
  <c r="AK47" i="30"/>
  <c r="AL47" i="30"/>
  <c r="AJ48" i="30"/>
  <c r="AK48" i="30"/>
  <c r="AL48" i="30"/>
  <c r="AJ49" i="30"/>
  <c r="AK49" i="30"/>
  <c r="AL49" i="30"/>
  <c r="AJ50" i="30"/>
  <c r="AK50" i="30"/>
  <c r="AL50" i="30"/>
  <c r="AJ31" i="30"/>
  <c r="AK31" i="30"/>
  <c r="AL31" i="30"/>
  <c r="AJ32" i="30"/>
  <c r="AK32" i="30"/>
  <c r="AL32" i="30"/>
  <c r="AJ33" i="30"/>
  <c r="AK33" i="30"/>
  <c r="AL33" i="30"/>
  <c r="AJ34" i="30"/>
  <c r="AK34" i="30"/>
  <c r="AL34" i="30"/>
  <c r="AJ35" i="30"/>
  <c r="AK35" i="30"/>
  <c r="AL35" i="30"/>
  <c r="AJ36" i="30"/>
  <c r="AK36" i="30"/>
  <c r="AL36" i="30"/>
  <c r="AJ37" i="30"/>
  <c r="AK37" i="30"/>
  <c r="AL37" i="30"/>
  <c r="AJ38" i="30"/>
  <c r="AK38" i="30"/>
  <c r="AL38" i="30"/>
  <c r="AJ20" i="30"/>
  <c r="AK20" i="30"/>
  <c r="AL20" i="30"/>
  <c r="AQ20" i="30" s="1"/>
  <c r="AJ21" i="30"/>
  <c r="AK21" i="30"/>
  <c r="AL21" i="30"/>
  <c r="AQ21" i="30" s="1"/>
  <c r="AJ22" i="30"/>
  <c r="AK22" i="30"/>
  <c r="AL22" i="30"/>
  <c r="AQ22" i="30" s="1"/>
  <c r="AJ23" i="30"/>
  <c r="AK23" i="30"/>
  <c r="AL23" i="30"/>
  <c r="AQ23" i="30" s="1"/>
  <c r="AJ24" i="30"/>
  <c r="AK24" i="30"/>
  <c r="AL24" i="30"/>
  <c r="AQ24" i="30" s="1"/>
  <c r="AJ25" i="30"/>
  <c r="AK25" i="30"/>
  <c r="AL25" i="30"/>
  <c r="AQ25" i="30" s="1"/>
  <c r="AJ26" i="30"/>
  <c r="AK26" i="30"/>
  <c r="AL26" i="30"/>
  <c r="AQ26" i="30" s="1"/>
  <c r="AK19" i="30"/>
  <c r="AJ19" i="30"/>
  <c r="AL19" i="30" s="1"/>
  <c r="AQ19" i="30" s="1"/>
  <c r="F13" i="20"/>
  <c r="E30" i="20"/>
  <c r="G29" i="20"/>
  <c r="G13" i="20"/>
  <c r="I12" i="20"/>
  <c r="C30" i="20"/>
  <c r="E13" i="20"/>
  <c r="B30" i="20"/>
  <c r="D30" i="20"/>
  <c r="F30" i="20"/>
  <c r="H13" i="20"/>
  <c r="D13" i="20"/>
  <c r="L25" i="31"/>
  <c r="K25" i="31"/>
  <c r="J25" i="31"/>
  <c r="H25" i="31"/>
  <c r="E25" i="31"/>
  <c r="O12" i="31"/>
  <c r="N12" i="31"/>
  <c r="M12" i="31"/>
  <c r="J12" i="31"/>
  <c r="H12" i="31"/>
  <c r="G12" i="31"/>
  <c r="F12" i="31"/>
  <c r="G45" i="20"/>
  <c r="G28" i="20"/>
  <c r="I11" i="20"/>
  <c r="AH43" i="29"/>
  <c r="AH42" i="29"/>
  <c r="AH41" i="29"/>
  <c r="AH40" i="29"/>
  <c r="AH39" i="29"/>
  <c r="AH38" i="29"/>
  <c r="AH37" i="29"/>
  <c r="AH36" i="29"/>
  <c r="AH32" i="29"/>
  <c r="AH31" i="29"/>
  <c r="AH30" i="29"/>
  <c r="AH29" i="29"/>
  <c r="AH28" i="29"/>
  <c r="AH27" i="29"/>
  <c r="AH26" i="29"/>
  <c r="AH25" i="29"/>
  <c r="AH21" i="29"/>
  <c r="AH20" i="29"/>
  <c r="AH19" i="29"/>
  <c r="AH18" i="29"/>
  <c r="AH17" i="29"/>
  <c r="AH16" i="29"/>
  <c r="AH15" i="29"/>
  <c r="AH14" i="29"/>
  <c r="AH10" i="29"/>
  <c r="B53" i="29" s="1"/>
  <c r="AH9" i="29"/>
  <c r="B52" i="29" s="1"/>
  <c r="AH8" i="29"/>
  <c r="B51" i="29" s="1"/>
  <c r="AH7" i="29"/>
  <c r="B50" i="29" s="1"/>
  <c r="AH6" i="29"/>
  <c r="B49" i="29" s="1"/>
  <c r="AH5" i="29"/>
  <c r="B48" i="29" s="1"/>
  <c r="AH4" i="29"/>
  <c r="B47" i="29" s="1"/>
  <c r="AH3" i="29"/>
  <c r="B46" i="29" s="1"/>
  <c r="G44" i="20" l="1"/>
  <c r="G43" i="20"/>
  <c r="G42" i="20"/>
  <c r="G41" i="20"/>
  <c r="G40" i="20"/>
  <c r="G39" i="20"/>
  <c r="G38" i="20"/>
  <c r="G37" i="20"/>
  <c r="G36" i="20"/>
  <c r="G20" i="20"/>
  <c r="G21" i="20"/>
  <c r="G22" i="20"/>
  <c r="G23" i="20"/>
  <c r="G24" i="20"/>
  <c r="G25" i="20"/>
  <c r="G26" i="20"/>
  <c r="G27" i="20"/>
  <c r="G19" i="20"/>
  <c r="I3" i="20"/>
  <c r="I4" i="20"/>
  <c r="I5" i="20"/>
  <c r="I6" i="20"/>
  <c r="I7" i="20"/>
  <c r="I8" i="20"/>
  <c r="I9" i="20"/>
  <c r="I10" i="20"/>
  <c r="I2" i="20"/>
  <c r="B47" i="20"/>
  <c r="C47" i="20"/>
  <c r="D47" i="20"/>
  <c r="E47" i="20"/>
  <c r="F47" i="20"/>
  <c r="J9" i="20"/>
  <c r="J2" i="20"/>
  <c r="J7" i="20"/>
  <c r="J6" i="20"/>
  <c r="J5" i="20"/>
  <c r="J4" i="20"/>
  <c r="J3" i="20"/>
  <c r="I13" i="20" l="1"/>
  <c r="G47" i="20"/>
  <c r="G30" i="20"/>
  <c r="I236" i="12"/>
  <c r="I234" i="12"/>
  <c r="I232" i="12"/>
  <c r="I230" i="12"/>
  <c r="I228" i="12"/>
  <c r="I226" i="12"/>
  <c r="I224" i="12"/>
  <c r="I222" i="12"/>
  <c r="I220" i="12"/>
  <c r="I218" i="12"/>
  <c r="I216" i="12"/>
  <c r="I214" i="12"/>
  <c r="I212" i="12"/>
  <c r="I210" i="12"/>
  <c r="I208" i="12"/>
  <c r="I206" i="12"/>
  <c r="I204" i="12"/>
  <c r="I202" i="12"/>
  <c r="I200" i="12"/>
  <c r="D200" i="12"/>
  <c r="I198" i="12"/>
  <c r="D198" i="12"/>
  <c r="I196" i="12"/>
  <c r="D196" i="12"/>
  <c r="I194" i="12"/>
  <c r="D194" i="12"/>
  <c r="I192" i="12"/>
  <c r="D192" i="12"/>
  <c r="I190" i="12"/>
  <c r="D190" i="12"/>
  <c r="I188" i="12"/>
  <c r="D188" i="12"/>
  <c r="I186" i="12"/>
  <c r="D186" i="12"/>
  <c r="I184" i="12"/>
  <c r="D184" i="12"/>
  <c r="I182" i="12"/>
  <c r="D182" i="12"/>
  <c r="I180" i="12"/>
  <c r="D180" i="12"/>
  <c r="I178" i="12"/>
  <c r="D178" i="12"/>
  <c r="I176" i="12"/>
  <c r="D176" i="12"/>
  <c r="I174" i="12"/>
  <c r="D174" i="12"/>
  <c r="I172" i="12"/>
  <c r="D172" i="12"/>
  <c r="I170" i="12"/>
  <c r="D170" i="12"/>
  <c r="I168" i="12"/>
  <c r="D168" i="12"/>
  <c r="I166" i="12"/>
  <c r="D166" i="12"/>
  <c r="I164" i="12"/>
  <c r="D164" i="12"/>
  <c r="I162" i="12"/>
  <c r="D162" i="12"/>
  <c r="I160" i="12"/>
  <c r="D160" i="12"/>
  <c r="I158" i="12"/>
  <c r="D158" i="12"/>
  <c r="I156" i="12"/>
  <c r="D156" i="12"/>
  <c r="I154" i="12"/>
  <c r="D154" i="12"/>
  <c r="I152" i="12"/>
  <c r="D152" i="12"/>
  <c r="I150" i="12"/>
  <c r="D150" i="12"/>
  <c r="I148" i="12"/>
  <c r="D148" i="12"/>
  <c r="I146" i="12"/>
  <c r="D146" i="12"/>
  <c r="I144" i="12"/>
  <c r="D144" i="12"/>
  <c r="I142" i="12"/>
  <c r="D142" i="12"/>
  <c r="I140" i="12"/>
  <c r="D140" i="12"/>
  <c r="I138" i="12"/>
  <c r="D138" i="12"/>
  <c r="I136" i="12"/>
  <c r="D136" i="12"/>
  <c r="I134" i="12"/>
  <c r="D134" i="12"/>
  <c r="I132" i="12"/>
  <c r="D132" i="12"/>
  <c r="I130" i="12"/>
  <c r="D130" i="12"/>
  <c r="I128" i="12"/>
  <c r="D128" i="12"/>
  <c r="I126" i="12"/>
  <c r="D126" i="12"/>
  <c r="I124" i="12"/>
  <c r="D124" i="12"/>
  <c r="I122" i="12"/>
  <c r="D122" i="12"/>
  <c r="I120" i="12"/>
  <c r="D120" i="12"/>
  <c r="I118" i="12"/>
  <c r="D118" i="12"/>
  <c r="I116" i="12"/>
  <c r="D116" i="12"/>
  <c r="I114" i="12"/>
  <c r="D114" i="12"/>
  <c r="I112" i="12"/>
  <c r="D112" i="12"/>
  <c r="I110" i="12"/>
  <c r="D110" i="12"/>
  <c r="I108" i="12"/>
  <c r="D108" i="12"/>
  <c r="I106" i="12"/>
  <c r="D106" i="12"/>
  <c r="I104" i="12"/>
  <c r="D104" i="12"/>
  <c r="I102" i="12"/>
  <c r="D102" i="12"/>
  <c r="I100" i="12"/>
  <c r="D100" i="12"/>
  <c r="I98" i="12"/>
  <c r="D98" i="12"/>
  <c r="I96" i="12"/>
  <c r="D96" i="12"/>
  <c r="I94" i="12"/>
  <c r="D94" i="12"/>
  <c r="I92" i="12"/>
  <c r="D92" i="12"/>
  <c r="I90" i="12"/>
  <c r="D90" i="12"/>
  <c r="I88" i="12"/>
  <c r="D88" i="12"/>
  <c r="I86" i="12"/>
  <c r="D86" i="12"/>
  <c r="I84" i="12"/>
  <c r="D84" i="12"/>
  <c r="I82" i="12"/>
  <c r="D82" i="12"/>
  <c r="I80" i="12"/>
  <c r="D80" i="12"/>
  <c r="I78" i="12"/>
  <c r="D78" i="12"/>
  <c r="I76" i="12"/>
  <c r="D76" i="12"/>
  <c r="I74" i="12"/>
  <c r="H74" i="12"/>
  <c r="G74" i="12"/>
  <c r="F74" i="12"/>
  <c r="D74" i="12"/>
  <c r="I72" i="12"/>
  <c r="H72" i="12"/>
  <c r="G72" i="12"/>
  <c r="F72" i="12"/>
  <c r="D72" i="12"/>
  <c r="I70" i="12"/>
  <c r="H70" i="12"/>
  <c r="G70" i="12"/>
  <c r="F70" i="12"/>
  <c r="D70" i="12"/>
  <c r="I68" i="12"/>
  <c r="H68" i="12"/>
  <c r="G68" i="12"/>
  <c r="F68" i="12"/>
  <c r="D68" i="12"/>
  <c r="I66" i="12"/>
  <c r="H66" i="12"/>
  <c r="G66" i="12"/>
  <c r="F66" i="12"/>
  <c r="D66" i="12"/>
  <c r="I64" i="12"/>
  <c r="H64" i="12"/>
  <c r="G64" i="12"/>
  <c r="F64" i="12"/>
  <c r="D64" i="12"/>
  <c r="I62" i="12"/>
  <c r="H62" i="12"/>
  <c r="G62" i="12"/>
  <c r="F62" i="12"/>
  <c r="D62" i="12"/>
  <c r="I60" i="12"/>
  <c r="H60" i="12"/>
  <c r="G60" i="12"/>
  <c r="F60" i="12"/>
  <c r="D60" i="12"/>
  <c r="I58" i="12"/>
  <c r="H58" i="12"/>
  <c r="G58" i="12"/>
  <c r="F58" i="12"/>
  <c r="D58" i="12"/>
  <c r="I56" i="12"/>
  <c r="H56" i="12"/>
  <c r="G56" i="12"/>
  <c r="F56" i="12"/>
  <c r="D56" i="12"/>
  <c r="I54" i="12"/>
  <c r="H54" i="12"/>
  <c r="G54" i="12"/>
  <c r="F54" i="12"/>
  <c r="D54" i="12"/>
  <c r="I52" i="12"/>
  <c r="H52" i="12"/>
  <c r="G52" i="12"/>
  <c r="F52" i="12"/>
  <c r="D52" i="12"/>
  <c r="J50" i="12"/>
  <c r="I50" i="12"/>
  <c r="H50" i="12"/>
  <c r="G50" i="12"/>
  <c r="F50" i="12"/>
  <c r="D50" i="12"/>
  <c r="J48" i="12"/>
  <c r="I48" i="12"/>
  <c r="H48" i="12"/>
  <c r="G48" i="12"/>
  <c r="F48" i="12"/>
  <c r="D48" i="12"/>
  <c r="J46" i="12"/>
  <c r="I46" i="12"/>
  <c r="H46" i="12"/>
  <c r="G46" i="12"/>
  <c r="F46" i="12"/>
  <c r="D46" i="12"/>
  <c r="J44" i="12"/>
  <c r="I44" i="12"/>
  <c r="H44" i="12"/>
  <c r="G44" i="12"/>
  <c r="F44" i="12"/>
  <c r="D44" i="12"/>
  <c r="J42" i="12"/>
  <c r="I42" i="12"/>
  <c r="H42" i="12"/>
  <c r="G42" i="12"/>
  <c r="F42" i="12"/>
  <c r="D42" i="12"/>
  <c r="J40" i="12"/>
  <c r="I40" i="12"/>
  <c r="H40" i="12"/>
  <c r="G40" i="12"/>
  <c r="F40" i="12"/>
  <c r="D40" i="12"/>
  <c r="J38" i="12"/>
  <c r="I38" i="12"/>
  <c r="H38" i="12"/>
  <c r="G38" i="12"/>
  <c r="F38" i="12"/>
  <c r="D38" i="12"/>
  <c r="J36" i="12"/>
  <c r="I36" i="12"/>
  <c r="H36" i="12"/>
  <c r="G36" i="12"/>
  <c r="F36" i="12"/>
  <c r="D36" i="12"/>
  <c r="J34" i="12"/>
  <c r="I34" i="12"/>
  <c r="H34" i="12"/>
  <c r="G34" i="12"/>
  <c r="F34" i="12"/>
  <c r="D34" i="12"/>
  <c r="J32" i="12"/>
  <c r="I32" i="12"/>
  <c r="H32" i="12"/>
  <c r="G32" i="12"/>
  <c r="F32" i="12"/>
  <c r="D32" i="12"/>
  <c r="J30" i="12"/>
  <c r="I30" i="12"/>
  <c r="H30" i="12"/>
  <c r="G30" i="12"/>
  <c r="F30" i="12"/>
  <c r="D30" i="12"/>
  <c r="J28" i="12"/>
  <c r="I28" i="12"/>
  <c r="H28" i="12"/>
  <c r="G28" i="12"/>
  <c r="F28" i="12"/>
  <c r="D28" i="12"/>
  <c r="J26" i="12"/>
  <c r="I26" i="12"/>
  <c r="H26" i="12"/>
  <c r="G26" i="12"/>
  <c r="F26" i="12"/>
  <c r="D26" i="12"/>
  <c r="J24" i="12"/>
  <c r="I24" i="12"/>
  <c r="H24" i="12"/>
  <c r="G24" i="12"/>
  <c r="F24" i="12"/>
  <c r="D24" i="12"/>
  <c r="J22" i="12"/>
  <c r="I22" i="12"/>
  <c r="H22" i="12"/>
  <c r="G22" i="12"/>
  <c r="F22" i="12"/>
  <c r="D22" i="12"/>
  <c r="J20" i="12"/>
  <c r="I20" i="12"/>
  <c r="H20" i="12"/>
  <c r="G20" i="12"/>
  <c r="F20" i="12"/>
  <c r="D20" i="12"/>
  <c r="J18" i="12"/>
  <c r="I18" i="12"/>
  <c r="H18" i="12"/>
  <c r="G18" i="12"/>
  <c r="F18" i="12"/>
  <c r="D18" i="12"/>
  <c r="J16" i="12"/>
  <c r="I16" i="12"/>
  <c r="H16" i="12"/>
  <c r="G16" i="12"/>
  <c r="F16" i="12"/>
  <c r="D16" i="12"/>
  <c r="J14" i="12"/>
  <c r="I14" i="12"/>
  <c r="H14" i="12"/>
  <c r="G14" i="12"/>
  <c r="F14" i="12"/>
  <c r="D14" i="12"/>
  <c r="J12" i="12"/>
  <c r="I12" i="12"/>
  <c r="H12" i="12"/>
  <c r="G12" i="12"/>
  <c r="F12" i="12"/>
  <c r="D12" i="12"/>
  <c r="J10" i="12"/>
  <c r="I10" i="12"/>
  <c r="H10" i="12"/>
  <c r="G10" i="12"/>
  <c r="F10" i="12"/>
  <c r="D10" i="12"/>
  <c r="J8" i="12"/>
  <c r="I8" i="12"/>
  <c r="H8" i="12"/>
  <c r="G8" i="12"/>
  <c r="F8" i="12"/>
  <c r="D8" i="12"/>
  <c r="J6" i="12"/>
  <c r="I6" i="12"/>
  <c r="H6" i="12"/>
  <c r="G6" i="12"/>
  <c r="F6" i="12"/>
  <c r="D6" i="12"/>
  <c r="J4" i="12"/>
  <c r="I4" i="12"/>
  <c r="H4" i="12"/>
  <c r="G4" i="12"/>
  <c r="F4" i="12"/>
  <c r="D4" i="12"/>
  <c r="J2" i="12"/>
  <c r="I2" i="12"/>
  <c r="H2" i="12"/>
  <c r="G2" i="12"/>
  <c r="F2" i="12"/>
  <c r="D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Rodriguez Izquierdo Eduardo</author>
  </authors>
  <commentList>
    <comment ref="H9" authorId="0" shapeId="0" xr:uid="{28974389-9B5E-42B8-8D58-F7038A8F34CB}">
      <text>
        <r>
          <rPr>
            <sz val="11"/>
            <color theme="1"/>
            <rFont val="Calibri"/>
            <family val="2"/>
            <scheme val="minor"/>
          </rPr>
          <t>Rodriguez Izquierdo Eduardo:
8 a 12 h</t>
        </r>
      </text>
    </comment>
  </commentList>
</comments>
</file>

<file path=xl/sharedStrings.xml><?xml version="1.0" encoding="utf-8"?>
<sst xmlns="http://schemas.openxmlformats.org/spreadsheetml/2006/main" count="18829" uniqueCount="823">
  <si>
    <t>CALENDARIO 2020</t>
  </si>
  <si>
    <t>Mi</t>
  </si>
  <si>
    <t>Ju</t>
  </si>
  <si>
    <t>Vi</t>
  </si>
  <si>
    <t>Sá</t>
  </si>
  <si>
    <t>Do</t>
  </si>
  <si>
    <t>Lu</t>
  </si>
  <si>
    <t>Ma</t>
  </si>
  <si>
    <t>VANE1</t>
  </si>
  <si>
    <t>V</t>
  </si>
  <si>
    <t>VANE2</t>
  </si>
  <si>
    <t>ISRA</t>
  </si>
  <si>
    <t>P</t>
  </si>
  <si>
    <t>LDP</t>
  </si>
  <si>
    <t>G</t>
  </si>
  <si>
    <t>CHEMA</t>
  </si>
  <si>
    <t>FERNANDO LANGREO</t>
  </si>
  <si>
    <t>T</t>
  </si>
  <si>
    <t>DANI</t>
  </si>
  <si>
    <t>FERNANDO RUBIO</t>
  </si>
  <si>
    <t>JORGE AMARILLAS</t>
  </si>
  <si>
    <t>EDUARDO</t>
  </si>
  <si>
    <t>VANE 1</t>
  </si>
  <si>
    <t>VANE 2</t>
  </si>
  <si>
    <t>ISRAEL HURTADO</t>
  </si>
  <si>
    <t>I</t>
  </si>
  <si>
    <t>IG</t>
  </si>
  <si>
    <t>Sa</t>
  </si>
  <si>
    <t>J</t>
  </si>
  <si>
    <t>v</t>
  </si>
  <si>
    <t>Nombre</t>
  </si>
  <si>
    <t>Area</t>
  </si>
  <si>
    <t>Mes</t>
  </si>
  <si>
    <t>Javier Puertas de la Plaza</t>
  </si>
  <si>
    <t>Voz</t>
  </si>
  <si>
    <t>Enero 2025</t>
  </si>
  <si>
    <t>VP</t>
  </si>
  <si>
    <t>Vacaciones Pasadas (Año Anterior)</t>
  </si>
  <si>
    <t>José María Moreno Moreno</t>
  </si>
  <si>
    <t>Vacaciones</t>
  </si>
  <si>
    <t>Alfonso Gomez Calzado</t>
  </si>
  <si>
    <t>C</t>
  </si>
  <si>
    <t>Convenio</t>
  </si>
  <si>
    <t>Febrero 2025</t>
  </si>
  <si>
    <t>X</t>
  </si>
  <si>
    <t>Viaje</t>
  </si>
  <si>
    <t>Guardia</t>
  </si>
  <si>
    <t>Marzo 2025</t>
  </si>
  <si>
    <t>Fichero Oficial de Vacaciones 2025</t>
  </si>
  <si>
    <t>Turnos Teletrabajo Voz 2025</t>
  </si>
  <si>
    <t>Abril 2025</t>
  </si>
  <si>
    <t>Mayo 2025</t>
  </si>
  <si>
    <t>Junio 2025</t>
  </si>
  <si>
    <t>Julio 2025</t>
  </si>
  <si>
    <t>Agosto 2025</t>
  </si>
  <si>
    <t>Septiembre 2025</t>
  </si>
  <si>
    <t>Cambiar guardia JP</t>
  </si>
  <si>
    <t>Octubre 2025</t>
  </si>
  <si>
    <t>Noviembre 2025</t>
  </si>
  <si>
    <t>Diciembre 2025</t>
  </si>
  <si>
    <t>Enero 2026</t>
  </si>
  <si>
    <t>JORGE</t>
  </si>
  <si>
    <t>FERNANDO LOURIDO</t>
  </si>
  <si>
    <t>FELIPE</t>
  </si>
  <si>
    <t>Cuadrante Spain Region v17 2026.xlsx</t>
  </si>
  <si>
    <t>MANUEL CABANA</t>
  </si>
  <si>
    <t>A</t>
  </si>
  <si>
    <t>FESTIVOS 2026</t>
  </si>
  <si>
    <t>Total 13</t>
  </si>
  <si>
    <t xml:space="preserve"> 7 y 8 diciembre</t>
  </si>
  <si>
    <t>1 y 2 de mayo</t>
  </si>
  <si>
    <t>15 de mayo y 25 diciembre</t>
  </si>
  <si>
    <t xml:space="preserve">1y 6 enero- </t>
  </si>
  <si>
    <t>12 de octubre</t>
  </si>
  <si>
    <t>15 de agosto y 2 noviembre</t>
  </si>
  <si>
    <t xml:space="preserve">2 y 3 de abril </t>
  </si>
  <si>
    <t>Fichero Vacaciones Oficial  2025 - OLD</t>
  </si>
  <si>
    <t>Fichero de vacaciones oficial 2025 - NEW</t>
  </si>
  <si>
    <t>N</t>
  </si>
  <si>
    <t>FESTIVOS 2025</t>
  </si>
  <si>
    <t>15 de agosto, 15 y 25 de diciembre</t>
  </si>
  <si>
    <t xml:space="preserve">17 y 18 abril - </t>
  </si>
  <si>
    <t>15 de mayo y 25 de julio</t>
  </si>
  <si>
    <t>6 y 8 de diciembre</t>
  </si>
  <si>
    <t>S</t>
  </si>
  <si>
    <t>D</t>
  </si>
  <si>
    <t>L</t>
  </si>
  <si>
    <t>M</t>
  </si>
  <si>
    <t>MI</t>
  </si>
  <si>
    <t>JU</t>
  </si>
  <si>
    <t>VI</t>
  </si>
  <si>
    <t>Israel Hurtado Arribas</t>
  </si>
  <si>
    <t>Diciembre</t>
  </si>
  <si>
    <t>F</t>
  </si>
  <si>
    <t>Daniel Portugues Moncalvillo</t>
  </si>
  <si>
    <t>Jose María Andres Becerra</t>
  </si>
  <si>
    <t>Fernando Miguel Lourido</t>
  </si>
  <si>
    <t>Jorge Zamorano</t>
  </si>
  <si>
    <t>Katherine Llantoy</t>
  </si>
  <si>
    <t>Eduardo Rodriguez Izquierdo</t>
  </si>
  <si>
    <t>Manuel Alejandro Cabana</t>
  </si>
  <si>
    <t>Roberto Padovano Gonzalez</t>
  </si>
  <si>
    <t>TOTAL</t>
  </si>
  <si>
    <t>3 Ro</t>
  </si>
  <si>
    <t>5 Fr</t>
  </si>
  <si>
    <t>Enero</t>
  </si>
  <si>
    <t>Oficina</t>
  </si>
  <si>
    <t>Teletrabajo</t>
  </si>
  <si>
    <t>Día</t>
  </si>
  <si>
    <t>Fecha</t>
  </si>
  <si>
    <t>Técnico</t>
  </si>
  <si>
    <t>Grupo</t>
  </si>
  <si>
    <t>Hora Incio</t>
  </si>
  <si>
    <t>Hora Fin</t>
  </si>
  <si>
    <t>Duración</t>
  </si>
  <si>
    <t>Id Cambio</t>
  </si>
  <si>
    <t>Nombre cambio</t>
  </si>
  <si>
    <t>Observaciones / Resultados</t>
  </si>
  <si>
    <t>Miércoles</t>
  </si>
  <si>
    <t>FREEZE NAVIDAD</t>
  </si>
  <si>
    <t>Jueves</t>
  </si>
  <si>
    <t>Viernes</t>
  </si>
  <si>
    <t>Sábado</t>
  </si>
  <si>
    <t>Domingo</t>
  </si>
  <si>
    <t>Lunes</t>
  </si>
  <si>
    <t>Martes</t>
  </si>
  <si>
    <t>Francisco Javier Puertas de la Plaza</t>
  </si>
  <si>
    <t>Voice</t>
  </si>
  <si>
    <t>CHG001999260</t>
  </si>
  <si>
    <t>Upgrade in place Redhat de las máquinas de Base de datos por obsolescencia. DB de EurekaVR STP ES - Cadena 2</t>
  </si>
  <si>
    <t>OK</t>
  </si>
  <si>
    <t>Alfonso Gómez Calzado</t>
  </si>
  <si>
    <t>CHG002007196</t>
  </si>
  <si>
    <t>Vuelta a configuración 50%-50% en el registro de teléfonos HCS sobre los DCs de Telefónica tras fin de incidencia y fin de freeze navideño</t>
  </si>
  <si>
    <t>Rebeca Ayarza Nebreda</t>
  </si>
  <si>
    <t>Multimedia</t>
  </si>
  <si>
    <t>CHG002010640</t>
  </si>
  <si>
    <t>Sustitución de certificado del dominio waveplayer01.santandergroup.net</t>
  </si>
  <si>
    <t>CHG002009913</t>
  </si>
  <si>
    <t>Plan de Migración de telefonía corporativa Cisco HCS a Cisco Webex Calling - Cambio 1 de 12</t>
  </si>
  <si>
    <t>Febrero</t>
  </si>
  <si>
    <t>CHG002031665</t>
  </si>
  <si>
    <t>Reconfigurar  Data Policy para enrutar los servidores de Webex calling por red interna en lugar de internet breakout - Edificios  Alhambra y Mauricio Legendre</t>
  </si>
  <si>
    <t>Jose María Moreno Moreno</t>
  </si>
  <si>
    <t>CHG002038945</t>
  </si>
  <si>
    <t>Renovación de certificado en servidor centralita standby del Call Center STP España</t>
  </si>
  <si>
    <t>CHG002020334</t>
  </si>
  <si>
    <t>Actualización por obsolescencia web server de Wave VMNXCEVPROXP02</t>
  </si>
  <si>
    <t>NOK</t>
  </si>
  <si>
    <t>CHG002009981</t>
  </si>
  <si>
    <t>Plan de Migración de telefonía corporativa Cisco HCS a Cisco Webex Calling - Cambio 2 de 12</t>
  </si>
  <si>
    <t>CHG002028346</t>
  </si>
  <si>
    <t>Plan de Migración de telefonía corporativa Cisco HCS a Cisco Webex Calling - Cambio 3 de 12</t>
  </si>
  <si>
    <t>CHG002054503</t>
  </si>
  <si>
    <t>Plan de Migración de telefonía corporativa Cisco HCS a Cisco Webex Calling - Cambio 4 de 12</t>
  </si>
  <si>
    <t>CHG002074545</t>
  </si>
  <si>
    <t>Plan de Migración de telefonía corporativa Cisco HCS a Cisco Webex Calling - Cambio 5 de 12</t>
  </si>
  <si>
    <t>CHG002100763</t>
  </si>
  <si>
    <t>Plan de Migración de telefonía corporativa Cisco HCS a Cisco Webex Calling - Cambio 6 de 12</t>
  </si>
  <si>
    <t>CHG002103954</t>
  </si>
  <si>
    <t>Eureka Voice Recording web. Actualizacion WAR para soporte LDAP Seguro</t>
  </si>
  <si>
    <t>CHG002102208</t>
  </si>
  <si>
    <t>Plan de Migración de telefonía corporativa Cisco HCS a Cisco Webex Calling - Cambio 7 de 12</t>
  </si>
  <si>
    <t>posición</t>
  </si>
  <si>
    <t>técnicos</t>
  </si>
  <si>
    <t>teléfono</t>
  </si>
  <si>
    <t>Fernando Manuel Langreo Gonzalez</t>
  </si>
  <si>
    <t>Jose Miguel Perea Conde</t>
  </si>
  <si>
    <t>Luis Fariñas Moreno</t>
  </si>
  <si>
    <t>Carlos Bourgeon Perez</t>
  </si>
  <si>
    <t>Ricardo Ortiz Merino</t>
  </si>
  <si>
    <t>Jorge Zamorano Rueda</t>
  </si>
  <si>
    <t>Servicio BT Guardia 24x7</t>
  </si>
  <si>
    <t> </t>
  </si>
  <si>
    <t>NOMBRE</t>
  </si>
  <si>
    <t>DEPARTAMENTO</t>
  </si>
  <si>
    <t>ROL</t>
  </si>
  <si>
    <t>LUNES</t>
  </si>
  <si>
    <t>MARTES</t>
  </si>
  <si>
    <t>MIERCOLES</t>
  </si>
  <si>
    <t>JUEVES</t>
  </si>
  <si>
    <t>VIERNES</t>
  </si>
  <si>
    <t>DIAS OFICINA</t>
  </si>
  <si>
    <t>TRABAJO OFICINA</t>
  </si>
  <si>
    <t>Katherine Llantoy Salvatierra</t>
  </si>
  <si>
    <t>Network</t>
  </si>
  <si>
    <t>INTERNO</t>
  </si>
  <si>
    <t>DANIEL PORTUGUES MONCALVILLO</t>
  </si>
  <si>
    <t>FERNANDO MIGUEL LOURIDO DOÑORO</t>
  </si>
  <si>
    <t>JOSE MARIA ANDRES BECERRA</t>
  </si>
  <si>
    <t>ISRAEL HURTADO ARRIBAS</t>
  </si>
  <si>
    <t>MANUEL CABANA ROBAINA</t>
  </si>
  <si>
    <t>FRANCISCO JAVIER PASTOR</t>
  </si>
  <si>
    <t>FRANCISCO JAVIER GARCIA MATA</t>
  </si>
  <si>
    <t>ROBERTO PADOVANO GONZALEZ</t>
  </si>
  <si>
    <t>SEMANA IMPAR (1-7, 15-22)</t>
  </si>
  <si>
    <t>PERSONA</t>
  </si>
  <si>
    <t>L, M, X</t>
  </si>
  <si>
    <t>M,J</t>
  </si>
  <si>
    <t>M, J, V</t>
  </si>
  <si>
    <t>X, J,  V</t>
  </si>
  <si>
    <t>SEMANA PAR (8-15, 22-30)</t>
  </si>
  <si>
    <t>M,J,V</t>
  </si>
  <si>
    <t>Descripción</t>
  </si>
  <si>
    <t>Hora</t>
  </si>
  <si>
    <t>Referencia</t>
  </si>
  <si>
    <t>Interconexion VCIX FW SAN VCIX</t>
  </si>
  <si>
    <t>JMAB</t>
  </si>
  <si>
    <t xml:space="preserve">CHG000729146 </t>
  </si>
  <si>
    <t>Nuevo puerto entre Distri Encinar y Distri NNGG  + Port monitor Planner: TaskForce Encinar</t>
  </si>
  <si>
    <t>CHG000736593</t>
  </si>
  <si>
    <t>UMBRELLA ABELIAS</t>
  </si>
  <si>
    <t>DPM</t>
  </si>
  <si>
    <t>CHG000723874</t>
  </si>
  <si>
    <t>Configuración POC FORTI en VCIX</t>
  </si>
  <si>
    <t>CHG000741261</t>
  </si>
  <si>
    <t>CAMBIO FINCA 4 Umbrella</t>
  </si>
  <si>
    <t>CHG000739764</t>
  </si>
  <si>
    <t>Configuración SDWAN Intercambiador logístico</t>
  </si>
  <si>
    <t>WORKARROUND MERAKI DEHESA PLANTA BAJA</t>
  </si>
  <si>
    <t>CHG000758157</t>
  </si>
  <si>
    <t>Configuracion ruta a VDI CIB Tesoreria</t>
  </si>
  <si>
    <t>CHG000749253</t>
  </si>
  <si>
    <t>CENTRO MEDICO configuracion</t>
  </si>
  <si>
    <t>CHG000743644</t>
  </si>
  <si>
    <t>LEGENDRE CAMBIO RADIUS</t>
  </si>
  <si>
    <t>CHG000721804</t>
  </si>
  <si>
    <t>Cambio de Protect - Denegcion de trafico entre usuarios e Impresoras</t>
  </si>
  <si>
    <t>MERRIMARKIII , Josefa Valcarcel 34</t>
  </si>
  <si>
    <t>CHG000745003</t>
  </si>
  <si>
    <t xml:space="preserve">LUCA DE TENA </t>
  </si>
  <si>
    <t>CHG000745070</t>
  </si>
  <si>
    <t>GDINIA CAMBIO RADIUS</t>
  </si>
  <si>
    <t>CHG000758131</t>
  </si>
  <si>
    <t>MIGRACION DNS - DNS1</t>
  </si>
  <si>
    <t xml:space="preserve">
CHG000750977</t>
  </si>
  <si>
    <t xml:space="preserve">
redes de Voz de telefonía HCS de MonitorIzación (EDU)</t>
  </si>
  <si>
    <t>CHG000744900</t>
  </si>
  <si>
    <t>WROCLAW CAMBIO RADIUS</t>
  </si>
  <si>
    <t>CHG000763424</t>
  </si>
  <si>
    <t>Configuración SDWAN CPD Este</t>
  </si>
  <si>
    <t>CHG000763440</t>
  </si>
  <si>
    <t>Configuración SDWAN CPD OEste
Configuración SDWAN SOLARUCO (EDU)</t>
  </si>
  <si>
    <t>CHG000767127</t>
  </si>
  <si>
    <t>MIGRACION DNS - DNS2</t>
  </si>
  <si>
    <t>CHG000766587 </t>
  </si>
  <si>
    <t>.pac sam pasar red /24 to /23</t>
  </si>
  <si>
    <t>REDES PRUEBA ABELIAS paso umbrella</t>
  </si>
  <si>
    <t>ABELIAS paso umbrella</t>
  </si>
  <si>
    <t>CHG000786278</t>
  </si>
  <si>
    <t>cambio de forwarder DNS CGS santander.co.uk</t>
  </si>
  <si>
    <t>CHG000777172</t>
  </si>
  <si>
    <t>Configuración POC FORTI en VCIX (multimedia, seguridad, print)</t>
  </si>
  <si>
    <t>CHG000768385</t>
  </si>
  <si>
    <t>Cambio conexion Salia con FW Salida Umbrella</t>
  </si>
  <si>
    <t>CHG000778610</t>
  </si>
  <si>
    <t>Configuración SDWAN FARO</t>
  </si>
  <si>
    <t>MERRIMARKIII paso umbrella</t>
  </si>
  <si>
    <t>JOSEFA34 paso umbrella</t>
  </si>
  <si>
    <t>CHG000787903</t>
  </si>
  <si>
    <t>Configuración SDWAN GUARDERIA</t>
  </si>
  <si>
    <t>CHG000796583</t>
  </si>
  <si>
    <t>Deshabilitar 2,4 Ghz en Maya</t>
  </si>
  <si>
    <t>ruta tesoreria</t>
  </si>
  <si>
    <t>CHG000786569</t>
  </si>
  <si>
    <t>Cambio configuración Meraki a red única para toda la CGS</t>
  </si>
  <si>
    <t>SALIA Paso Umbrella</t>
  </si>
  <si>
    <t>TENA FASE 1 Paso Umbrella</t>
  </si>
  <si>
    <t>FLD</t>
  </si>
  <si>
    <t>WIPS RECOLETOS</t>
  </si>
  <si>
    <t>cambio rutas zoom edif. abelias alhambra cgs.</t>
  </si>
  <si>
    <t>WIPS SALIA</t>
  </si>
  <si>
    <t>JAB</t>
  </si>
  <si>
    <t>ZOOM LUCA DE TENA</t>
  </si>
  <si>
    <t>WIPS JOSEFA26</t>
  </si>
  <si>
    <t>CHG000804499</t>
  </si>
  <si>
    <t>Configuración SDWAN HOTEL</t>
  </si>
  <si>
    <t>TENA FASE 2 Paso umbrella</t>
  </si>
  <si>
    <t>WIPS ABELIAS</t>
  </si>
  <si>
    <t>WIPS WLC_Guarde, Gym,Josefa,Presi y Tena</t>
  </si>
  <si>
    <t>IHA</t>
  </si>
  <si>
    <t>Configuración Interconexión SDWAN - CAMPUS + DATACENTER + IMPRESORAS</t>
  </si>
  <si>
    <t>CHG000825271</t>
  </si>
  <si>
    <t>Migración WiFi Solaruco y upgrade de switches Meraki</t>
  </si>
  <si>
    <t>WIPS resto de Luca de Tena</t>
  </si>
  <si>
    <t>CHG000839734</t>
  </si>
  <si>
    <t>Traspaso cableado planta 0 Dehesa a Meraki</t>
  </si>
  <si>
    <t>CHG000852054</t>
  </si>
  <si>
    <t>Traspaso cableado plantas 1 y 2 Dehesa a Meraki</t>
  </si>
  <si>
    <t>CHG000857408</t>
  </si>
  <si>
    <t>Traspaso cableado edificio Maya</t>
  </si>
  <si>
    <t>CHG000868023</t>
  </si>
  <si>
    <t>Traspaso cableado edificio Pinar</t>
  </si>
  <si>
    <t>CHG000891997</t>
  </si>
  <si>
    <t>Downgrade switches Meraki y traspaso cableado Pinar</t>
  </si>
  <si>
    <t>CHG000906294</t>
  </si>
  <si>
    <t>Habilitar contención de SSIDs corporativos en la red WiFi de la CGS</t>
  </si>
  <si>
    <t>CHG000906253</t>
  </si>
  <si>
    <t>Traspaso cableado edificios Arrecife, Intercambiador y Centro médico</t>
  </si>
  <si>
    <t>Septiembre</t>
  </si>
  <si>
    <t xml:space="preserve">
Cambio Migracion Alhambra SDWAN(Chema- Israel)
Cambio reinicio APs Meraki CGS(Chema-Israel)
Cambio Actualizacion AOS8 Recoletos,Getafe,JV34-36,Salia (Fernado Lourido - Gilberto)</t>
  </si>
  <si>
    <t>Añadir en Pac file de SGT las redes de Santec</t>
  </si>
  <si>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Cambio VRF ISBAN_USER CTC (Chema)</t>
    </r>
  </si>
  <si>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Actualizacion CETENA1 (16.12.7)</t>
    </r>
  </si>
  <si>
    <t>Cambio Actualizacion AOS8 Luca de Tena, Abelias, Master y Backup</t>
  </si>
  <si>
    <t>Umbrella CTC</t>
  </si>
  <si>
    <t>Renove WLC SC Francia</t>
  </si>
  <si>
    <t>Umbrella Openbank- Resto</t>
  </si>
  <si>
    <t>Actualizacion CETENA2 (16.12.7)</t>
  </si>
  <si>
    <t xml:space="preserve">
Migración red cableada Edificio Marisma
Actualizacion cisco Fase I Abelias
</t>
  </si>
  <si>
    <t>jueves</t>
  </si>
  <si>
    <t>Sabado</t>
  </si>
  <si>
    <t>APELLIDOS</t>
  </si>
  <si>
    <t>MOVIL</t>
  </si>
  <si>
    <t>CORREO</t>
  </si>
  <si>
    <t xml:space="preserve">Buzon Soporte operativo
</t>
  </si>
  <si>
    <t>Servicio BT 12x5    07:00 h- 19:00 h</t>
  </si>
  <si>
    <t xml:space="preserve">ST_ComunicacionesDatos@gruposantander.es
</t>
  </si>
  <si>
    <t xml:space="preserve">Servicio  BT Guardia 24x7
</t>
  </si>
  <si>
    <t>EUT Comunicaciones</t>
  </si>
  <si>
    <t>EUT Comunicaciones Guardia</t>
  </si>
  <si>
    <t>comunicacionesrrff@produban.com</t>
  </si>
  <si>
    <t>DL PRBE COMMS VOZ</t>
  </si>
  <si>
    <t>EUT Coms Voz Guardia</t>
  </si>
  <si>
    <t>dlprbecommsvoz@gruposantander.com</t>
  </si>
  <si>
    <t>M1</t>
  </si>
  <si>
    <t>Lunes a Jueves de 7 a 15h | Viernes de 7 a 14h</t>
  </si>
  <si>
    <t>M2</t>
  </si>
  <si>
    <t>Lunes a Jueves de 8 a 17h | Viernes de 8 a 15h</t>
  </si>
  <si>
    <t>M2 +</t>
  </si>
  <si>
    <t>Lunes a Jueves de 9 a 18h | Viernes de 8 a 15h</t>
  </si>
  <si>
    <t>M3</t>
  </si>
  <si>
    <t>Lunes a Jueves de 10 a 19h | Viernes de 11 a 19h | El M3 será el que realice las tareas de Guardia</t>
  </si>
  <si>
    <t>Vacaciones 2024</t>
  </si>
  <si>
    <t>Vacaciones 2025</t>
  </si>
  <si>
    <t>Formación</t>
  </si>
  <si>
    <t>B</t>
  </si>
  <si>
    <t>Baja</t>
  </si>
  <si>
    <t>Permiso</t>
  </si>
  <si>
    <t>Trabajos Fuera de Horas</t>
  </si>
  <si>
    <t>ENERO</t>
  </si>
  <si>
    <t>Nombre del empleado</t>
  </si>
  <si>
    <t>L-J</t>
  </si>
  <si>
    <t>Total Horas Mes</t>
  </si>
  <si>
    <t>Total Horas Año</t>
  </si>
  <si>
    <t>Héctor Felipe Gracia</t>
  </si>
  <si>
    <t>M2+ Unity ThinClient</t>
  </si>
  <si>
    <t>Fernando I Rubio Ferrer</t>
  </si>
  <si>
    <t>M2 + Provisión Distris</t>
  </si>
  <si>
    <t>José Miguel Perea Conde</t>
  </si>
  <si>
    <t>M2 Cert. wifiguest</t>
  </si>
  <si>
    <t>M2 Precarga Upgrd Cisco</t>
  </si>
  <si>
    <t>Upgrade Cisco</t>
  </si>
  <si>
    <t>Fernando II Manuel Langreo González</t>
  </si>
  <si>
    <t>Mariano Grillo</t>
  </si>
  <si>
    <t>M2+ Precarga Upgrd Cisco</t>
  </si>
  <si>
    <t>´d5</t>
  </si>
  <si>
    <t>M1 Unity ThinClient</t>
  </si>
  <si>
    <t>M1 Cambio Tena ESTJ1C10</t>
  </si>
  <si>
    <t>M1 
Cambio ESTJ1C10
Reset ESTJSD10</t>
  </si>
  <si>
    <t>Liviu Lazar</t>
  </si>
  <si>
    <t>Upgrade WLC JV &amp; Tena</t>
  </si>
  <si>
    <t>M1 Descr TSQ 3º4º5</t>
  </si>
  <si>
    <t>José Luis II de Juan Mejía</t>
  </si>
  <si>
    <t>José Luis I Cartas Velasco</t>
  </si>
  <si>
    <t>M1 Descrip. Unity</t>
  </si>
  <si>
    <t>FEBRERO</t>
  </si>
  <si>
    <t>M2 + Descrip Unity ports +49</t>
  </si>
  <si>
    <t>M2+ Unity ThinClients</t>
  </si>
  <si>
    <t>M2+ Incidencia TSQ</t>
  </si>
  <si>
    <t>M2+ Distri Hotel</t>
  </si>
  <si>
    <t>M2+ Distri C.M Centro Médico</t>
  </si>
  <si>
    <t>M2 Torreta Tena</t>
  </si>
  <si>
    <t>M2 APs Abelias</t>
  </si>
  <si>
    <t>Cámara Tena</t>
  </si>
  <si>
    <t>M2 Clear Counters Unity</t>
  </si>
  <si>
    <t>M2 Clave Wifi SB</t>
  </si>
  <si>
    <t>M1 Singapur BCP</t>
  </si>
  <si>
    <t>M1 ThinClients</t>
  </si>
  <si>
    <t>M2 + Singapur BCP</t>
  </si>
  <si>
    <t>M1 Precarga Upgrd Cisco</t>
  </si>
  <si>
    <t>M1 Unity ThinClients</t>
  </si>
  <si>
    <t>M1 APs Abelias</t>
  </si>
  <si>
    <t>M2+</t>
  </si>
  <si>
    <t>M1 Actual FM / FAna</t>
  </si>
  <si>
    <t>MARZO</t>
  </si>
  <si>
    <t>Total Horas</t>
  </si>
  <si>
    <t>M2+ BGP Konecta</t>
  </si>
  <si>
    <t>M2 + SFP Josefa</t>
  </si>
  <si>
    <t>M2+ Distri Intercambiador</t>
  </si>
  <si>
    <t>M2+ Switch Tena ESTJSD10</t>
  </si>
  <si>
    <t>M1 Pruebas SNMP</t>
  </si>
  <si>
    <t>M1 Switch Tena ESTJSD10</t>
  </si>
  <si>
    <t>M1 Singapur Main</t>
  </si>
  <si>
    <t>M1 
Tech TSQ</t>
  </si>
  <si>
    <t>M1 SFP Josefa</t>
  </si>
  <si>
    <t>M2+ Usuario Local Unity</t>
  </si>
  <si>
    <t>JUNTA</t>
  </si>
  <si>
    <t>ABRIL</t>
  </si>
  <si>
    <t>Flip</t>
  </si>
  <si>
    <t>Flop</t>
  </si>
  <si>
    <t>Distri Solaruco</t>
  </si>
  <si>
    <t>M2 Nodo NAC</t>
  </si>
  <si>
    <t>M2+ Certificado wificontroler</t>
  </si>
  <si>
    <t>M1 Push Controlers</t>
  </si>
  <si>
    <t xml:space="preserve"> </t>
  </si>
  <si>
    <t>MAYO</t>
  </si>
  <si>
    <t>Nombre del Empleado</t>
  </si>
  <si>
    <t xml:space="preserve">M2+ Preparar switch ESTJ3C10 </t>
  </si>
  <si>
    <t xml:space="preserve">M2+ PreReinicio ESTJ3C10 </t>
  </si>
  <si>
    <t xml:space="preserve">M2+ CHG002967048 Reinicio ESTJ3C10 </t>
  </si>
  <si>
    <t>Distribución Guardería</t>
  </si>
  <si>
    <t>M2+ Vlan 780 en SBOA3202</t>
  </si>
  <si>
    <t>SFP Josefa 19:00</t>
  </si>
  <si>
    <t>M2+ Shut Puertos Unity</t>
  </si>
  <si>
    <t>Distri Guardería</t>
  </si>
  <si>
    <t>M2 Certificados</t>
  </si>
  <si>
    <t xml:space="preserve">M1 Preparar switch ESTJ3C10 </t>
  </si>
  <si>
    <t>M2+ Cierre TSQ</t>
  </si>
  <si>
    <t>M2+ Torretas TSQ</t>
  </si>
  <si>
    <t xml:space="preserve">M3 PreReinicio ESTJ3C10 </t>
  </si>
  <si>
    <t xml:space="preserve">M3 CHG002967048 Reinicio ESTJ3C10 </t>
  </si>
  <si>
    <t>M2 + WLCParís CHG002929201</t>
  </si>
  <si>
    <t>M1 WLCParís CHG002949538</t>
  </si>
  <si>
    <t>JUNIO</t>
  </si>
  <si>
    <t>JULIO</t>
  </si>
  <si>
    <t>Precarga Upgrd Cisco</t>
  </si>
  <si>
    <t>AGOSTO</t>
  </si>
  <si>
    <t>SEPTIEMBRE</t>
  </si>
  <si>
    <t>OCTUBRE</t>
  </si>
  <si>
    <t>NOVIEMBRE</t>
  </si>
  <si>
    <t>DICIEMBRE</t>
  </si>
  <si>
    <t>07-15:00</t>
  </si>
  <si>
    <t>07-14:00</t>
  </si>
  <si>
    <t xml:space="preserve">M2 </t>
  </si>
  <si>
    <t>08-17:00</t>
  </si>
  <si>
    <t>08-15:00</t>
  </si>
  <si>
    <t>09-18:00</t>
  </si>
  <si>
    <t>10-18:00</t>
  </si>
  <si>
    <t>10-19:00</t>
  </si>
  <si>
    <t>11-19:00</t>
  </si>
  <si>
    <t>f5</t>
  </si>
  <si>
    <t>M2+ Distri Faro</t>
  </si>
  <si>
    <t>Israel Hurtado</t>
  </si>
  <si>
    <t>TT</t>
  </si>
  <si>
    <t>Jose Maria Andres Becerra</t>
  </si>
  <si>
    <t>Daniel Portugues</t>
  </si>
  <si>
    <t>Eduardo Rodriguez</t>
  </si>
  <si>
    <t>Fernando Lourido</t>
  </si>
  <si>
    <t>Manuel Cabana Robaina</t>
  </si>
  <si>
    <t>Networking</t>
  </si>
  <si>
    <t>Fernando Miguel Lourido Doñoro</t>
  </si>
  <si>
    <t>Fernando Rubio Ferrer</t>
  </si>
  <si>
    <t>Francisco de Asis Miralles Argente</t>
  </si>
  <si>
    <t>Proyectos</t>
  </si>
  <si>
    <t>Francisco Javier Pastor Portillo</t>
  </si>
  <si>
    <t>Vicente Sanchez Cañadilla</t>
  </si>
  <si>
    <t>Dia</t>
  </si>
  <si>
    <t>Fin</t>
  </si>
  <si>
    <t>Grupos de Soporte</t>
  </si>
  <si>
    <t>Miercoles</t>
  </si>
  <si>
    <t>Octubre</t>
  </si>
  <si>
    <t>Noviembre</t>
  </si>
  <si>
    <t>Otros</t>
  </si>
  <si>
    <r>
      <t>x229864 </t>
    </r>
    <r>
      <rPr>
        <sz val="11"/>
        <color rgb="FF242424"/>
        <rFont val="-Apple-System"/>
        <charset val="1"/>
      </rPr>
      <t>EDUARDO RODRIGUEZ IZQUIERDO</t>
    </r>
  </si>
  <si>
    <t>n65428  JOSE MARIA ANDRES BECERRA</t>
  </si>
  <si>
    <t>x228992 FERNANDO MANUEL LANGREO GONZALEZ</t>
  </si>
  <si>
    <t>n53828 FRANCISCO DE ASIS MIRALLES ARGENTE</t>
  </si>
  <si>
    <t>n524728 DANIEL PORTUGUES MONCALVILLO</t>
  </si>
  <si>
    <t>x228923 FERNANDO RUBIO FERRER</t>
  </si>
  <si>
    <t>n219466 ISRAEL HURTADO ARRIBAS</t>
  </si>
  <si>
    <t>Telefóno de Guardia</t>
  </si>
  <si>
    <t>DNI</t>
  </si>
  <si>
    <t>USUARIO</t>
  </si>
  <si>
    <t>Num. Tarjeta</t>
  </si>
  <si>
    <t>MATRICULA COCHE</t>
  </si>
  <si>
    <t>Francisco de Asis</t>
  </si>
  <si>
    <t>Miralles Argente</t>
  </si>
  <si>
    <t>52.769.580-J</t>
  </si>
  <si>
    <t>n053828</t>
  </si>
  <si>
    <t>francisco.miralles@gruposantander.com</t>
  </si>
  <si>
    <t>2490 FYN</t>
  </si>
  <si>
    <t>Networking/Multimedia</t>
  </si>
  <si>
    <t xml:space="preserve">Israel </t>
  </si>
  <si>
    <t>Hurtado Arribas</t>
  </si>
  <si>
    <t>52.991.992-S</t>
  </si>
  <si>
    <t>n219466</t>
  </si>
  <si>
    <t>israel.hurtado@gruposantander.com</t>
  </si>
  <si>
    <t>7230DWW</t>
  </si>
  <si>
    <t>Daniel</t>
  </si>
  <si>
    <t xml:space="preserve">Portugués Moncalvillo </t>
  </si>
  <si>
    <t>50.224.785-F</t>
  </si>
  <si>
    <t>n524728</t>
  </si>
  <si>
    <t>daniel.portugues@gruposantander.com</t>
  </si>
  <si>
    <t>6660 JXL</t>
  </si>
  <si>
    <t>Jose María</t>
  </si>
  <si>
    <t>Andres Becerra</t>
  </si>
  <si>
    <t>50.103.936-T</t>
  </si>
  <si>
    <t>n065428</t>
  </si>
  <si>
    <t>jose.andres@gruposantander.com</t>
  </si>
  <si>
    <t xml:space="preserve">4478 JWY </t>
  </si>
  <si>
    <t>Eduardo</t>
  </si>
  <si>
    <t>Rodriguez Izquierdo</t>
  </si>
  <si>
    <t>53.043.892-G</t>
  </si>
  <si>
    <t>n356509</t>
  </si>
  <si>
    <t>eduardo.rodriguezizquierdo@gruposantander.com</t>
  </si>
  <si>
    <t>4665 JSM</t>
  </si>
  <si>
    <t>FRANCISCO JAVIER</t>
  </si>
  <si>
    <t>PASTOR PORTILLO</t>
  </si>
  <si>
    <t>53.043.732-M</t>
  </si>
  <si>
    <t>n129695</t>
  </si>
  <si>
    <t>franciscojavier.pastorportillo@gruposantander.es</t>
  </si>
  <si>
    <t>3674 HVC </t>
  </si>
  <si>
    <t>ALFONSO</t>
  </si>
  <si>
    <t>GOMEZ CALZADO</t>
  </si>
  <si>
    <t>28.497.454-V</t>
  </si>
  <si>
    <t>n129759</t>
  </si>
  <si>
    <t>alfonso.gomezcalzado@gruposantander.es</t>
  </si>
  <si>
    <t>9579 FTZ</t>
  </si>
  <si>
    <t>VICENTE</t>
  </si>
  <si>
    <t>SANCHEZ CAÑADILLA</t>
  </si>
  <si>
    <t>02.264.024-L</t>
  </si>
  <si>
    <t>n129762</t>
  </si>
  <si>
    <t>vicente.sanchezcanadilla@gruposantander.es</t>
  </si>
  <si>
    <t>5408 GRW</t>
  </si>
  <si>
    <t>Gestión de la demanada</t>
  </si>
  <si>
    <t>FERNANDO MIGUEL</t>
  </si>
  <si>
    <t>LOURIDO DOÑORO</t>
  </si>
  <si>
    <t>52.881.340-Q</t>
  </si>
  <si>
    <t>n572561</t>
  </si>
  <si>
    <t>fernandomiguel.lourido@servexternos.gruposantander.es</t>
  </si>
  <si>
    <t>6305 GRM / 1744 KWW</t>
  </si>
  <si>
    <t>CARLOS MANUEL</t>
  </si>
  <si>
    <t>BOURGEON PEREZ</t>
  </si>
  <si>
    <t>05.954.219-W</t>
  </si>
  <si>
    <t>n355080</t>
  </si>
  <si>
    <t>05954219W</t>
  </si>
  <si>
    <t>carlos.bourgeon@gruposantander.es</t>
  </si>
  <si>
    <t>-</t>
  </si>
  <si>
    <t>FRANCISCO</t>
  </si>
  <si>
    <t>TRIGO CASANUEVA</t>
  </si>
  <si>
    <t>02.856.182-L</t>
  </si>
  <si>
    <t xml:space="preserve">x274754 </t>
  </si>
  <si>
    <t>francisco.trigocasanueva@servexternos.gruposantander.es</t>
  </si>
  <si>
    <t>2533 KMT</t>
  </si>
  <si>
    <t>DWP EUT</t>
  </si>
  <si>
    <t>KATHERINE</t>
  </si>
  <si>
    <t>LLANTOY SALVATIERRA</t>
  </si>
  <si>
    <t>54.650.004-A</t>
  </si>
  <si>
    <t>n355204</t>
  </si>
  <si>
    <t>katherine.llantoy@gruposantander.com</t>
  </si>
  <si>
    <t>2936 JWX / 1069KPH</t>
  </si>
  <si>
    <t>ZAMORANO RUEDA</t>
  </si>
  <si>
    <t>51.519.302-S</t>
  </si>
  <si>
    <t>n356617</t>
  </si>
  <si>
    <t>j.zamorano@gruposantander.com</t>
  </si>
  <si>
    <t>2322 KZK</t>
  </si>
  <si>
    <t>GUZMÁN DEL HIERRO</t>
  </si>
  <si>
    <t>02.617.612-M</t>
  </si>
  <si>
    <t>n52731</t>
  </si>
  <si>
    <t>alfonso.guzman@gruposantander.com</t>
  </si>
  <si>
    <t>7215 CFP</t>
  </si>
  <si>
    <t>FRANCISCO JAVER</t>
  </si>
  <si>
    <t>PUERTAS DE LA PLAZA</t>
  </si>
  <si>
    <t>46.838.201-N</t>
  </si>
  <si>
    <t>x099358</t>
  </si>
  <si>
    <t>fjpuertas@servexternos.gruposantander.com</t>
  </si>
  <si>
    <t>7411 KPF</t>
  </si>
  <si>
    <t xml:space="preserve">JOSÉ MARÍA </t>
  </si>
  <si>
    <t>MORENO MORENO</t>
  </si>
  <si>
    <t>46.870.009-B</t>
  </si>
  <si>
    <t>x228543</t>
  </si>
  <si>
    <t>Jose.Moreno@servexternos.gruposantander.com</t>
  </si>
  <si>
    <t>7074 KZN</t>
  </si>
  <si>
    <t>Manuel</t>
  </si>
  <si>
    <t>Cabana Robaina</t>
  </si>
  <si>
    <t>n818468</t>
  </si>
  <si>
    <t>657 944 125</t>
  </si>
  <si>
    <t>32737673W</t>
  </si>
  <si>
    <t>manuel.cabana@gruposantander.com</t>
  </si>
  <si>
    <t>9506 LPK</t>
  </si>
  <si>
    <t>50543426Y</t>
  </si>
  <si>
    <t>hector.felipe@servexternos.gruposantander.com</t>
  </si>
  <si>
    <t>5370 GKC/ 5959NKT</t>
  </si>
  <si>
    <t>x350305</t>
  </si>
  <si>
    <t>fernando.rubio@servexternos.gruposantander.com</t>
  </si>
  <si>
    <t>9631 JZB</t>
  </si>
  <si>
    <t>x228923</t>
  </si>
  <si>
    <t>02882542K</t>
  </si>
  <si>
    <t>josemiguel.perea@servexternos.gruposantander.com</t>
  </si>
  <si>
    <t>5810 JWW</t>
  </si>
  <si>
    <t>x274750</t>
  </si>
  <si>
    <t>Fernando Manuel Langreo González</t>
  </si>
  <si>
    <t>52356319Q</t>
  </si>
  <si>
    <t>fernando.langreo@servexternos.gruposantander.com</t>
  </si>
  <si>
    <t>7062 DRG</t>
  </si>
  <si>
    <t>x228992</t>
  </si>
  <si>
    <t>X6820479J</t>
  </si>
  <si>
    <t>liviu.lazar@servexternos.gruposantander.com</t>
  </si>
  <si>
    <t>0636 DHL/ 4784KXK</t>
  </si>
  <si>
    <t>x229227</t>
  </si>
  <si>
    <t>Jose Luis Cartas Velasco</t>
  </si>
  <si>
    <t>14304751Q</t>
  </si>
  <si>
    <t>jose.cartas@servexternos.gruposantander.com</t>
  </si>
  <si>
    <t>5220 KKK</t>
  </si>
  <si>
    <t>x229265</t>
  </si>
  <si>
    <t>Y9340716Q</t>
  </si>
  <si>
    <t>mariano.grillo@servexternos.gruposantander.com</t>
  </si>
  <si>
    <t>Coche 3631 FYH / Moto 3574 JZZ</t>
  </si>
  <si>
    <t>x424149</t>
  </si>
  <si>
    <t>José Luis de Juan Mejía</t>
  </si>
  <si>
    <t>53902321G</t>
  </si>
  <si>
    <t>joselu.dejuan@servexternos.gruponsantander.com</t>
  </si>
  <si>
    <t xml:space="preserve"> 8049 KRX</t>
  </si>
  <si>
    <t>x834576</t>
  </si>
  <si>
    <t>Teléfono del Servicio</t>
  </si>
  <si>
    <t>Fernando Martín Sánchez</t>
  </si>
  <si>
    <t>11841684L</t>
  </si>
  <si>
    <t>fernando.martin@servexternos.gruposantander.com</t>
  </si>
  <si>
    <t>x413729</t>
  </si>
  <si>
    <t>M2 + F FW Unity</t>
  </si>
  <si>
    <t>M2 + F</t>
  </si>
  <si>
    <t>M2 + F Triton</t>
  </si>
  <si>
    <t>M2 + Voz</t>
  </si>
  <si>
    <t>M2 + Infoblox</t>
  </si>
  <si>
    <t>Juniper Distribs</t>
  </si>
  <si>
    <t>Webex Calling</t>
  </si>
  <si>
    <t>Fernando III Martín</t>
  </si>
  <si>
    <t>M3 FW Unity</t>
  </si>
  <si>
    <t>M3 TENA</t>
  </si>
  <si>
    <t>M1 F</t>
  </si>
  <si>
    <t>M2 F</t>
  </si>
  <si>
    <t>M3 Triton</t>
  </si>
  <si>
    <t>M3 F</t>
  </si>
  <si>
    <t>SD WAN 10:00 - 15:00</t>
  </si>
  <si>
    <t>FSW 15:00 19:00</t>
  </si>
  <si>
    <t>M2 + CL-ISE</t>
  </si>
  <si>
    <t>M2 CL-ISE</t>
  </si>
  <si>
    <t>M2 Tena</t>
  </si>
  <si>
    <t>M2 F CL-ISE</t>
  </si>
  <si>
    <t>M2 Infoblox</t>
  </si>
  <si>
    <t>M1 F CL-ISE</t>
  </si>
  <si>
    <t>CL-ISE</t>
  </si>
  <si>
    <t>M1 CL-ISE Cert-CL</t>
  </si>
  <si>
    <t>M2 + GSGuest CGS</t>
  </si>
  <si>
    <t>M2 + F CL-ISE</t>
  </si>
  <si>
    <t>FMng 09:00 - 15:00</t>
  </si>
  <si>
    <t>SD WAN 9:00 - 15:00</t>
  </si>
  <si>
    <t>M2 + FW</t>
  </si>
  <si>
    <t>M2 + Etiquetar Unity UK</t>
  </si>
  <si>
    <t>M2 Cristalia</t>
  </si>
  <si>
    <t>M1 CL-ISE</t>
  </si>
  <si>
    <t>Cambio SW Triton</t>
  </si>
  <si>
    <t>M2+ Pinar</t>
  </si>
  <si>
    <t>M2 + Upgrade Meraki</t>
  </si>
  <si>
    <t>M2 Precarga Upgrade /J CHG002170621</t>
  </si>
  <si>
    <t xml:space="preserve">Upgrade Cisco /J </t>
  </si>
  <si>
    <t>FW</t>
  </si>
  <si>
    <t>M2 Shutdown RIVCIXCS CHG002142864</t>
  </si>
  <si>
    <t>M2 NTP
CHG002180271</t>
  </si>
  <si>
    <t>M2 Triton</t>
  </si>
  <si>
    <t>M2 NTP</t>
  </si>
  <si>
    <t>M1 tagg Unity</t>
  </si>
  <si>
    <t>M2 + Script</t>
  </si>
  <si>
    <t>M2 Shutdown RIVCIXCN</t>
  </si>
  <si>
    <t>M2+ Warsaw</t>
  </si>
  <si>
    <t>M1 NTP</t>
  </si>
  <si>
    <t>M2 + Patch Pannel JV</t>
  </si>
  <si>
    <t>M2 Precarga Upgrade</t>
  </si>
  <si>
    <t>M2 WC</t>
  </si>
  <si>
    <t>M2 Compliance Juniper</t>
  </si>
  <si>
    <t>M2 Rutas SDWAN Legendre</t>
  </si>
  <si>
    <t>M2+ Compliance Juniper</t>
  </si>
  <si>
    <t>M2+ Upgrade Cisco</t>
  </si>
  <si>
    <t>M1 SFP SUNITYP5 Port 49</t>
  </si>
  <si>
    <t>M1 Upgrade Meraki</t>
  </si>
  <si>
    <t>M2 Script Full UK</t>
  </si>
  <si>
    <t>M2 + WC</t>
  </si>
  <si>
    <t>M2+ AP UK</t>
  </si>
  <si>
    <t>M1 WC</t>
  </si>
  <si>
    <t>M2 APs Tena</t>
  </si>
  <si>
    <t>Flop 5:30</t>
  </si>
  <si>
    <t>M2 Upgrade Meraki</t>
  </si>
  <si>
    <t>Upgrade Meraki</t>
  </si>
  <si>
    <t>M2+ Raid 2 Infoblox</t>
  </si>
  <si>
    <t>Flip 20:00</t>
  </si>
  <si>
    <t>M1 Logs</t>
  </si>
  <si>
    <t>Descripciones TSQ</t>
  </si>
  <si>
    <t>M2 HTTPs UK</t>
  </si>
  <si>
    <t>M2 Shutdown &gt;3 Unity</t>
  </si>
  <si>
    <t>M1 APs Recoletos</t>
  </si>
  <si>
    <t xml:space="preserve">M1 Swift UK </t>
  </si>
  <si>
    <t>M1 Shutdown &gt;3 y SSH Unity</t>
  </si>
  <si>
    <t>M2 ESKC0203</t>
  </si>
  <si>
    <t>M2+ Precarga Upgrade</t>
  </si>
  <si>
    <t>M1 Shutdown &gt;3 Unity</t>
  </si>
  <si>
    <t>M2 AP</t>
  </si>
  <si>
    <t>M2 Reinicio Dis Tena</t>
  </si>
  <si>
    <t>M2 + UK</t>
  </si>
  <si>
    <t>M2 + UK PCN Maya</t>
  </si>
  <si>
    <t>M2 Reinicio APs</t>
  </si>
  <si>
    <t>M1 + UK</t>
  </si>
  <si>
    <t>Upgrade WLC bug</t>
  </si>
  <si>
    <t>M2+ Tena GSMOBILE</t>
  </si>
  <si>
    <t>Tena y Abelias</t>
  </si>
  <si>
    <t>FWSANVCIXBO02/BE 02</t>
  </si>
  <si>
    <t>M2 WiFi Tena</t>
  </si>
  <si>
    <t>Fernando Martín</t>
  </si>
  <si>
    <t>M2+ VLAN UNITY</t>
  </si>
  <si>
    <t>M2+ Junipers Tena</t>
  </si>
  <si>
    <t>M1 Precarga Upgrade</t>
  </si>
  <si>
    <t>M3 Puerto TSQ</t>
  </si>
  <si>
    <t>M2 VLAN UNITY</t>
  </si>
  <si>
    <t>M3 Junipers Tena</t>
  </si>
  <si>
    <t>FWGUESTBE03</t>
  </si>
  <si>
    <t>M2 + FWTSQ</t>
  </si>
  <si>
    <t>M2 +
TSQ ports</t>
  </si>
  <si>
    <t>Flip - Flop 6:00 a 16:00</t>
  </si>
  <si>
    <t>M2 Shutdown Unity</t>
  </si>
  <si>
    <t>M2 
Shut Unity Ports TSQ</t>
  </si>
  <si>
    <t>M2 + APs Abelias</t>
  </si>
  <si>
    <t>M2+ Shutdown Unity</t>
  </si>
  <si>
    <t>M2 +
Puertos TSQ</t>
  </si>
  <si>
    <t>Tarjeta DSWIXBO01</t>
  </si>
  <si>
    <t>M3 APs Abelias</t>
  </si>
  <si>
    <t>M1 SSID</t>
  </si>
  <si>
    <t>FW Palo Alto</t>
  </si>
  <si>
    <t>M2 + CESB2 to VCIXBO1</t>
  </si>
  <si>
    <t>M2 + SNMP CTCCS</t>
  </si>
  <si>
    <t>M2
Cableado Jardin</t>
  </si>
  <si>
    <t>M2+ Reinicio SBOA1121</t>
  </si>
  <si>
    <t>M2+
Descrip TSQ</t>
  </si>
  <si>
    <t>M2 + 
Reglas TSQ</t>
  </si>
  <si>
    <t>M1 
Descrip TSQ</t>
  </si>
  <si>
    <t>Upgrade WLC Abelias</t>
  </si>
  <si>
    <t>M2 + Reinicio Distri</t>
  </si>
  <si>
    <t>M2 + Descripcion
Unity</t>
  </si>
  <si>
    <t>M2 + MACs Recoletos</t>
  </si>
  <si>
    <t>M2 + Descripcion
TSQ</t>
  </si>
  <si>
    <t>M2 Cableado Maya</t>
  </si>
  <si>
    <t>M2 Vlan 
Sta Barbra</t>
  </si>
  <si>
    <t>M2 Descripcion TSQ</t>
  </si>
  <si>
    <t>M2+ SNMP</t>
  </si>
  <si>
    <t>M1 Descripcion
Unity</t>
  </si>
  <si>
    <t xml:space="preserve">M1 Descripcion
Unity / </t>
  </si>
  <si>
    <t>Upgrade WLC Tunn&amp;Recoletos</t>
  </si>
  <si>
    <t>M2+ FW SCF</t>
  </si>
  <si>
    <t>M2+ Vlan Tena</t>
  </si>
  <si>
    <t>M2 + Breakout</t>
  </si>
  <si>
    <t>M1 Puertos Sticky TSQ</t>
  </si>
  <si>
    <t>- VISITAS -</t>
  </si>
  <si>
    <t>CGS</t>
  </si>
  <si>
    <t>C &amp; SB &amp; R &amp; ML</t>
  </si>
  <si>
    <t>T &amp; A &amp; JV</t>
  </si>
  <si>
    <t>Langreo</t>
  </si>
  <si>
    <t>Héctor</t>
  </si>
  <si>
    <t>Josemi</t>
  </si>
  <si>
    <t>Cartas</t>
  </si>
  <si>
    <t>Mariano</t>
  </si>
  <si>
    <t>Liviu</t>
  </si>
  <si>
    <t>JJ</t>
  </si>
  <si>
    <t>- EN OFICINA -</t>
  </si>
  <si>
    <t>Lunes a Jueves de 10 a 19h | Viernes 11 a 19h apartir del 26 de Febrero, el M3 será el que realizce las tareas de Guardia</t>
  </si>
  <si>
    <t>Vacaciones 2023</t>
  </si>
  <si>
    <t>Vacacioness 2024</t>
  </si>
  <si>
    <t> UK Triton</t>
  </si>
  <si>
    <t>M2 + (V)</t>
  </si>
  <si>
    <t> INC Luca</t>
  </si>
  <si>
    <t>M2/G</t>
  </si>
  <si>
    <t>M2/G (V)</t>
  </si>
  <si>
    <t>M2+/G</t>
  </si>
  <si>
    <t>Boris Cerda</t>
  </si>
  <si>
    <t>M1 (V)</t>
  </si>
  <si>
    <t> Upgra Unity</t>
  </si>
  <si>
    <t>M2 (V)</t>
  </si>
  <si>
    <t>Ignacio Loperena</t>
  </si>
  <si>
    <t>José Luis Cartas Velasco</t>
  </si>
  <si>
    <t>b</t>
  </si>
  <si>
    <t> Upgra Juniper</t>
  </si>
  <si>
    <t>d</t>
  </si>
  <si>
    <t> DHCP DNS</t>
  </si>
  <si>
    <t>Héctor Felipe García</t>
  </si>
  <si>
    <t>G/M2+ y M3</t>
  </si>
  <si>
    <t>G/M3</t>
  </si>
  <si>
    <t>Actual Distrib</t>
  </si>
  <si>
    <t>Flip Flop</t>
  </si>
  <si>
    <t>Control Aruba</t>
  </si>
  <si>
    <t>Luis Alberto Velasco Rodríguez</t>
  </si>
  <si>
    <t> Act. Mobility</t>
  </si>
  <si>
    <t> Control Aruba</t>
  </si>
  <si>
    <t>Downg Control</t>
  </si>
  <si>
    <t> Meraki</t>
  </si>
  <si>
    <t>Meraki</t>
  </si>
  <si>
    <t> WLC Aruba</t>
  </si>
  <si>
    <t>M2 Test</t>
  </si>
  <si>
    <t>Abelia</t>
  </si>
  <si>
    <t>Cert Wifi M2</t>
  </si>
  <si>
    <t>Tena</t>
  </si>
  <si>
    <t>M1 9xxx</t>
  </si>
  <si>
    <t>Control Recolet</t>
  </si>
  <si>
    <t>M2+ 9xxxx</t>
  </si>
  <si>
    <t>M1 Unity</t>
  </si>
  <si>
    <t>Unity UK</t>
  </si>
  <si>
    <t>Control JV</t>
  </si>
  <si>
    <t>Control Tena</t>
  </si>
  <si>
    <t>VCIXBO M2</t>
  </si>
  <si>
    <t> Cert Tena</t>
  </si>
  <si>
    <t>VCIXBE M2</t>
  </si>
  <si>
    <t>VCIXCN M2</t>
  </si>
  <si>
    <t>UK 7 am</t>
  </si>
  <si>
    <t>Buffer VCIXCS</t>
  </si>
  <si>
    <t>M2 + Fortmng</t>
  </si>
  <si>
    <t>11 FortiSW</t>
  </si>
  <si>
    <t>M2 AP Tena</t>
  </si>
  <si>
    <t>Juniper</t>
  </si>
  <si>
    <t>Backup Legendre</t>
  </si>
  <si>
    <t>M2 + Abelias</t>
  </si>
  <si>
    <t>Cableado RIVCIXBE1</t>
  </si>
  <si>
    <t>M2 Controla</t>
  </si>
  <si>
    <t>M2 + Distrib Tena</t>
  </si>
  <si>
    <t>Juniper Pedreñ</t>
  </si>
  <si>
    <t>M2 + Puerto JV</t>
  </si>
  <si>
    <t>Juniper Cantab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</si>
</sst>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yyyy"/>
    <numFmt numFmtId="165" formatCode="d"/>
    <numFmt numFmtId="166" formatCode="h:mm;@"/>
    <numFmt numFmtId="167" formatCode="#######0000000"/>
  </numFmts>
  <fonts count="103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9"/>
      <name val="Century Gothic"/>
      <family val="2"/>
    </font>
    <font>
      <sz val="8"/>
      <name val="Century Gothic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i/>
      <sz val="10"/>
      <color rgb="FFFFFFFF"/>
      <name val="Century Gothic"/>
      <family val="2"/>
    </font>
    <font>
      <sz val="9"/>
      <color theme="1"/>
      <name val="Century Gothic"/>
      <family val="2"/>
    </font>
    <font>
      <b/>
      <sz val="10"/>
      <color rgb="FFFFFFFF"/>
      <name val="Century Gothic"/>
      <family val="2"/>
    </font>
    <font>
      <b/>
      <sz val="18"/>
      <color rgb="FF333333"/>
      <name val="Century Gothic"/>
      <family val="2"/>
    </font>
    <font>
      <sz val="11"/>
      <color rgb="FFFFFFFF"/>
      <name val="Century Gothic"/>
      <family val="2"/>
    </font>
    <font>
      <sz val="10"/>
      <color rgb="FFFFFFFF"/>
      <name val="Century Gothic"/>
      <family val="2"/>
    </font>
    <font>
      <sz val="9"/>
      <color rgb="FFFFFFFF"/>
      <name val="Century Gothic"/>
      <family val="2"/>
    </font>
    <font>
      <b/>
      <sz val="8"/>
      <name val="Century Gothic"/>
      <family val="2"/>
    </font>
    <font>
      <sz val="11"/>
      <color rgb="FF000000"/>
      <name val="Calibri"/>
      <family val="2"/>
    </font>
    <font>
      <sz val="11"/>
      <color rgb="FF242424"/>
      <name val="Segoe UI"/>
      <family val="2"/>
    </font>
    <font>
      <sz val="11"/>
      <color rgb="FF242424"/>
      <name val="-Apple-System"/>
      <charset val="1"/>
    </font>
    <font>
      <sz val="11"/>
      <color rgb="FFC65911"/>
      <name val="Calibri"/>
      <family val="2"/>
      <charset val="1"/>
    </font>
    <font>
      <strike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</font>
    <font>
      <b/>
      <sz val="9"/>
      <color theme="0"/>
      <name val="Arial Narrow"/>
      <family val="2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3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entury Gothic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8"/>
      <name val="Calibri"/>
      <family val="2"/>
    </font>
    <font>
      <sz val="20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0"/>
      <color rgb="FFFFFFFF"/>
      <name val="Book Antiqua"/>
      <family val="1"/>
    </font>
    <font>
      <sz val="10"/>
      <color rgb="FFFFFFFF"/>
      <name val="Book Antiqua"/>
      <family val="1"/>
    </font>
    <font>
      <sz val="11"/>
      <color theme="1"/>
      <name val="Book Antiqua"/>
      <family val="1"/>
    </font>
    <font>
      <sz val="10"/>
      <name val="Book Antiqua"/>
      <family val="1"/>
    </font>
    <font>
      <sz val="9"/>
      <name val="Book Antiqua"/>
      <family val="1"/>
    </font>
    <font>
      <u/>
      <sz val="11"/>
      <color theme="10"/>
      <name val="Book Antiqua"/>
      <family val="1"/>
    </font>
    <font>
      <sz val="10"/>
      <color theme="1"/>
      <name val="Book Antiqua"/>
      <family val="1"/>
    </font>
    <font>
      <sz val="10"/>
      <color rgb="FF222222"/>
      <name val="Arial"/>
      <family val="2"/>
    </font>
    <font>
      <sz val="11"/>
      <color rgb="FF444444"/>
      <name val="Calibri"/>
      <family val="2"/>
      <charset val="1"/>
    </font>
    <font>
      <b/>
      <sz val="8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20"/>
      <color rgb="FFFFFFFF"/>
      <name val="Book Antiqua"/>
      <family val="1"/>
    </font>
    <font>
      <sz val="26"/>
      <color rgb="FFFFFFFF"/>
      <name val="Book Antiqua"/>
      <family val="1"/>
    </font>
    <font>
      <sz val="26"/>
      <color theme="1"/>
      <name val="Calibri"/>
      <family val="2"/>
      <scheme val="minor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0"/>
      <name val="Arial"/>
    </font>
    <font>
      <sz val="36"/>
      <color theme="1"/>
      <name val="Arial"/>
    </font>
    <font>
      <b/>
      <sz val="11"/>
      <color rgb="FF000000"/>
      <name val="Arial"/>
    </font>
    <font>
      <b/>
      <sz val="11"/>
      <color rgb="FFFF0000"/>
      <name val="Arial"/>
    </font>
    <font>
      <b/>
      <sz val="12"/>
      <color theme="1"/>
      <name val="Arial"/>
    </font>
    <font>
      <b/>
      <sz val="12"/>
      <color rgb="FFFF0000"/>
      <name val="Arial"/>
    </font>
    <font>
      <sz val="12"/>
      <color theme="1"/>
      <name val="Arial"/>
    </font>
    <font>
      <b/>
      <sz val="12"/>
      <color rgb="FF000000"/>
      <name val="Arial"/>
    </font>
    <font>
      <b/>
      <sz val="12"/>
      <color theme="8"/>
      <name val="Arial"/>
    </font>
    <font>
      <sz val="9"/>
      <color rgb="FF000000"/>
      <name val="Arial"/>
    </font>
    <font>
      <sz val="11"/>
      <color theme="1"/>
      <name val="Calibri"/>
    </font>
    <font>
      <sz val="11"/>
      <color rgb="FF000000"/>
      <name val="Calibri"/>
    </font>
    <font>
      <strike/>
      <sz val="11"/>
      <color theme="1"/>
      <name val="Calibri"/>
    </font>
    <font>
      <sz val="11"/>
      <color theme="0"/>
      <name val="Arial"/>
    </font>
    <font>
      <sz val="14"/>
      <color theme="1"/>
      <name val="ADLaM Display"/>
    </font>
    <font>
      <b/>
      <sz val="10"/>
      <color rgb="FFFFFFFF"/>
      <name val="Arial"/>
      <family val="2"/>
    </font>
    <font>
      <sz val="10"/>
      <name val="Arial"/>
    </font>
    <font>
      <b/>
      <sz val="10"/>
      <color theme="0"/>
      <name val="Arial"/>
      <family val="2"/>
    </font>
    <font>
      <b/>
      <sz val="10"/>
      <name val="Arial"/>
      <family val="2"/>
    </font>
    <font>
      <sz val="8"/>
      <color theme="1"/>
      <name val="Arial"/>
    </font>
    <font>
      <b/>
      <sz val="8"/>
      <color theme="1"/>
      <name val="Arial"/>
    </font>
    <font>
      <b/>
      <sz val="8"/>
      <color rgb="FF000000"/>
      <name val="Arial"/>
    </font>
  </fonts>
  <fills count="6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3D2E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66FF99"/>
        <bgColor rgb="FF000000"/>
      </patternFill>
    </fill>
    <fill>
      <patternFill patternType="solid">
        <fgColor rgb="FFFFF7F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B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5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777777"/>
      </right>
      <top style="thin">
        <color rgb="FF777777"/>
      </top>
      <bottom/>
      <diagonal/>
    </border>
    <border>
      <left style="thin">
        <color rgb="FFA8B2B2"/>
      </left>
      <right style="thin">
        <color rgb="FF777777"/>
      </right>
      <top style="thin">
        <color rgb="FF777777"/>
      </top>
      <bottom style="thin">
        <color rgb="FF757A8B"/>
      </bottom>
      <diagonal/>
    </border>
    <border>
      <left style="thin">
        <color rgb="FFA8B2B2"/>
      </left>
      <right style="thin">
        <color rgb="FF777777"/>
      </right>
      <top/>
      <bottom style="thin">
        <color rgb="FFA8B2B2"/>
      </bottom>
      <diagonal/>
    </border>
    <border>
      <left style="thin">
        <color rgb="FFA8B2B2"/>
      </left>
      <right/>
      <top/>
      <bottom style="thin">
        <color rgb="FFA8B2B2"/>
      </bottom>
      <diagonal/>
    </border>
    <border>
      <left style="thin">
        <color rgb="FF777777"/>
      </left>
      <right/>
      <top/>
      <bottom style="thin">
        <color rgb="FF777777"/>
      </bottom>
      <diagonal/>
    </border>
    <border>
      <left style="thin">
        <color rgb="FFA8B2B2"/>
      </left>
      <right/>
      <top style="thin">
        <color rgb="FF777777"/>
      </top>
      <bottom style="thin">
        <color rgb="FF757A8B"/>
      </bottom>
      <diagonal/>
    </border>
    <border>
      <left style="thin">
        <color rgb="FF777777"/>
      </left>
      <right style="thin">
        <color rgb="FFA8B2B2"/>
      </right>
      <top style="thin">
        <color rgb="FF777777"/>
      </top>
      <bottom style="thin">
        <color rgb="FF757A8B"/>
      </bottom>
      <diagonal/>
    </border>
    <border>
      <left/>
      <right/>
      <top/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 style="thin">
        <color rgb="FFA8B2B2"/>
      </left>
      <right/>
      <top style="thin">
        <color rgb="FF777777"/>
      </top>
      <bottom/>
      <diagonal/>
    </border>
    <border>
      <left/>
      <right/>
      <top style="thin">
        <color rgb="FFA8B2B2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777777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777777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777777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 style="thin">
        <color indexed="64"/>
      </diagonal>
    </border>
    <border diagonalUp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indexed="64"/>
      </diagonal>
    </border>
    <border diagonalUp="1">
      <left style="thin">
        <color rgb="FF000000"/>
      </left>
      <right style="thin">
        <color rgb="FF000000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5" fillId="0" borderId="1" applyNumberFormat="0" applyFill="0" applyAlignment="0" applyProtection="0"/>
    <xf numFmtId="9" fontId="40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980">
    <xf numFmtId="0" fontId="0" fillId="0" borderId="0" xfId="0"/>
    <xf numFmtId="0" fontId="10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" fontId="8" fillId="5" borderId="2" xfId="0" applyNumberFormat="1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7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49" fontId="2" fillId="4" borderId="5" xfId="0" applyNumberFormat="1" applyFont="1" applyFill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0" fillId="0" borderId="14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20" xfId="0" applyFont="1" applyFill="1" applyBorder="1" applyAlignment="1">
      <alignment horizontal="center"/>
    </xf>
    <xf numFmtId="20" fontId="0" fillId="9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3" fillId="15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8" borderId="0" xfId="0" applyFill="1"/>
    <xf numFmtId="0" fontId="0" fillId="14" borderId="0" xfId="0" applyFill="1" applyAlignment="1">
      <alignment horizontal="center"/>
    </xf>
    <xf numFmtId="0" fontId="0" fillId="14" borderId="16" xfId="0" applyFill="1" applyBorder="1" applyAlignment="1">
      <alignment horizontal="center"/>
    </xf>
    <xf numFmtId="0" fontId="16" fillId="0" borderId="0" xfId="0" applyFont="1" applyAlignment="1">
      <alignment wrapText="1"/>
    </xf>
    <xf numFmtId="0" fontId="10" fillId="5" borderId="9" xfId="0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5" fillId="13" borderId="22" xfId="0" applyFont="1" applyFill="1" applyBorder="1" applyAlignment="1">
      <alignment horizontal="center"/>
    </xf>
    <xf numFmtId="0" fontId="5" fillId="13" borderId="23" xfId="0" applyFont="1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27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22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5" fillId="13" borderId="33" xfId="0" applyFont="1" applyFill="1" applyBorder="1" applyAlignment="1">
      <alignment horizontal="center"/>
    </xf>
    <xf numFmtId="0" fontId="5" fillId="13" borderId="3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17" borderId="26" xfId="0" applyFill="1" applyBorder="1" applyAlignment="1">
      <alignment horizontal="center"/>
    </xf>
    <xf numFmtId="20" fontId="0" fillId="0" borderId="27" xfId="0" applyNumberFormat="1" applyBorder="1" applyAlignment="1">
      <alignment horizontal="center"/>
    </xf>
    <xf numFmtId="20" fontId="0" fillId="8" borderId="0" xfId="0" applyNumberFormat="1" applyFill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5" xfId="0" applyBorder="1" applyAlignment="1">
      <alignment horizontal="center" wrapText="1"/>
    </xf>
    <xf numFmtId="0" fontId="18" fillId="0" borderId="0" xfId="0" applyFont="1"/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20" fillId="0" borderId="0" xfId="0" applyFont="1" applyAlignment="1">
      <alignment horizontal="center"/>
    </xf>
    <xf numFmtId="20" fontId="20" fillId="0" borderId="0" xfId="0" applyNumberFormat="1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0" fillId="14" borderId="0" xfId="0" applyFill="1" applyAlignment="1">
      <alignment horizontal="center" vertical="center"/>
    </xf>
    <xf numFmtId="0" fontId="0" fillId="0" borderId="37" xfId="0" applyBorder="1" applyAlignment="1">
      <alignment horizontal="center"/>
    </xf>
    <xf numFmtId="20" fontId="0" fillId="0" borderId="37" xfId="0" applyNumberFormat="1" applyBorder="1" applyAlignment="1">
      <alignment horizontal="center"/>
    </xf>
    <xf numFmtId="0" fontId="16" fillId="0" borderId="37" xfId="0" applyFont="1" applyBorder="1" applyAlignment="1">
      <alignment wrapText="1"/>
    </xf>
    <xf numFmtId="0" fontId="5" fillId="13" borderId="31" xfId="0" applyFont="1" applyFill="1" applyBorder="1" applyAlignment="1">
      <alignment horizontal="center"/>
    </xf>
    <xf numFmtId="0" fontId="5" fillId="13" borderId="38" xfId="0" applyFont="1" applyFill="1" applyBorder="1" applyAlignment="1">
      <alignment horizontal="center"/>
    </xf>
    <xf numFmtId="0" fontId="0" fillId="0" borderId="42" xfId="0" applyBorder="1"/>
    <xf numFmtId="14" fontId="0" fillId="0" borderId="0" xfId="0" applyNumberFormat="1"/>
    <xf numFmtId="0" fontId="21" fillId="6" borderId="0" xfId="0" applyFont="1" applyFill="1"/>
    <xf numFmtId="14" fontId="0" fillId="14" borderId="24" xfId="0" applyNumberFormat="1" applyFill="1" applyBorder="1" applyAlignment="1">
      <alignment horizontal="center"/>
    </xf>
    <xf numFmtId="17" fontId="8" fillId="5" borderId="32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1" fillId="6" borderId="0" xfId="0" applyFont="1" applyFill="1" applyAlignment="1">
      <alignment wrapText="1"/>
    </xf>
    <xf numFmtId="166" fontId="21" fillId="6" borderId="0" xfId="0" applyNumberFormat="1" applyFont="1" applyFill="1"/>
    <xf numFmtId="166" fontId="0" fillId="0" borderId="0" xfId="0" applyNumberFormat="1"/>
    <xf numFmtId="17" fontId="8" fillId="5" borderId="30" xfId="0" applyNumberFormat="1" applyFont="1" applyFill="1" applyBorder="1" applyAlignment="1">
      <alignment horizontal="center" vertical="center"/>
    </xf>
    <xf numFmtId="17" fontId="8" fillId="5" borderId="18" xfId="0" applyNumberFormat="1" applyFont="1" applyFill="1" applyBorder="1" applyAlignment="1">
      <alignment horizontal="center" vertical="center"/>
    </xf>
    <xf numFmtId="17" fontId="8" fillId="5" borderId="19" xfId="0" applyNumberFormat="1" applyFont="1" applyFill="1" applyBorder="1" applyAlignment="1">
      <alignment horizontal="center" vertical="center"/>
    </xf>
    <xf numFmtId="17" fontId="8" fillId="5" borderId="33" xfId="0" applyNumberFormat="1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37" xfId="0" applyFont="1" applyBorder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7" fontId="8" fillId="5" borderId="31" xfId="0" applyNumberFormat="1" applyFont="1" applyFill="1" applyBorder="1" applyAlignment="1">
      <alignment horizontal="center" vertical="center"/>
    </xf>
    <xf numFmtId="17" fontId="8" fillId="5" borderId="21" xfId="0" applyNumberFormat="1" applyFont="1" applyFill="1" applyBorder="1" applyAlignment="1">
      <alignment horizontal="center" vertical="center"/>
    </xf>
    <xf numFmtId="17" fontId="8" fillId="5" borderId="22" xfId="0" applyNumberFormat="1" applyFont="1" applyFill="1" applyBorder="1" applyAlignment="1">
      <alignment horizontal="center" vertical="center"/>
    </xf>
    <xf numFmtId="0" fontId="30" fillId="6" borderId="42" xfId="0" applyFont="1" applyFill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29" fillId="0" borderId="42" xfId="4" applyBorder="1" applyAlignment="1">
      <alignment horizontal="center" vertical="center"/>
    </xf>
    <xf numFmtId="0" fontId="0" fillId="19" borderId="0" xfId="0" applyFill="1"/>
    <xf numFmtId="165" fontId="26" fillId="16" borderId="42" xfId="0" applyNumberFormat="1" applyFont="1" applyFill="1" applyBorder="1" applyAlignment="1">
      <alignment horizontal="center"/>
    </xf>
    <xf numFmtId="164" fontId="22" fillId="6" borderId="46" xfId="0" applyNumberFormat="1" applyFont="1" applyFill="1" applyBorder="1" applyAlignment="1">
      <alignment horizontal="left" vertical="center"/>
    </xf>
    <xf numFmtId="164" fontId="22" fillId="6" borderId="47" xfId="0" applyNumberFormat="1" applyFont="1" applyFill="1" applyBorder="1" applyAlignment="1">
      <alignment horizontal="center" vertical="center"/>
    </xf>
    <xf numFmtId="49" fontId="22" fillId="6" borderId="47" xfId="0" applyNumberFormat="1" applyFont="1" applyFill="1" applyBorder="1" applyAlignment="1">
      <alignment horizontal="center" vertical="center"/>
    </xf>
    <xf numFmtId="165" fontId="23" fillId="6" borderId="47" xfId="0" applyNumberFormat="1" applyFont="1" applyFill="1" applyBorder="1" applyAlignment="1">
      <alignment horizontal="center" vertical="center"/>
    </xf>
    <xf numFmtId="165" fontId="23" fillId="6" borderId="48" xfId="0" applyNumberFormat="1" applyFont="1" applyFill="1" applyBorder="1" applyAlignment="1">
      <alignment horizontal="center" vertical="center"/>
    </xf>
    <xf numFmtId="165" fontId="26" fillId="21" borderId="42" xfId="0" applyNumberFormat="1" applyFont="1" applyFill="1" applyBorder="1" applyAlignment="1">
      <alignment horizontal="center"/>
    </xf>
    <xf numFmtId="0" fontId="24" fillId="23" borderId="41" xfId="0" applyFont="1" applyFill="1" applyBorder="1" applyAlignment="1">
      <alignment vertical="center"/>
    </xf>
    <xf numFmtId="0" fontId="24" fillId="23" borderId="42" xfId="0" applyFont="1" applyFill="1" applyBorder="1" applyAlignment="1">
      <alignment horizontal="center" vertical="center" wrapText="1"/>
    </xf>
    <xf numFmtId="49" fontId="25" fillId="23" borderId="42" xfId="0" applyNumberFormat="1" applyFont="1" applyFill="1" applyBorder="1" applyAlignment="1">
      <alignment horizontal="center"/>
    </xf>
    <xf numFmtId="0" fontId="27" fillId="23" borderId="42" xfId="0" applyFont="1" applyFill="1" applyBorder="1" applyAlignment="1">
      <alignment horizontal="center" vertical="center" wrapText="1"/>
    </xf>
    <xf numFmtId="0" fontId="24" fillId="23" borderId="43" xfId="0" applyFont="1" applyFill="1" applyBorder="1" applyAlignment="1">
      <alignment vertical="center"/>
    </xf>
    <xf numFmtId="0" fontId="24" fillId="23" borderId="44" xfId="0" applyFont="1" applyFill="1" applyBorder="1" applyAlignment="1">
      <alignment horizontal="center" vertical="center" wrapText="1"/>
    </xf>
    <xf numFmtId="49" fontId="25" fillId="23" borderId="44" xfId="0" applyNumberFormat="1" applyFont="1" applyFill="1" applyBorder="1" applyAlignment="1">
      <alignment horizontal="center"/>
    </xf>
    <xf numFmtId="49" fontId="25" fillId="23" borderId="51" xfId="0" applyNumberFormat="1" applyFont="1" applyFill="1" applyBorder="1" applyAlignment="1">
      <alignment horizontal="center"/>
    </xf>
    <xf numFmtId="0" fontId="0" fillId="0" borderId="37" xfId="0" applyBorder="1"/>
    <xf numFmtId="0" fontId="0" fillId="19" borderId="42" xfId="0" applyFill="1" applyBorder="1" applyAlignment="1">
      <alignment wrapText="1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19" borderId="42" xfId="0" applyNumberFormat="1" applyFill="1" applyBorder="1" applyAlignment="1">
      <alignment horizontal="center" vertical="center"/>
    </xf>
    <xf numFmtId="0" fontId="0" fillId="19" borderId="42" xfId="0" applyFill="1" applyBorder="1" applyAlignment="1">
      <alignment horizontal="center" vertical="center"/>
    </xf>
    <xf numFmtId="14" fontId="5" fillId="19" borderId="42" xfId="0" applyNumberFormat="1" applyFont="1" applyFill="1" applyBorder="1" applyAlignment="1">
      <alignment horizontal="center" vertical="center"/>
    </xf>
    <xf numFmtId="20" fontId="0" fillId="19" borderId="42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9" fillId="0" borderId="42" xfId="4" applyBorder="1" applyAlignment="1">
      <alignment horizontal="center"/>
    </xf>
    <xf numFmtId="0" fontId="37" fillId="24" borderId="52" xfId="0" applyFont="1" applyFill="1" applyBorder="1" applyAlignment="1">
      <alignment horizontal="center" vertical="center"/>
    </xf>
    <xf numFmtId="0" fontId="37" fillId="24" borderId="53" xfId="0" applyFont="1" applyFill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0" fillId="6" borderId="50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center" vertical="center"/>
    </xf>
    <xf numFmtId="0" fontId="24" fillId="23" borderId="51" xfId="0" applyFont="1" applyFill="1" applyBorder="1" applyAlignment="1">
      <alignment horizontal="center" vertical="center" wrapText="1"/>
    </xf>
    <xf numFmtId="0" fontId="31" fillId="8" borderId="37" xfId="0" applyFont="1" applyFill="1" applyBorder="1" applyAlignment="1">
      <alignment horizontal="left" vertical="center"/>
    </xf>
    <xf numFmtId="0" fontId="31" fillId="8" borderId="37" xfId="0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3" fontId="31" fillId="8" borderId="37" xfId="0" applyNumberFormat="1" applyFont="1" applyFill="1" applyBorder="1" applyAlignment="1">
      <alignment horizontal="center" vertical="center"/>
    </xf>
    <xf numFmtId="167" fontId="31" fillId="8" borderId="37" xfId="0" applyNumberFormat="1" applyFont="1" applyFill="1" applyBorder="1" applyAlignment="1">
      <alignment horizontal="center" vertical="center"/>
    </xf>
    <xf numFmtId="0" fontId="29" fillId="8" borderId="37" xfId="4" applyFill="1" applyBorder="1" applyAlignment="1">
      <alignment horizontal="center" vertical="center"/>
    </xf>
    <xf numFmtId="0" fontId="29" fillId="0" borderId="0" xfId="4"/>
    <xf numFmtId="0" fontId="5" fillId="0" borderId="0" xfId="0" applyFont="1" applyAlignment="1">
      <alignment horizontal="center" vertical="center"/>
    </xf>
    <xf numFmtId="0" fontId="21" fillId="20" borderId="42" xfId="0" applyFont="1" applyFill="1" applyBorder="1" applyAlignment="1">
      <alignment wrapText="1"/>
    </xf>
    <xf numFmtId="0" fontId="42" fillId="27" borderId="42" xfId="0" applyFont="1" applyFill="1" applyBorder="1" applyAlignment="1">
      <alignment horizontal="center" vertical="center"/>
    </xf>
    <xf numFmtId="0" fontId="21" fillId="27" borderId="42" xfId="0" applyFont="1" applyFill="1" applyBorder="1" applyAlignment="1">
      <alignment horizontal="center" vertical="center"/>
    </xf>
    <xf numFmtId="20" fontId="21" fillId="27" borderId="42" xfId="0" applyNumberFormat="1" applyFont="1" applyFill="1" applyBorder="1" applyAlignment="1">
      <alignment horizontal="center" vertical="center"/>
    </xf>
    <xf numFmtId="166" fontId="21" fillId="27" borderId="42" xfId="0" applyNumberFormat="1" applyFont="1" applyFill="1" applyBorder="1" applyAlignment="1">
      <alignment horizontal="center" vertical="center"/>
    </xf>
    <xf numFmtId="0" fontId="21" fillId="27" borderId="42" xfId="0" applyFont="1" applyFill="1" applyBorder="1" applyAlignment="1">
      <alignment wrapText="1"/>
    </xf>
    <xf numFmtId="49" fontId="43" fillId="27" borderId="42" xfId="0" applyNumberFormat="1" applyFont="1" applyFill="1" applyBorder="1" applyAlignment="1">
      <alignment horizontal="center" vertical="center"/>
    </xf>
    <xf numFmtId="0" fontId="43" fillId="27" borderId="42" xfId="0" applyFont="1" applyFill="1" applyBorder="1" applyAlignment="1">
      <alignment horizontal="center" vertical="center"/>
    </xf>
    <xf numFmtId="14" fontId="44" fillId="27" borderId="42" xfId="0" applyNumberFormat="1" applyFont="1" applyFill="1" applyBorder="1" applyAlignment="1">
      <alignment horizontal="center" vertical="center"/>
    </xf>
    <xf numFmtId="165" fontId="26" fillId="21" borderId="51" xfId="0" applyNumberFormat="1" applyFont="1" applyFill="1" applyBorder="1" applyAlignment="1">
      <alignment horizontal="center"/>
    </xf>
    <xf numFmtId="165" fontId="26" fillId="16" borderId="51" xfId="0" applyNumberFormat="1" applyFont="1" applyFill="1" applyBorder="1" applyAlignment="1">
      <alignment horizontal="center"/>
    </xf>
    <xf numFmtId="0" fontId="51" fillId="39" borderId="61" xfId="0" applyFont="1" applyFill="1" applyBorder="1" applyAlignment="1">
      <alignment horizontal="center" vertical="center" wrapText="1"/>
    </xf>
    <xf numFmtId="0" fontId="45" fillId="31" borderId="37" xfId="0" applyFont="1" applyFill="1" applyBorder="1" applyAlignment="1">
      <alignment horizontal="center" vertical="center" wrapText="1"/>
    </xf>
    <xf numFmtId="0" fontId="45" fillId="42" borderId="37" xfId="0" applyFont="1" applyFill="1" applyBorder="1" applyAlignment="1">
      <alignment horizontal="center" vertical="center" wrapText="1"/>
    </xf>
    <xf numFmtId="0" fontId="47" fillId="32" borderId="37" xfId="0" applyFont="1" applyFill="1" applyBorder="1" applyAlignment="1">
      <alignment horizontal="center" vertical="center" wrapText="1"/>
    </xf>
    <xf numFmtId="0" fontId="45" fillId="30" borderId="37" xfId="0" applyFont="1" applyFill="1" applyBorder="1" applyAlignment="1">
      <alignment horizontal="center" vertical="center" wrapText="1"/>
    </xf>
    <xf numFmtId="0" fontId="45" fillId="29" borderId="37" xfId="0" applyFont="1" applyFill="1" applyBorder="1" applyAlignment="1">
      <alignment horizontal="center" vertical="center" wrapText="1"/>
    </xf>
    <xf numFmtId="0" fontId="45" fillId="31" borderId="64" xfId="0" applyFont="1" applyFill="1" applyBorder="1" applyAlignment="1">
      <alignment horizontal="center" vertical="center" wrapText="1"/>
    </xf>
    <xf numFmtId="0" fontId="45" fillId="42" borderId="64" xfId="0" applyFont="1" applyFill="1" applyBorder="1" applyAlignment="1">
      <alignment horizontal="center" vertical="center" wrapText="1"/>
    </xf>
    <xf numFmtId="0" fontId="45" fillId="32" borderId="64" xfId="0" applyFont="1" applyFill="1" applyBorder="1" applyAlignment="1">
      <alignment horizontal="center" vertical="center" wrapText="1"/>
    </xf>
    <xf numFmtId="0" fontId="45" fillId="29" borderId="64" xfId="0" applyFont="1" applyFill="1" applyBorder="1" applyAlignment="1">
      <alignment horizontal="center" vertical="center" wrapText="1"/>
    </xf>
    <xf numFmtId="0" fontId="45" fillId="0" borderId="66" xfId="0" applyFont="1" applyBorder="1" applyAlignment="1">
      <alignment wrapText="1"/>
    </xf>
    <xf numFmtId="0" fontId="49" fillId="39" borderId="70" xfId="0" applyFont="1" applyFill="1" applyBorder="1" applyAlignment="1">
      <alignment horizontal="center" vertical="center" wrapText="1"/>
    </xf>
    <xf numFmtId="0" fontId="49" fillId="39" borderId="61" xfId="0" applyFont="1" applyFill="1" applyBorder="1" applyAlignment="1">
      <alignment horizontal="center" vertical="center" wrapText="1"/>
    </xf>
    <xf numFmtId="0" fontId="49" fillId="39" borderId="62" xfId="0" applyFont="1" applyFill="1" applyBorder="1" applyAlignment="1">
      <alignment horizontal="center" vertical="center" wrapText="1"/>
    </xf>
    <xf numFmtId="0" fontId="45" fillId="47" borderId="37" xfId="0" applyFont="1" applyFill="1" applyBorder="1" applyAlignment="1">
      <alignment horizontal="center" vertical="center" wrapText="1"/>
    </xf>
    <xf numFmtId="0" fontId="45" fillId="47" borderId="64" xfId="0" applyFont="1" applyFill="1" applyBorder="1" applyAlignment="1">
      <alignment horizontal="center" vertical="center" wrapText="1"/>
    </xf>
    <xf numFmtId="0" fontId="51" fillId="39" borderId="62" xfId="0" applyFont="1" applyFill="1" applyBorder="1" applyAlignment="1">
      <alignment horizontal="center" vertical="center" wrapText="1"/>
    </xf>
    <xf numFmtId="0" fontId="45" fillId="42" borderId="63" xfId="0" applyFont="1" applyFill="1" applyBorder="1" applyAlignment="1">
      <alignment horizontal="center" vertical="center" wrapText="1"/>
    </xf>
    <xf numFmtId="0" fontId="45" fillId="42" borderId="65" xfId="0" applyFont="1" applyFill="1" applyBorder="1" applyAlignment="1">
      <alignment horizontal="center" vertical="center" wrapText="1"/>
    </xf>
    <xf numFmtId="3" fontId="29" fillId="8" borderId="37" xfId="4" applyNumberFormat="1" applyFill="1" applyBorder="1" applyAlignment="1">
      <alignment horizontal="center" vertical="center"/>
    </xf>
    <xf numFmtId="49" fontId="0" fillId="20" borderId="50" xfId="0" applyNumberFormat="1" applyFill="1" applyBorder="1" applyAlignment="1">
      <alignment horizontal="center" vertical="center"/>
    </xf>
    <xf numFmtId="0" fontId="0" fillId="20" borderId="50" xfId="0" applyFill="1" applyBorder="1" applyAlignment="1">
      <alignment horizontal="center" vertical="center"/>
    </xf>
    <xf numFmtId="14" fontId="5" fillId="20" borderId="50" xfId="0" applyNumberFormat="1" applyFont="1" applyFill="1" applyBorder="1" applyAlignment="1">
      <alignment horizontal="center" vertical="center"/>
    </xf>
    <xf numFmtId="20" fontId="0" fillId="20" borderId="50" xfId="0" applyNumberFormat="1" applyFill="1" applyBorder="1" applyAlignment="1">
      <alignment horizontal="center" vertical="center"/>
    </xf>
    <xf numFmtId="0" fontId="0" fillId="20" borderId="50" xfId="0" applyFill="1" applyBorder="1" applyAlignment="1">
      <alignment wrapText="1"/>
    </xf>
    <xf numFmtId="0" fontId="3" fillId="36" borderId="0" xfId="0" applyFont="1" applyFill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3" fillId="49" borderId="0" xfId="0" applyFont="1" applyFill="1" applyAlignment="1">
      <alignment horizontal="center" vertical="center"/>
    </xf>
    <xf numFmtId="0" fontId="53" fillId="0" borderId="76" xfId="0" applyFont="1" applyBorder="1" applyAlignment="1">
      <alignment horizontal="center" vertical="center" wrapText="1"/>
    </xf>
    <xf numFmtId="0" fontId="53" fillId="0" borderId="78" xfId="0" applyFont="1" applyBorder="1" applyAlignment="1">
      <alignment horizontal="center" vertical="center" wrapText="1"/>
    </xf>
    <xf numFmtId="0" fontId="45" fillId="41" borderId="37" xfId="0" applyFont="1" applyFill="1" applyBorder="1" applyAlignment="1">
      <alignment horizontal="center" vertical="center" wrapText="1"/>
    </xf>
    <xf numFmtId="0" fontId="45" fillId="41" borderId="37" xfId="0" applyFont="1" applyFill="1" applyBorder="1" applyAlignment="1">
      <alignment horizontal="center" wrapText="1"/>
    </xf>
    <xf numFmtId="0" fontId="45" fillId="41" borderId="70" xfId="0" applyFont="1" applyFill="1" applyBorder="1" applyAlignment="1">
      <alignment horizontal="center" vertical="center" wrapText="1"/>
    </xf>
    <xf numFmtId="0" fontId="45" fillId="31" borderId="61" xfId="0" applyFont="1" applyFill="1" applyBorder="1" applyAlignment="1">
      <alignment horizontal="center" vertical="center" wrapText="1"/>
    </xf>
    <xf numFmtId="0" fontId="45" fillId="42" borderId="61" xfId="0" applyFont="1" applyFill="1" applyBorder="1" applyAlignment="1">
      <alignment horizontal="center" vertical="center" wrapText="1"/>
    </xf>
    <xf numFmtId="0" fontId="45" fillId="31" borderId="62" xfId="0" applyFont="1" applyFill="1" applyBorder="1" applyAlignment="1">
      <alignment horizontal="center" vertical="center" wrapText="1"/>
    </xf>
    <xf numFmtId="0" fontId="45" fillId="41" borderId="79" xfId="0" applyFont="1" applyFill="1" applyBorder="1" applyAlignment="1">
      <alignment horizontal="center" vertical="center" wrapText="1"/>
    </xf>
    <xf numFmtId="0" fontId="45" fillId="31" borderId="63" xfId="0" applyFont="1" applyFill="1" applyBorder="1" applyAlignment="1">
      <alignment horizontal="center" vertical="center" wrapText="1"/>
    </xf>
    <xf numFmtId="0" fontId="47" fillId="32" borderId="79" xfId="0" applyFont="1" applyFill="1" applyBorder="1" applyAlignment="1">
      <alignment horizontal="center" vertical="center" wrapText="1"/>
    </xf>
    <xf numFmtId="0" fontId="45" fillId="30" borderId="63" xfId="0" applyFont="1" applyFill="1" applyBorder="1" applyAlignment="1">
      <alignment horizontal="center" vertical="center" wrapText="1"/>
    </xf>
    <xf numFmtId="0" fontId="45" fillId="41" borderId="79" xfId="0" applyFont="1" applyFill="1" applyBorder="1" applyAlignment="1">
      <alignment horizontal="center" wrapText="1"/>
    </xf>
    <xf numFmtId="0" fontId="45" fillId="41" borderId="80" xfId="0" applyFont="1" applyFill="1" applyBorder="1" applyAlignment="1">
      <alignment horizontal="center" wrapText="1"/>
    </xf>
    <xf numFmtId="0" fontId="45" fillId="29" borderId="65" xfId="0" applyFont="1" applyFill="1" applyBorder="1" applyAlignment="1">
      <alignment horizontal="center" vertical="center" wrapText="1"/>
    </xf>
    <xf numFmtId="0" fontId="45" fillId="30" borderId="79" xfId="0" applyFont="1" applyFill="1" applyBorder="1" applyAlignment="1">
      <alignment horizontal="center" vertical="center" wrapText="1"/>
    </xf>
    <xf numFmtId="0" fontId="45" fillId="47" borderId="63" xfId="0" applyFont="1" applyFill="1" applyBorder="1" applyAlignment="1">
      <alignment horizontal="center" vertical="center" wrapText="1"/>
    </xf>
    <xf numFmtId="0" fontId="45" fillId="31" borderId="79" xfId="0" applyFont="1" applyFill="1" applyBorder="1" applyAlignment="1">
      <alignment horizontal="center" vertical="center" wrapText="1"/>
    </xf>
    <xf numFmtId="0" fontId="45" fillId="29" borderId="80" xfId="0" applyFont="1" applyFill="1" applyBorder="1" applyAlignment="1">
      <alignment horizontal="center" vertical="center" wrapText="1"/>
    </xf>
    <xf numFmtId="0" fontId="52" fillId="0" borderId="76" xfId="0" applyFont="1" applyBorder="1" applyAlignment="1">
      <alignment horizontal="center" vertical="center" wrapText="1"/>
    </xf>
    <xf numFmtId="0" fontId="52" fillId="0" borderId="78" xfId="0" applyFont="1" applyBorder="1" applyAlignment="1">
      <alignment horizontal="center" vertical="center" wrapText="1"/>
    </xf>
    <xf numFmtId="0" fontId="45" fillId="31" borderId="70" xfId="0" applyFont="1" applyFill="1" applyBorder="1" applyAlignment="1">
      <alignment horizontal="center" vertical="center" wrapText="1"/>
    </xf>
    <xf numFmtId="0" fontId="45" fillId="42" borderId="62" xfId="0" applyFont="1" applyFill="1" applyBorder="1" applyAlignment="1">
      <alignment horizontal="center" vertical="center" wrapText="1"/>
    </xf>
    <xf numFmtId="0" fontId="45" fillId="47" borderId="79" xfId="0" applyFont="1" applyFill="1" applyBorder="1" applyAlignment="1">
      <alignment horizontal="center" vertical="center" wrapText="1"/>
    </xf>
    <xf numFmtId="0" fontId="45" fillId="29" borderId="79" xfId="0" applyFont="1" applyFill="1" applyBorder="1" applyAlignment="1">
      <alignment horizontal="center" vertical="center" wrapText="1"/>
    </xf>
    <xf numFmtId="0" fontId="45" fillId="47" borderId="80" xfId="0" applyFont="1" applyFill="1" applyBorder="1" applyAlignment="1">
      <alignment horizontal="center" vertical="center" wrapText="1"/>
    </xf>
    <xf numFmtId="0" fontId="45" fillId="29" borderId="63" xfId="0" applyFont="1" applyFill="1" applyBorder="1" applyAlignment="1">
      <alignment horizontal="center" vertical="center" wrapText="1"/>
    </xf>
    <xf numFmtId="0" fontId="45" fillId="47" borderId="65" xfId="0" applyFont="1" applyFill="1" applyBorder="1" applyAlignment="1">
      <alignment horizontal="center" vertical="center" wrapText="1"/>
    </xf>
    <xf numFmtId="0" fontId="54" fillId="0" borderId="77" xfId="0" applyFont="1" applyBorder="1" applyAlignment="1">
      <alignment horizontal="center" vertical="center" wrapText="1"/>
    </xf>
    <xf numFmtId="0" fontId="54" fillId="0" borderId="76" xfId="0" applyFont="1" applyBorder="1" applyAlignment="1">
      <alignment horizontal="center" vertical="center" wrapText="1"/>
    </xf>
    <xf numFmtId="0" fontId="54" fillId="0" borderId="78" xfId="0" applyFont="1" applyBorder="1" applyAlignment="1">
      <alignment horizontal="center" vertical="center" wrapText="1"/>
    </xf>
    <xf numFmtId="0" fontId="47" fillId="32" borderId="64" xfId="0" applyFont="1" applyFill="1" applyBorder="1" applyAlignment="1">
      <alignment horizontal="center" vertical="center" wrapText="1"/>
    </xf>
    <xf numFmtId="0" fontId="52" fillId="0" borderId="77" xfId="0" applyFont="1" applyBorder="1" applyAlignment="1">
      <alignment horizontal="center" vertical="center" wrapText="1"/>
    </xf>
    <xf numFmtId="0" fontId="45" fillId="42" borderId="70" xfId="0" applyFont="1" applyFill="1" applyBorder="1" applyAlignment="1">
      <alignment horizontal="center" vertical="center" wrapText="1"/>
    </xf>
    <xf numFmtId="0" fontId="45" fillId="42" borderId="79" xfId="0" applyFont="1" applyFill="1" applyBorder="1" applyAlignment="1">
      <alignment horizontal="center" vertical="center" wrapText="1"/>
    </xf>
    <xf numFmtId="0" fontId="47" fillId="32" borderId="63" xfId="0" applyFont="1" applyFill="1" applyBorder="1" applyAlignment="1">
      <alignment horizontal="center" vertical="center" wrapText="1"/>
    </xf>
    <xf numFmtId="0" fontId="45" fillId="42" borderId="80" xfId="0" applyFont="1" applyFill="1" applyBorder="1" applyAlignment="1">
      <alignment horizontal="center" vertical="center" wrapText="1"/>
    </xf>
    <xf numFmtId="0" fontId="45" fillId="31" borderId="80" xfId="0" applyFont="1" applyFill="1" applyBorder="1" applyAlignment="1">
      <alignment horizontal="center" vertical="center" wrapText="1"/>
    </xf>
    <xf numFmtId="0" fontId="51" fillId="39" borderId="70" xfId="0" applyFont="1" applyFill="1" applyBorder="1" applyAlignment="1">
      <alignment horizontal="center" vertical="center" wrapText="1"/>
    </xf>
    <xf numFmtId="0" fontId="47" fillId="32" borderId="65" xfId="0" applyFont="1" applyFill="1" applyBorder="1" applyAlignment="1">
      <alignment horizontal="center" vertical="center" wrapText="1"/>
    </xf>
    <xf numFmtId="0" fontId="47" fillId="32" borderId="80" xfId="0" applyFont="1" applyFill="1" applyBorder="1" applyAlignment="1">
      <alignment horizontal="center" vertical="center" wrapText="1"/>
    </xf>
    <xf numFmtId="0" fontId="45" fillId="41" borderId="61" xfId="0" applyFont="1" applyFill="1" applyBorder="1" applyAlignment="1">
      <alignment horizontal="center" vertical="center" wrapText="1"/>
    </xf>
    <xf numFmtId="0" fontId="45" fillId="41" borderId="64" xfId="0" applyFont="1" applyFill="1" applyBorder="1" applyAlignment="1">
      <alignment horizontal="center" wrapText="1"/>
    </xf>
    <xf numFmtId="0" fontId="55" fillId="0" borderId="76" xfId="0" applyFont="1" applyBorder="1" applyAlignment="1">
      <alignment horizontal="center" vertical="center" wrapText="1"/>
    </xf>
    <xf numFmtId="0" fontId="0" fillId="19" borderId="42" xfId="0" applyFill="1" applyBorder="1" applyAlignment="1">
      <alignment horizontal="center" vertical="center" wrapText="1"/>
    </xf>
    <xf numFmtId="165" fontId="26" fillId="16" borderId="37" xfId="0" applyNumberFormat="1" applyFont="1" applyFill="1" applyBorder="1" applyAlignment="1">
      <alignment horizontal="center"/>
    </xf>
    <xf numFmtId="49" fontId="25" fillId="23" borderId="49" xfId="0" applyNumberFormat="1" applyFont="1" applyFill="1" applyBorder="1" applyAlignment="1">
      <alignment horizontal="center"/>
    </xf>
    <xf numFmtId="0" fontId="45" fillId="33" borderId="79" xfId="0" applyFont="1" applyFill="1" applyBorder="1" applyAlignment="1">
      <alignment horizontal="center" vertical="center" wrapText="1"/>
    </xf>
    <xf numFmtId="0" fontId="0" fillId="34" borderId="79" xfId="0" applyFill="1" applyBorder="1" applyAlignment="1">
      <alignment horizontal="center" vertical="center"/>
    </xf>
    <xf numFmtId="0" fontId="32" fillId="35" borderId="79" xfId="0" applyFont="1" applyFill="1" applyBorder="1" applyAlignment="1">
      <alignment horizontal="center" vertical="center"/>
    </xf>
    <xf numFmtId="165" fontId="26" fillId="16" borderId="85" xfId="0" applyNumberFormat="1" applyFont="1" applyFill="1" applyBorder="1" applyAlignment="1">
      <alignment horizontal="center"/>
    </xf>
    <xf numFmtId="165" fontId="26" fillId="21" borderId="85" xfId="0" applyNumberFormat="1" applyFont="1" applyFill="1" applyBorder="1" applyAlignment="1">
      <alignment horizontal="center"/>
    </xf>
    <xf numFmtId="165" fontId="33" fillId="22" borderId="89" xfId="0" applyNumberFormat="1" applyFont="1" applyFill="1" applyBorder="1" applyAlignment="1">
      <alignment horizontal="center"/>
    </xf>
    <xf numFmtId="165" fontId="26" fillId="16" borderId="90" xfId="0" applyNumberFormat="1" applyFont="1" applyFill="1" applyBorder="1" applyAlignment="1">
      <alignment horizontal="center"/>
    </xf>
    <xf numFmtId="165" fontId="26" fillId="16" borderId="91" xfId="0" applyNumberFormat="1" applyFont="1" applyFill="1" applyBorder="1" applyAlignment="1">
      <alignment horizontal="center"/>
    </xf>
    <xf numFmtId="165" fontId="26" fillId="16" borderId="87" xfId="0" applyNumberFormat="1" applyFont="1" applyFill="1" applyBorder="1" applyAlignment="1">
      <alignment horizontal="center"/>
    </xf>
    <xf numFmtId="49" fontId="25" fillId="23" borderId="37" xfId="0" applyNumberFormat="1" applyFont="1" applyFill="1" applyBorder="1" applyAlignment="1">
      <alignment horizontal="center"/>
    </xf>
    <xf numFmtId="0" fontId="27" fillId="23" borderId="37" xfId="0" applyFont="1" applyFill="1" applyBorder="1" applyAlignment="1">
      <alignment horizontal="center" vertical="center" wrapText="1"/>
    </xf>
    <xf numFmtId="0" fontId="24" fillId="23" borderId="57" xfId="0" applyFont="1" applyFill="1" applyBorder="1" applyAlignment="1">
      <alignment vertical="center"/>
    </xf>
    <xf numFmtId="165" fontId="26" fillId="16" borderId="92" xfId="0" applyNumberFormat="1" applyFont="1" applyFill="1" applyBorder="1" applyAlignment="1">
      <alignment horizontal="center"/>
    </xf>
    <xf numFmtId="0" fontId="56" fillId="0" borderId="60" xfId="0" applyFont="1" applyBorder="1" applyAlignment="1">
      <alignment horizontal="center" vertical="center"/>
    </xf>
    <xf numFmtId="0" fontId="45" fillId="30" borderId="70" xfId="0" applyFont="1" applyFill="1" applyBorder="1" applyAlignment="1">
      <alignment horizontal="center" vertical="center" wrapText="1"/>
    </xf>
    <xf numFmtId="0" fontId="45" fillId="30" borderId="61" xfId="0" applyFont="1" applyFill="1" applyBorder="1" applyAlignment="1">
      <alignment horizontal="center" vertical="center" wrapText="1"/>
    </xf>
    <xf numFmtId="0" fontId="45" fillId="30" borderId="62" xfId="0" applyFont="1" applyFill="1" applyBorder="1" applyAlignment="1">
      <alignment horizontal="center" vertical="center" wrapText="1"/>
    </xf>
    <xf numFmtId="0" fontId="31" fillId="8" borderId="76" xfId="0" applyFont="1" applyFill="1" applyBorder="1" applyAlignment="1">
      <alignment horizontal="left" vertical="center"/>
    </xf>
    <xf numFmtId="0" fontId="31" fillId="8" borderId="76" xfId="0" applyFont="1" applyFill="1" applyBorder="1" applyAlignment="1">
      <alignment horizontal="center" vertical="center"/>
    </xf>
    <xf numFmtId="3" fontId="31" fillId="8" borderId="76" xfId="0" applyNumberFormat="1" applyFont="1" applyFill="1" applyBorder="1" applyAlignment="1">
      <alignment horizontal="center" vertical="center"/>
    </xf>
    <xf numFmtId="3" fontId="29" fillId="8" borderId="76" xfId="4" applyNumberFormat="1" applyFill="1" applyBorder="1" applyAlignment="1">
      <alignment horizontal="center" vertical="center"/>
    </xf>
    <xf numFmtId="0" fontId="16" fillId="8" borderId="76" xfId="0" applyFont="1" applyFill="1" applyBorder="1" applyAlignment="1">
      <alignment horizontal="center" vertical="center"/>
    </xf>
    <xf numFmtId="0" fontId="0" fillId="0" borderId="37" xfId="0" applyBorder="1" applyAlignment="1">
      <alignment horizontal="left"/>
    </xf>
    <xf numFmtId="0" fontId="29" fillId="0" borderId="37" xfId="4" applyBorder="1" applyAlignment="1">
      <alignment horizontal="center"/>
    </xf>
    <xf numFmtId="0" fontId="49" fillId="40" borderId="81" xfId="0" applyFont="1" applyFill="1" applyBorder="1" applyAlignment="1">
      <alignment vertical="center" wrapText="1"/>
    </xf>
    <xf numFmtId="0" fontId="49" fillId="43" borderId="73" xfId="0" applyFont="1" applyFill="1" applyBorder="1" applyAlignment="1">
      <alignment vertical="center" wrapText="1"/>
    </xf>
    <xf numFmtId="0" fontId="49" fillId="44" borderId="73" xfId="0" applyFont="1" applyFill="1" applyBorder="1" applyAlignment="1">
      <alignment vertical="center" wrapText="1"/>
    </xf>
    <xf numFmtId="0" fontId="58" fillId="44" borderId="73" xfId="0" applyFont="1" applyFill="1" applyBorder="1" applyAlignment="1">
      <alignment vertical="center" wrapText="1"/>
    </xf>
    <xf numFmtId="0" fontId="49" fillId="45" borderId="73" xfId="0" applyFont="1" applyFill="1" applyBorder="1" applyAlignment="1">
      <alignment vertical="center" wrapText="1"/>
    </xf>
    <xf numFmtId="0" fontId="49" fillId="46" borderId="73" xfId="0" applyFont="1" applyFill="1" applyBorder="1" applyAlignment="1">
      <alignment vertical="center" wrapText="1"/>
    </xf>
    <xf numFmtId="0" fontId="49" fillId="46" borderId="74" xfId="0" applyFont="1" applyFill="1" applyBorder="1" applyAlignment="1">
      <alignment vertical="center" wrapText="1"/>
    </xf>
    <xf numFmtId="0" fontId="0" fillId="8" borderId="42" xfId="0" applyFill="1" applyBorder="1"/>
    <xf numFmtId="0" fontId="32" fillId="6" borderId="42" xfId="0" applyFont="1" applyFill="1" applyBorder="1"/>
    <xf numFmtId="0" fontId="0" fillId="25" borderId="42" xfId="0" applyFill="1" applyBorder="1"/>
    <xf numFmtId="0" fontId="0" fillId="26" borderId="42" xfId="0" applyFill="1" applyBorder="1"/>
    <xf numFmtId="0" fontId="0" fillId="0" borderId="72" xfId="0" applyBorder="1"/>
    <xf numFmtId="0" fontId="0" fillId="0" borderId="51" xfId="0" applyBorder="1"/>
    <xf numFmtId="9" fontId="41" fillId="8" borderId="0" xfId="3" applyFont="1" applyFill="1" applyBorder="1"/>
    <xf numFmtId="0" fontId="32" fillId="6" borderId="55" xfId="0" applyFont="1" applyFill="1" applyBorder="1"/>
    <xf numFmtId="0" fontId="32" fillId="6" borderId="55" xfId="0" applyFont="1" applyFill="1" applyBorder="1" applyAlignment="1">
      <alignment vertical="center"/>
    </xf>
    <xf numFmtId="9" fontId="41" fillId="8" borderId="0" xfId="3" applyFont="1" applyFill="1"/>
    <xf numFmtId="0" fontId="0" fillId="26" borderId="50" xfId="0" applyFill="1" applyBorder="1"/>
    <xf numFmtId="0" fontId="41" fillId="8" borderId="42" xfId="0" applyFont="1" applyFill="1" applyBorder="1"/>
    <xf numFmtId="0" fontId="0" fillId="10" borderId="42" xfId="0" applyFill="1" applyBorder="1"/>
    <xf numFmtId="0" fontId="0" fillId="10" borderId="55" xfId="0" applyFill="1" applyBorder="1"/>
    <xf numFmtId="0" fontId="0" fillId="10" borderId="50" xfId="0" applyFill="1" applyBorder="1"/>
    <xf numFmtId="0" fontId="59" fillId="25" borderId="42" xfId="0" applyFont="1" applyFill="1" applyBorder="1"/>
    <xf numFmtId="0" fontId="5" fillId="50" borderId="42" xfId="0" applyFont="1" applyFill="1" applyBorder="1"/>
    <xf numFmtId="0" fontId="5" fillId="8" borderId="42" xfId="0" applyFont="1" applyFill="1" applyBorder="1"/>
    <xf numFmtId="0" fontId="45" fillId="51" borderId="61" xfId="0" applyFont="1" applyFill="1" applyBorder="1" applyAlignment="1">
      <alignment horizontal="center" vertical="center" wrapText="1"/>
    </xf>
    <xf numFmtId="0" fontId="45" fillId="51" borderId="37" xfId="0" applyFont="1" applyFill="1" applyBorder="1" applyAlignment="1">
      <alignment horizontal="center" vertical="center" wrapText="1"/>
    </xf>
    <xf numFmtId="0" fontId="47" fillId="51" borderId="37" xfId="0" applyFont="1" applyFill="1" applyBorder="1" applyAlignment="1">
      <alignment horizontal="center" vertical="center" wrapText="1"/>
    </xf>
    <xf numFmtId="0" fontId="29" fillId="8" borderId="0" xfId="4" applyFill="1"/>
    <xf numFmtId="0" fontId="45" fillId="16" borderId="37" xfId="0" applyFont="1" applyFill="1" applyBorder="1" applyAlignment="1">
      <alignment horizontal="center" vertical="center" wrapText="1"/>
    </xf>
    <xf numFmtId="0" fontId="45" fillId="16" borderId="64" xfId="0" applyFont="1" applyFill="1" applyBorder="1" applyAlignment="1">
      <alignment horizontal="center" vertical="center" wrapText="1"/>
    </xf>
    <xf numFmtId="49" fontId="25" fillId="23" borderId="55" xfId="0" applyNumberFormat="1" applyFont="1" applyFill="1" applyBorder="1" applyAlignment="1">
      <alignment horizontal="center"/>
    </xf>
    <xf numFmtId="0" fontId="45" fillId="31" borderId="72" xfId="0" applyFont="1" applyFill="1" applyBorder="1" applyAlignment="1">
      <alignment horizontal="center" vertical="center" wrapText="1"/>
    </xf>
    <xf numFmtId="0" fontId="47" fillId="29" borderId="37" xfId="0" applyFont="1" applyFill="1" applyBorder="1" applyAlignment="1">
      <alignment horizontal="center" vertical="center" wrapText="1"/>
    </xf>
    <xf numFmtId="165" fontId="26" fillId="16" borderId="88" xfId="0" applyNumberFormat="1" applyFont="1" applyFill="1" applyBorder="1" applyAlignment="1">
      <alignment horizontal="center"/>
    </xf>
    <xf numFmtId="165" fontId="33" fillId="22" borderId="100" xfId="0" applyNumberFormat="1" applyFont="1" applyFill="1" applyBorder="1" applyAlignment="1">
      <alignment horizontal="center"/>
    </xf>
    <xf numFmtId="165" fontId="26" fillId="21" borderId="98" xfId="0" applyNumberFormat="1" applyFont="1" applyFill="1" applyBorder="1" applyAlignment="1">
      <alignment horizontal="center"/>
    </xf>
    <xf numFmtId="165" fontId="26" fillId="16" borderId="98" xfId="0" applyNumberFormat="1" applyFont="1" applyFill="1" applyBorder="1" applyAlignment="1">
      <alignment horizontal="center"/>
    </xf>
    <xf numFmtId="165" fontId="26" fillId="21" borderId="89" xfId="0" applyNumberFormat="1" applyFont="1" applyFill="1" applyBorder="1" applyAlignment="1">
      <alignment horizontal="center"/>
    </xf>
    <xf numFmtId="165" fontId="26" fillId="16" borderId="89" xfId="0" applyNumberFormat="1" applyFont="1" applyFill="1" applyBorder="1" applyAlignment="1">
      <alignment horizontal="center"/>
    </xf>
    <xf numFmtId="49" fontId="25" fillId="23" borderId="101" xfId="0" applyNumberFormat="1" applyFont="1" applyFill="1" applyBorder="1" applyAlignment="1">
      <alignment horizontal="center"/>
    </xf>
    <xf numFmtId="165" fontId="26" fillId="21" borderId="44" xfId="0" applyNumberFormat="1" applyFont="1" applyFill="1" applyBorder="1" applyAlignment="1">
      <alignment horizontal="center"/>
    </xf>
    <xf numFmtId="165" fontId="26" fillId="16" borderId="44" xfId="0" applyNumberFormat="1" applyFont="1" applyFill="1" applyBorder="1" applyAlignment="1">
      <alignment horizontal="center"/>
    </xf>
    <xf numFmtId="0" fontId="24" fillId="23" borderId="72" xfId="0" applyFont="1" applyFill="1" applyBorder="1" applyAlignment="1">
      <alignment horizontal="center" vertical="center" wrapText="1"/>
    </xf>
    <xf numFmtId="49" fontId="25" fillId="23" borderId="72" xfId="0" applyNumberFormat="1" applyFont="1" applyFill="1" applyBorder="1" applyAlignment="1">
      <alignment horizontal="center"/>
    </xf>
    <xf numFmtId="0" fontId="24" fillId="23" borderId="92" xfId="0" applyFont="1" applyFill="1" applyBorder="1" applyAlignment="1">
      <alignment horizontal="center" vertical="center" wrapText="1"/>
    </xf>
    <xf numFmtId="49" fontId="25" fillId="23" borderId="92" xfId="0" applyNumberFormat="1" applyFont="1" applyFill="1" applyBorder="1" applyAlignment="1">
      <alignment horizontal="center"/>
    </xf>
    <xf numFmtId="165" fontId="33" fillId="22" borderId="99" xfId="0" applyNumberFormat="1" applyFont="1" applyFill="1" applyBorder="1" applyAlignment="1">
      <alignment horizontal="center"/>
    </xf>
    <xf numFmtId="165" fontId="26" fillId="22" borderId="91" xfId="0" applyNumberFormat="1" applyFont="1" applyFill="1" applyBorder="1" applyAlignment="1">
      <alignment horizontal="center"/>
    </xf>
    <xf numFmtId="165" fontId="26" fillId="48" borderId="90" xfId="0" applyNumberFormat="1" applyFont="1" applyFill="1" applyBorder="1" applyAlignment="1">
      <alignment horizontal="center"/>
    </xf>
    <xf numFmtId="165" fontId="26" fillId="48" borderId="91" xfId="0" applyNumberFormat="1" applyFont="1" applyFill="1" applyBorder="1" applyAlignment="1">
      <alignment horizontal="center"/>
    </xf>
    <xf numFmtId="165" fontId="26" fillId="48" borderId="85" xfId="0" applyNumberFormat="1" applyFont="1" applyFill="1" applyBorder="1" applyAlignment="1">
      <alignment horizontal="center"/>
    </xf>
    <xf numFmtId="165" fontId="26" fillId="48" borderId="51" xfId="0" applyNumberFormat="1" applyFont="1" applyFill="1" applyBorder="1" applyAlignment="1">
      <alignment horizontal="center"/>
    </xf>
    <xf numFmtId="165" fontId="26" fillId="48" borderId="37" xfId="0" applyNumberFormat="1" applyFont="1" applyFill="1" applyBorder="1" applyAlignment="1">
      <alignment horizontal="center"/>
    </xf>
    <xf numFmtId="165" fontId="26" fillId="48" borderId="42" xfId="0" applyNumberFormat="1" applyFont="1" applyFill="1" applyBorder="1" applyAlignment="1">
      <alignment horizontal="center"/>
    </xf>
    <xf numFmtId="165" fontId="26" fillId="48" borderId="92" xfId="0" applyNumberFormat="1" applyFont="1" applyFill="1" applyBorder="1" applyAlignment="1">
      <alignment horizontal="center"/>
    </xf>
    <xf numFmtId="165" fontId="26" fillId="48" borderId="86" xfId="0" applyNumberFormat="1" applyFont="1" applyFill="1" applyBorder="1" applyAlignment="1">
      <alignment horizontal="center"/>
    </xf>
    <xf numFmtId="165" fontId="26" fillId="48" borderId="44" xfId="0" applyNumberFormat="1" applyFont="1" applyFill="1" applyBorder="1" applyAlignment="1">
      <alignment horizontal="center"/>
    </xf>
    <xf numFmtId="165" fontId="26" fillId="48" borderId="39" xfId="0" applyNumberFormat="1" applyFont="1" applyFill="1" applyBorder="1" applyAlignment="1">
      <alignment horizontal="center"/>
    </xf>
    <xf numFmtId="165" fontId="26" fillId="28" borderId="42" xfId="0" applyNumberFormat="1" applyFont="1" applyFill="1" applyBorder="1" applyAlignment="1">
      <alignment horizontal="center"/>
    </xf>
    <xf numFmtId="165" fontId="26" fillId="48" borderId="49" xfId="0" applyNumberFormat="1" applyFont="1" applyFill="1" applyBorder="1" applyAlignment="1">
      <alignment horizontal="center"/>
    </xf>
    <xf numFmtId="165" fontId="26" fillId="28" borderId="44" xfId="0" applyNumberFormat="1" applyFont="1" applyFill="1" applyBorder="1" applyAlignment="1">
      <alignment horizontal="center"/>
    </xf>
    <xf numFmtId="165" fontId="26" fillId="48" borderId="102" xfId="0" applyNumberFormat="1" applyFont="1" applyFill="1" applyBorder="1" applyAlignment="1">
      <alignment horizontal="center"/>
    </xf>
    <xf numFmtId="165" fontId="33" fillId="48" borderId="37" xfId="0" applyNumberFormat="1" applyFont="1" applyFill="1" applyBorder="1" applyAlignment="1">
      <alignment horizontal="center"/>
    </xf>
    <xf numFmtId="165" fontId="26" fillId="16" borderId="39" xfId="0" applyNumberFormat="1" applyFont="1" applyFill="1" applyBorder="1" applyAlignment="1">
      <alignment horizontal="center"/>
    </xf>
    <xf numFmtId="165" fontId="33" fillId="48" borderId="103" xfId="0" applyNumberFormat="1" applyFont="1" applyFill="1" applyBorder="1" applyAlignment="1">
      <alignment horizontal="center"/>
    </xf>
    <xf numFmtId="165" fontId="26" fillId="48" borderId="72" xfId="0" applyNumberFormat="1" applyFont="1" applyFill="1" applyBorder="1" applyAlignment="1">
      <alignment horizontal="center"/>
    </xf>
    <xf numFmtId="0" fontId="35" fillId="48" borderId="72" xfId="0" applyFont="1" applyFill="1" applyBorder="1" applyAlignment="1">
      <alignment horizontal="center"/>
    </xf>
    <xf numFmtId="165" fontId="33" fillId="48" borderId="72" xfId="0" applyNumberFormat="1" applyFont="1" applyFill="1" applyBorder="1" applyAlignment="1">
      <alignment horizontal="center"/>
    </xf>
    <xf numFmtId="165" fontId="26" fillId="16" borderId="72" xfId="0" applyNumberFormat="1" applyFont="1" applyFill="1" applyBorder="1" applyAlignment="1">
      <alignment horizontal="center"/>
    </xf>
    <xf numFmtId="0" fontId="35" fillId="48" borderId="37" xfId="0" applyFont="1" applyFill="1" applyBorder="1" applyAlignment="1">
      <alignment horizontal="center"/>
    </xf>
    <xf numFmtId="165" fontId="26" fillId="28" borderId="39" xfId="0" applyNumberFormat="1" applyFont="1" applyFill="1" applyBorder="1" applyAlignment="1">
      <alignment horizontal="center"/>
    </xf>
    <xf numFmtId="165" fontId="33" fillId="16" borderId="37" xfId="0" applyNumberFormat="1" applyFont="1" applyFill="1" applyBorder="1" applyAlignment="1">
      <alignment horizontal="center"/>
    </xf>
    <xf numFmtId="165" fontId="57" fillId="16" borderId="44" xfId="0" applyNumberFormat="1" applyFont="1" applyFill="1" applyBorder="1" applyAlignment="1">
      <alignment horizontal="center"/>
    </xf>
    <xf numFmtId="165" fontId="33" fillId="16" borderId="72" xfId="0" applyNumberFormat="1" applyFont="1" applyFill="1" applyBorder="1" applyAlignment="1">
      <alignment horizontal="center"/>
    </xf>
    <xf numFmtId="165" fontId="33" fillId="48" borderId="104" xfId="0" applyNumberFormat="1" applyFont="1" applyFill="1" applyBorder="1" applyAlignment="1">
      <alignment horizontal="center"/>
    </xf>
    <xf numFmtId="165" fontId="26" fillId="16" borderId="101" xfId="0" applyNumberFormat="1" applyFont="1" applyFill="1" applyBorder="1" applyAlignment="1">
      <alignment horizontal="center"/>
    </xf>
    <xf numFmtId="165" fontId="26" fillId="0" borderId="0" xfId="0" applyNumberFormat="1" applyFont="1" applyAlignment="1">
      <alignment horizontal="left"/>
    </xf>
    <xf numFmtId="165" fontId="26" fillId="28" borderId="40" xfId="0" applyNumberFormat="1" applyFont="1" applyFill="1" applyBorder="1" applyAlignment="1">
      <alignment horizontal="center"/>
    </xf>
    <xf numFmtId="165" fontId="26" fillId="28" borderId="105" xfId="0" applyNumberFormat="1" applyFont="1" applyFill="1" applyBorder="1" applyAlignment="1">
      <alignment horizontal="center"/>
    </xf>
    <xf numFmtId="165" fontId="26" fillId="28" borderId="45" xfId="0" applyNumberFormat="1" applyFont="1" applyFill="1" applyBorder="1" applyAlignment="1">
      <alignment horizontal="center"/>
    </xf>
    <xf numFmtId="165" fontId="26" fillId="48" borderId="56" xfId="0" applyNumberFormat="1" applyFont="1" applyFill="1" applyBorder="1" applyAlignment="1">
      <alignment horizontal="center"/>
    </xf>
    <xf numFmtId="165" fontId="26" fillId="48" borderId="105" xfId="0" applyNumberFormat="1" applyFont="1" applyFill="1" applyBorder="1" applyAlignment="1">
      <alignment horizontal="center"/>
    </xf>
    <xf numFmtId="165" fontId="26" fillId="48" borderId="45" xfId="0" applyNumberFormat="1" applyFont="1" applyFill="1" applyBorder="1" applyAlignment="1">
      <alignment horizontal="center"/>
    </xf>
    <xf numFmtId="165" fontId="26" fillId="16" borderId="56" xfId="0" applyNumberFormat="1" applyFont="1" applyFill="1" applyBorder="1" applyAlignment="1">
      <alignment horizontal="center"/>
    </xf>
    <xf numFmtId="165" fontId="26" fillId="16" borderId="105" xfId="0" applyNumberFormat="1" applyFont="1" applyFill="1" applyBorder="1" applyAlignment="1">
      <alignment horizontal="center"/>
    </xf>
    <xf numFmtId="165" fontId="26" fillId="16" borderId="45" xfId="0" applyNumberFormat="1" applyFont="1" applyFill="1" applyBorder="1" applyAlignment="1">
      <alignment horizontal="center"/>
    </xf>
    <xf numFmtId="165" fontId="26" fillId="28" borderId="56" xfId="0" applyNumberFormat="1" applyFont="1" applyFill="1" applyBorder="1" applyAlignment="1">
      <alignment horizontal="center"/>
    </xf>
    <xf numFmtId="165" fontId="26" fillId="21" borderId="105" xfId="0" applyNumberFormat="1" applyFont="1" applyFill="1" applyBorder="1" applyAlignment="1">
      <alignment horizontal="center"/>
    </xf>
    <xf numFmtId="165" fontId="26" fillId="21" borderId="45" xfId="0" applyNumberFormat="1" applyFont="1" applyFill="1" applyBorder="1" applyAlignment="1">
      <alignment horizontal="center"/>
    </xf>
    <xf numFmtId="165" fontId="26" fillId="48" borderId="106" xfId="0" applyNumberFormat="1" applyFont="1" applyFill="1" applyBorder="1" applyAlignment="1">
      <alignment horizontal="center"/>
    </xf>
    <xf numFmtId="165" fontId="23" fillId="6" borderId="53" xfId="0" applyNumberFormat="1" applyFont="1" applyFill="1" applyBorder="1" applyAlignment="1">
      <alignment horizontal="center" vertical="center"/>
    </xf>
    <xf numFmtId="0" fontId="24" fillId="23" borderId="107" xfId="0" applyFont="1" applyFill="1" applyBorder="1" applyAlignment="1">
      <alignment vertical="center"/>
    </xf>
    <xf numFmtId="0" fontId="24" fillId="23" borderId="108" xfId="0" applyFont="1" applyFill="1" applyBorder="1" applyAlignment="1">
      <alignment vertical="center"/>
    </xf>
    <xf numFmtId="0" fontId="24" fillId="23" borderId="109" xfId="0" applyFont="1" applyFill="1" applyBorder="1" applyAlignment="1">
      <alignment vertical="center"/>
    </xf>
    <xf numFmtId="49" fontId="2" fillId="25" borderId="4" xfId="0" applyNumberFormat="1" applyFont="1" applyFill="1" applyBorder="1" applyAlignment="1">
      <alignment vertical="center" wrapText="1"/>
    </xf>
    <xf numFmtId="49" fontId="2" fillId="25" borderId="0" xfId="0" applyNumberFormat="1" applyFont="1" applyFill="1" applyAlignment="1">
      <alignment vertical="center" wrapText="1"/>
    </xf>
    <xf numFmtId="14" fontId="5" fillId="20" borderId="42" xfId="0" applyNumberFormat="1" applyFont="1" applyFill="1" applyBorder="1" applyAlignment="1">
      <alignment horizontal="center" vertical="center"/>
    </xf>
    <xf numFmtId="0" fontId="42" fillId="20" borderId="42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20" fontId="21" fillId="20" borderId="42" xfId="0" applyNumberFormat="1" applyFont="1" applyFill="1" applyBorder="1" applyAlignment="1">
      <alignment horizontal="center" vertical="center"/>
    </xf>
    <xf numFmtId="166" fontId="21" fillId="20" borderId="42" xfId="0" applyNumberFormat="1" applyFont="1" applyFill="1" applyBorder="1" applyAlignment="1">
      <alignment horizontal="center" vertical="center"/>
    </xf>
    <xf numFmtId="0" fontId="0" fillId="20" borderId="42" xfId="0" applyFill="1" applyBorder="1" applyAlignment="1">
      <alignment horizontal="center" vertical="center"/>
    </xf>
    <xf numFmtId="0" fontId="0" fillId="48" borderId="42" xfId="0" applyFill="1" applyBorder="1"/>
    <xf numFmtId="0" fontId="16" fillId="48" borderId="0" xfId="0" applyFont="1" applyFill="1"/>
    <xf numFmtId="49" fontId="0" fillId="20" borderId="42" xfId="0" applyNumberFormat="1" applyFill="1" applyBorder="1" applyAlignment="1">
      <alignment horizontal="center" vertical="center"/>
    </xf>
    <xf numFmtId="20" fontId="0" fillId="20" borderId="42" xfId="0" applyNumberFormat="1" applyFill="1" applyBorder="1" applyAlignment="1">
      <alignment horizontal="center" vertical="center"/>
    </xf>
    <xf numFmtId="0" fontId="0" fillId="20" borderId="42" xfId="0" applyFill="1" applyBorder="1" applyAlignment="1">
      <alignment wrapText="1"/>
    </xf>
    <xf numFmtId="0" fontId="0" fillId="20" borderId="42" xfId="0" applyFill="1" applyBorder="1" applyAlignment="1">
      <alignment horizontal="center" vertical="center" wrapText="1"/>
    </xf>
    <xf numFmtId="0" fontId="0" fillId="20" borderId="42" xfId="0" applyFill="1" applyBorder="1" applyAlignment="1">
      <alignment horizontal="left" vertical="center" wrapText="1"/>
    </xf>
    <xf numFmtId="165" fontId="33" fillId="48" borderId="110" xfId="0" applyNumberFormat="1" applyFont="1" applyFill="1" applyBorder="1" applyAlignment="1">
      <alignment horizontal="center"/>
    </xf>
    <xf numFmtId="165" fontId="33" fillId="16" borderId="104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21" fillId="20" borderId="42" xfId="0" applyFont="1" applyFill="1" applyBorder="1" applyAlignment="1">
      <alignment horizontal="center" vertical="center" wrapText="1"/>
    </xf>
    <xf numFmtId="0" fontId="0" fillId="20" borderId="50" xfId="0" applyFill="1" applyBorder="1" applyAlignment="1">
      <alignment horizontal="center" vertical="center" wrapText="1"/>
    </xf>
    <xf numFmtId="165" fontId="33" fillId="22" borderId="111" xfId="0" applyNumberFormat="1" applyFont="1" applyFill="1" applyBorder="1" applyAlignment="1">
      <alignment horizontal="center"/>
    </xf>
    <xf numFmtId="0" fontId="34" fillId="0" borderId="112" xfId="0" applyFont="1" applyBorder="1"/>
    <xf numFmtId="165" fontId="33" fillId="0" borderId="113" xfId="0" applyNumberFormat="1" applyFont="1" applyBorder="1" applyAlignment="1">
      <alignment horizontal="center"/>
    </xf>
    <xf numFmtId="0" fontId="34" fillId="0" borderId="114" xfId="0" applyFont="1" applyBorder="1"/>
    <xf numFmtId="0" fontId="35" fillId="10" borderId="115" xfId="0" applyFont="1" applyFill="1" applyBorder="1" applyAlignment="1">
      <alignment horizontal="center"/>
    </xf>
    <xf numFmtId="0" fontId="34" fillId="0" borderId="117" xfId="0" applyFont="1" applyBorder="1"/>
    <xf numFmtId="165" fontId="33" fillId="0" borderId="118" xfId="0" applyNumberFormat="1" applyFont="1" applyBorder="1" applyAlignment="1">
      <alignment horizontal="center"/>
    </xf>
    <xf numFmtId="165" fontId="36" fillId="0" borderId="119" xfId="0" applyNumberFormat="1" applyFont="1" applyBorder="1" applyAlignment="1">
      <alignment horizontal="left"/>
    </xf>
    <xf numFmtId="0" fontId="35" fillId="54" borderId="116" xfId="0" applyFont="1" applyFill="1" applyBorder="1" applyAlignment="1">
      <alignment horizontal="center"/>
    </xf>
    <xf numFmtId="165" fontId="26" fillId="21" borderId="120" xfId="0" applyNumberFormat="1" applyFont="1" applyFill="1" applyBorder="1" applyAlignment="1">
      <alignment horizontal="center"/>
    </xf>
    <xf numFmtId="165" fontId="26" fillId="48" borderId="121" xfId="0" applyNumberFormat="1" applyFont="1" applyFill="1" applyBorder="1" applyAlignment="1">
      <alignment horizontal="center"/>
    </xf>
    <xf numFmtId="165" fontId="26" fillId="21" borderId="122" xfId="0" applyNumberFormat="1" applyFont="1" applyFill="1" applyBorder="1" applyAlignment="1">
      <alignment horizontal="center"/>
    </xf>
    <xf numFmtId="165" fontId="26" fillId="48" borderId="123" xfId="0" applyNumberFormat="1" applyFont="1" applyFill="1" applyBorder="1" applyAlignment="1">
      <alignment horizontal="center"/>
    </xf>
    <xf numFmtId="0" fontId="21" fillId="6" borderId="0" xfId="0" applyFont="1" applyFill="1" applyAlignment="1" applyProtection="1">
      <alignment horizontal="center" vertical="center"/>
      <protection locked="0"/>
    </xf>
    <xf numFmtId="0" fontId="0" fillId="19" borderId="42" xfId="0" applyFill="1" applyBorder="1" applyAlignment="1" applyProtection="1">
      <alignment horizontal="center" vertical="center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66" fontId="21" fillId="6" borderId="0" xfId="0" applyNumberFormat="1" applyFont="1" applyFill="1" applyAlignment="1" applyProtection="1">
      <alignment horizontal="center" vertical="center"/>
      <protection locked="0"/>
    </xf>
    <xf numFmtId="0" fontId="21" fillId="6" borderId="0" xfId="0" applyFont="1" applyFill="1" applyAlignment="1" applyProtection="1">
      <alignment wrapText="1"/>
      <protection locked="0"/>
    </xf>
    <xf numFmtId="49" fontId="0" fillId="20" borderId="42" xfId="0" applyNumberFormat="1" applyFill="1" applyBorder="1" applyAlignment="1" applyProtection="1">
      <alignment horizontal="center" vertical="center"/>
      <protection locked="0"/>
    </xf>
    <xf numFmtId="0" fontId="0" fillId="20" borderId="42" xfId="0" applyFill="1" applyBorder="1" applyAlignment="1" applyProtection="1">
      <alignment horizontal="center" vertical="center"/>
      <protection locked="0"/>
    </xf>
    <xf numFmtId="14" fontId="5" fillId="20" borderId="42" xfId="0" applyNumberFormat="1" applyFont="1" applyFill="1" applyBorder="1" applyAlignment="1" applyProtection="1">
      <alignment horizontal="center" vertical="center"/>
      <protection locked="0"/>
    </xf>
    <xf numFmtId="20" fontId="0" fillId="20" borderId="42" xfId="0" applyNumberFormat="1" applyFill="1" applyBorder="1" applyAlignment="1" applyProtection="1">
      <alignment horizontal="center" vertical="center"/>
      <protection locked="0"/>
    </xf>
    <xf numFmtId="0" fontId="0" fillId="20" borderId="42" xfId="0" applyFill="1" applyBorder="1" applyAlignment="1" applyProtection="1">
      <alignment horizontal="left" vertical="center" wrapText="1"/>
      <protection locked="0"/>
    </xf>
    <xf numFmtId="0" fontId="0" fillId="20" borderId="42" xfId="0" applyFill="1" applyBorder="1" applyAlignment="1" applyProtection="1">
      <alignment horizontal="center" vertical="center" wrapText="1"/>
      <protection locked="0"/>
    </xf>
    <xf numFmtId="0" fontId="0" fillId="20" borderId="42" xfId="0" applyFill="1" applyBorder="1" applyAlignment="1" applyProtection="1">
      <alignment wrapText="1"/>
      <protection locked="0"/>
    </xf>
    <xf numFmtId="49" fontId="0" fillId="53" borderId="50" xfId="0" applyNumberFormat="1" applyFill="1" applyBorder="1" applyAlignment="1" applyProtection="1">
      <alignment horizontal="center" vertical="center"/>
      <protection locked="0"/>
    </xf>
    <xf numFmtId="0" fontId="0" fillId="53" borderId="50" xfId="0" applyFill="1" applyBorder="1" applyAlignment="1" applyProtection="1">
      <alignment horizontal="center" vertical="center"/>
      <protection locked="0"/>
    </xf>
    <xf numFmtId="14" fontId="5" fillId="53" borderId="50" xfId="0" applyNumberFormat="1" applyFont="1" applyFill="1" applyBorder="1" applyAlignment="1" applyProtection="1">
      <alignment horizontal="center" vertical="center"/>
      <protection locked="0"/>
    </xf>
    <xf numFmtId="20" fontId="0" fillId="53" borderId="50" xfId="0" applyNumberFormat="1" applyFill="1" applyBorder="1" applyAlignment="1" applyProtection="1">
      <alignment horizontal="center" vertical="center"/>
      <protection locked="0"/>
    </xf>
    <xf numFmtId="0" fontId="0" fillId="53" borderId="50" xfId="0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19" borderId="0" xfId="0" applyFill="1" applyProtection="1">
      <protection locked="0"/>
    </xf>
    <xf numFmtId="166" fontId="0" fillId="20" borderId="42" xfId="0" applyNumberFormat="1" applyFill="1" applyBorder="1" applyAlignment="1">
      <alignment horizontal="center" vertical="center"/>
    </xf>
    <xf numFmtId="166" fontId="0" fillId="20" borderId="50" xfId="0" applyNumberFormat="1" applyFill="1" applyBorder="1" applyAlignment="1">
      <alignment horizontal="center" vertical="center"/>
    </xf>
    <xf numFmtId="14" fontId="0" fillId="20" borderId="50" xfId="0" applyNumberFormat="1" applyFill="1" applyBorder="1" applyAlignment="1">
      <alignment horizontal="center" vertical="center"/>
    </xf>
    <xf numFmtId="14" fontId="0" fillId="20" borderId="42" xfId="0" applyNumberFormat="1" applyFill="1" applyBorder="1" applyAlignment="1">
      <alignment horizontal="center" vertical="center"/>
    </xf>
    <xf numFmtId="0" fontId="0" fillId="20" borderId="42" xfId="0" applyFill="1" applyBorder="1" applyAlignment="1" applyProtection="1">
      <alignment vertical="center" wrapText="1"/>
      <protection locked="0"/>
    </xf>
    <xf numFmtId="0" fontId="0" fillId="53" borderId="50" xfId="0" applyFill="1" applyBorder="1" applyAlignment="1" applyProtection="1">
      <alignment horizontal="center" vertical="center" wrapText="1"/>
      <protection locked="0"/>
    </xf>
    <xf numFmtId="165" fontId="33" fillId="54" borderId="85" xfId="0" applyNumberFormat="1" applyFont="1" applyFill="1" applyBorder="1" applyAlignment="1">
      <alignment horizontal="center"/>
    </xf>
    <xf numFmtId="165" fontId="26" fillId="21" borderId="90" xfId="0" applyNumberFormat="1" applyFont="1" applyFill="1" applyBorder="1" applyAlignment="1">
      <alignment horizontal="center"/>
    </xf>
    <xf numFmtId="165" fontId="26" fillId="48" borderId="124" xfId="0" applyNumberFormat="1" applyFont="1" applyFill="1" applyBorder="1" applyAlignment="1">
      <alignment horizontal="center"/>
    </xf>
    <xf numFmtId="165" fontId="33" fillId="48" borderId="91" xfId="0" applyNumberFormat="1" applyFont="1" applyFill="1" applyBorder="1" applyAlignment="1">
      <alignment horizontal="center"/>
    </xf>
    <xf numFmtId="165" fontId="26" fillId="21" borderId="91" xfId="0" applyNumberFormat="1" applyFont="1" applyFill="1" applyBorder="1" applyAlignment="1">
      <alignment horizontal="center"/>
    </xf>
    <xf numFmtId="49" fontId="0" fillId="27" borderId="50" xfId="0" applyNumberFormat="1" applyFill="1" applyBorder="1" applyAlignment="1" applyProtection="1">
      <alignment horizontal="center" vertical="center"/>
      <protection locked="0"/>
    </xf>
    <xf numFmtId="0" fontId="0" fillId="27" borderId="50" xfId="0" applyFill="1" applyBorder="1" applyAlignment="1" applyProtection="1">
      <alignment horizontal="center" vertical="center"/>
      <protection locked="0"/>
    </xf>
    <xf numFmtId="14" fontId="5" fillId="27" borderId="50" xfId="0" applyNumberFormat="1" applyFont="1" applyFill="1" applyBorder="1" applyAlignment="1" applyProtection="1">
      <alignment horizontal="center" vertical="center"/>
      <protection locked="0"/>
    </xf>
    <xf numFmtId="20" fontId="0" fillId="27" borderId="50" xfId="0" applyNumberFormat="1" applyFill="1" applyBorder="1" applyAlignment="1" applyProtection="1">
      <alignment horizontal="center" vertical="center"/>
      <protection locked="0"/>
    </xf>
    <xf numFmtId="0" fontId="0" fillId="27" borderId="50" xfId="0" applyFill="1" applyBorder="1" applyAlignment="1" applyProtection="1">
      <alignment wrapText="1"/>
      <protection locked="0"/>
    </xf>
    <xf numFmtId="49" fontId="0" fillId="27" borderId="42" xfId="0" applyNumberFormat="1" applyFill="1" applyBorder="1" applyAlignment="1" applyProtection="1">
      <alignment horizontal="center" vertical="center"/>
      <protection locked="0"/>
    </xf>
    <xf numFmtId="0" fontId="0" fillId="27" borderId="42" xfId="0" applyFill="1" applyBorder="1" applyAlignment="1" applyProtection="1">
      <alignment horizontal="center" vertical="center"/>
      <protection locked="0"/>
    </xf>
    <xf numFmtId="14" fontId="5" fillId="27" borderId="42" xfId="0" applyNumberFormat="1" applyFont="1" applyFill="1" applyBorder="1" applyAlignment="1" applyProtection="1">
      <alignment horizontal="center" vertical="center"/>
      <protection locked="0"/>
    </xf>
    <xf numFmtId="20" fontId="0" fillId="27" borderId="42" xfId="0" applyNumberFormat="1" applyFill="1" applyBorder="1" applyAlignment="1" applyProtection="1">
      <alignment horizontal="center" vertical="center"/>
      <protection locked="0"/>
    </xf>
    <xf numFmtId="0" fontId="0" fillId="27" borderId="42" xfId="0" applyFill="1" applyBorder="1" applyAlignment="1" applyProtection="1">
      <alignment wrapText="1"/>
      <protection locked="0"/>
    </xf>
    <xf numFmtId="49" fontId="0" fillId="48" borderId="42" xfId="0" applyNumberFormat="1" applyFill="1" applyBorder="1" applyAlignment="1">
      <alignment horizontal="center" vertical="center"/>
    </xf>
    <xf numFmtId="14" fontId="0" fillId="48" borderId="50" xfId="0" applyNumberFormat="1" applyFill="1" applyBorder="1" applyAlignment="1">
      <alignment horizontal="center" vertical="center"/>
    </xf>
    <xf numFmtId="14" fontId="5" fillId="48" borderId="42" xfId="0" applyNumberFormat="1" applyFont="1" applyFill="1" applyBorder="1" applyAlignment="1">
      <alignment horizontal="center" vertical="center"/>
    </xf>
    <xf numFmtId="0" fontId="0" fillId="48" borderId="42" xfId="0" applyFill="1" applyBorder="1" applyAlignment="1">
      <alignment horizontal="center" vertical="center"/>
    </xf>
    <xf numFmtId="20" fontId="0" fillId="48" borderId="42" xfId="0" applyNumberFormat="1" applyFill="1" applyBorder="1" applyAlignment="1">
      <alignment horizontal="center" vertical="center"/>
    </xf>
    <xf numFmtId="166" fontId="0" fillId="48" borderId="42" xfId="0" applyNumberFormat="1" applyFill="1" applyBorder="1" applyAlignment="1">
      <alignment horizontal="center" vertical="center"/>
    </xf>
    <xf numFmtId="0" fontId="0" fillId="48" borderId="42" xfId="0" applyFill="1" applyBorder="1" applyAlignment="1">
      <alignment wrapText="1"/>
    </xf>
    <xf numFmtId="0" fontId="0" fillId="48" borderId="42" xfId="0" applyFill="1" applyBorder="1" applyAlignment="1">
      <alignment horizontal="center" vertical="center" wrapText="1"/>
    </xf>
    <xf numFmtId="17" fontId="60" fillId="5" borderId="37" xfId="0" applyNumberFormat="1" applyFont="1" applyFill="1" applyBorder="1" applyAlignment="1">
      <alignment horizontal="left" vertical="center"/>
    </xf>
    <xf numFmtId="0" fontId="62" fillId="0" borderId="37" xfId="0" applyFont="1" applyBorder="1"/>
    <xf numFmtId="49" fontId="63" fillId="3" borderId="37" xfId="0" applyNumberFormat="1" applyFont="1" applyFill="1" applyBorder="1" applyAlignment="1">
      <alignment vertical="center"/>
    </xf>
    <xf numFmtId="0" fontId="63" fillId="3" borderId="37" xfId="0" applyFont="1" applyFill="1" applyBorder="1" applyAlignment="1">
      <alignment horizontal="center" vertical="center"/>
    </xf>
    <xf numFmtId="0" fontId="64" fillId="3" borderId="37" xfId="0" applyFont="1" applyFill="1" applyBorder="1" applyAlignment="1">
      <alignment horizontal="center" vertical="center"/>
    </xf>
    <xf numFmtId="0" fontId="65" fillId="8" borderId="37" xfId="4" applyFont="1" applyFill="1" applyBorder="1"/>
    <xf numFmtId="49" fontId="63" fillId="25" borderId="37" xfId="0" applyNumberFormat="1" applyFont="1" applyFill="1" applyBorder="1" applyAlignment="1">
      <alignment vertical="center" wrapText="1"/>
    </xf>
    <xf numFmtId="0" fontId="63" fillId="6" borderId="37" xfId="0" applyFont="1" applyFill="1" applyBorder="1" applyAlignment="1">
      <alignment horizontal="center" vertical="center"/>
    </xf>
    <xf numFmtId="0" fontId="63" fillId="8" borderId="37" xfId="0" applyFont="1" applyFill="1" applyBorder="1" applyAlignment="1">
      <alignment horizontal="center" vertical="center"/>
    </xf>
    <xf numFmtId="0" fontId="63" fillId="24" borderId="37" xfId="0" applyFont="1" applyFill="1" applyBorder="1" applyAlignment="1">
      <alignment horizontal="center" vertical="center"/>
    </xf>
    <xf numFmtId="0" fontId="63" fillId="10" borderId="37" xfId="0" applyFont="1" applyFill="1" applyBorder="1" applyAlignment="1">
      <alignment horizontal="center" vertical="center"/>
    </xf>
    <xf numFmtId="0" fontId="62" fillId="8" borderId="37" xfId="0" applyFont="1" applyFill="1" applyBorder="1"/>
    <xf numFmtId="0" fontId="63" fillId="16" borderId="37" xfId="0" applyFont="1" applyFill="1" applyBorder="1" applyAlignment="1">
      <alignment horizontal="center" vertical="center"/>
    </xf>
    <xf numFmtId="0" fontId="64" fillId="8" borderId="37" xfId="0" applyFont="1" applyFill="1" applyBorder="1" applyAlignment="1">
      <alignment horizontal="center" vertical="center"/>
    </xf>
    <xf numFmtId="0" fontId="66" fillId="0" borderId="37" xfId="0" applyFont="1" applyBorder="1"/>
    <xf numFmtId="0" fontId="45" fillId="42" borderId="76" xfId="0" applyFont="1" applyFill="1" applyBorder="1" applyAlignment="1">
      <alignment horizontal="center" vertical="center" wrapText="1"/>
    </xf>
    <xf numFmtId="0" fontId="45" fillId="30" borderId="35" xfId="0" applyFont="1" applyFill="1" applyBorder="1" applyAlignment="1">
      <alignment horizontal="center" vertical="center" wrapText="1"/>
    </xf>
    <xf numFmtId="0" fontId="45" fillId="42" borderId="36" xfId="0" applyFont="1" applyFill="1" applyBorder="1" applyAlignment="1">
      <alignment horizontal="center" vertical="center" wrapText="1"/>
    </xf>
    <xf numFmtId="0" fontId="52" fillId="0" borderId="130" xfId="0" applyFont="1" applyBorder="1" applyAlignment="1">
      <alignment horizontal="center" vertical="center" wrapText="1"/>
    </xf>
    <xf numFmtId="0" fontId="45" fillId="51" borderId="64" xfId="0" applyFont="1" applyFill="1" applyBorder="1" applyAlignment="1">
      <alignment horizontal="center" vertical="center" wrapText="1"/>
    </xf>
    <xf numFmtId="0" fontId="45" fillId="31" borderId="76" xfId="0" applyFont="1" applyFill="1" applyBorder="1" applyAlignment="1">
      <alignment horizontal="center" vertical="center" wrapText="1"/>
    </xf>
    <xf numFmtId="0" fontId="45" fillId="30" borderId="36" xfId="0" applyFont="1" applyFill="1" applyBorder="1" applyAlignment="1">
      <alignment horizontal="center" vertical="center" wrapText="1"/>
    </xf>
    <xf numFmtId="0" fontId="47" fillId="32" borderId="35" xfId="0" applyFont="1" applyFill="1" applyBorder="1" applyAlignment="1">
      <alignment horizontal="center" vertical="center" wrapText="1"/>
    </xf>
    <xf numFmtId="0" fontId="45" fillId="29" borderId="70" xfId="0" applyFont="1" applyFill="1" applyBorder="1" applyAlignment="1">
      <alignment horizontal="center" vertical="center" wrapText="1"/>
    </xf>
    <xf numFmtId="0" fontId="46" fillId="30" borderId="79" xfId="0" applyFont="1" applyFill="1" applyBorder="1" applyAlignment="1">
      <alignment horizontal="center" vertical="center" wrapText="1"/>
    </xf>
    <xf numFmtId="0" fontId="45" fillId="32" borderId="79" xfId="0" applyFont="1" applyFill="1" applyBorder="1" applyAlignment="1">
      <alignment horizontal="center" vertical="center" wrapText="1"/>
    </xf>
    <xf numFmtId="0" fontId="45" fillId="55" borderId="79" xfId="0" applyFont="1" applyFill="1" applyBorder="1" applyAlignment="1">
      <alignment horizontal="center" vertical="center" wrapText="1"/>
    </xf>
    <xf numFmtId="0" fontId="5" fillId="10" borderId="80" xfId="0" applyFont="1" applyFill="1" applyBorder="1" applyAlignment="1">
      <alignment horizontal="center" vertical="center"/>
    </xf>
    <xf numFmtId="0" fontId="45" fillId="0" borderId="135" xfId="0" applyFont="1" applyBorder="1" applyAlignment="1">
      <alignment wrapText="1"/>
    </xf>
    <xf numFmtId="0" fontId="49" fillId="39" borderId="140" xfId="0" applyFont="1" applyFill="1" applyBorder="1" applyAlignment="1">
      <alignment horizontal="center" vertical="center" wrapText="1"/>
    </xf>
    <xf numFmtId="0" fontId="49" fillId="39" borderId="141" xfId="0" applyFont="1" applyFill="1" applyBorder="1" applyAlignment="1">
      <alignment horizontal="center" vertical="center" wrapText="1"/>
    </xf>
    <xf numFmtId="0" fontId="49" fillId="39" borderId="142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horizontal="center" vertical="center" wrapText="1"/>
    </xf>
    <xf numFmtId="0" fontId="53" fillId="0" borderId="145" xfId="0" applyFont="1" applyBorder="1" applyAlignment="1">
      <alignment horizontal="center" vertical="center" wrapText="1"/>
    </xf>
    <xf numFmtId="0" fontId="52" fillId="0" borderId="145" xfId="0" applyFont="1" applyBorder="1" applyAlignment="1">
      <alignment horizontal="center" vertical="center" wrapText="1"/>
    </xf>
    <xf numFmtId="0" fontId="53" fillId="0" borderId="25" xfId="0" applyFont="1" applyBorder="1" applyAlignment="1">
      <alignment horizontal="center" vertical="center" wrapText="1"/>
    </xf>
    <xf numFmtId="0" fontId="16" fillId="40" borderId="71" xfId="0" applyFont="1" applyFill="1" applyBorder="1" applyAlignment="1">
      <alignment wrapText="1"/>
    </xf>
    <xf numFmtId="0" fontId="45" fillId="41" borderId="128" xfId="0" applyFont="1" applyFill="1" applyBorder="1" applyAlignment="1">
      <alignment horizontal="center" vertical="center" wrapText="1"/>
    </xf>
    <xf numFmtId="0" fontId="16" fillId="43" borderId="73" xfId="0" applyFont="1" applyFill="1" applyBorder="1" applyAlignment="1">
      <alignment wrapText="1"/>
    </xf>
    <xf numFmtId="0" fontId="45" fillId="41" borderId="36" xfId="0" applyFont="1" applyFill="1" applyBorder="1" applyAlignment="1">
      <alignment horizontal="center" vertical="center" wrapText="1"/>
    </xf>
    <xf numFmtId="0" fontId="16" fillId="44" borderId="73" xfId="0" applyFont="1" applyFill="1" applyBorder="1" applyAlignment="1">
      <alignment wrapText="1"/>
    </xf>
    <xf numFmtId="0" fontId="47" fillId="30" borderId="37" xfId="0" applyFont="1" applyFill="1" applyBorder="1" applyAlignment="1">
      <alignment horizontal="center" vertical="center" wrapText="1"/>
    </xf>
    <xf numFmtId="0" fontId="47" fillId="32" borderId="36" xfId="0" applyFont="1" applyFill="1" applyBorder="1" applyAlignment="1">
      <alignment horizontal="center" vertical="center" wrapText="1"/>
    </xf>
    <xf numFmtId="0" fontId="47" fillId="31" borderId="37" xfId="0" applyFont="1" applyFill="1" applyBorder="1" applyAlignment="1">
      <alignment horizontal="center" vertical="center" wrapText="1"/>
    </xf>
    <xf numFmtId="0" fontId="45" fillId="33" borderId="37" xfId="0" applyFont="1" applyFill="1" applyBorder="1" applyAlignment="1">
      <alignment horizontal="center" vertical="center" wrapText="1"/>
    </xf>
    <xf numFmtId="0" fontId="47" fillId="30" borderId="37" xfId="0" applyFont="1" applyFill="1" applyBorder="1" applyAlignment="1">
      <alignment horizontal="center" vertical="top" wrapText="1"/>
    </xf>
    <xf numFmtId="0" fontId="47" fillId="30" borderId="63" xfId="0" applyFont="1" applyFill="1" applyBorder="1" applyAlignment="1">
      <alignment horizontal="center" vertical="center" wrapText="1"/>
    </xf>
    <xf numFmtId="0" fontId="16" fillId="45" borderId="73" xfId="0" applyFont="1" applyFill="1" applyBorder="1" applyAlignment="1">
      <alignment wrapText="1"/>
    </xf>
    <xf numFmtId="0" fontId="45" fillId="41" borderId="36" xfId="0" applyFont="1" applyFill="1" applyBorder="1" applyAlignment="1">
      <alignment horizontal="center" wrapText="1"/>
    </xf>
    <xf numFmtId="0" fontId="45" fillId="32" borderId="37" xfId="0" applyFont="1" applyFill="1" applyBorder="1" applyAlignment="1">
      <alignment horizontal="center" vertical="center" wrapText="1"/>
    </xf>
    <xf numFmtId="0" fontId="45" fillId="32" borderId="63" xfId="0" applyFont="1" applyFill="1" applyBorder="1" applyAlignment="1">
      <alignment horizontal="center" vertical="center" wrapText="1"/>
    </xf>
    <xf numFmtId="0" fontId="16" fillId="46" borderId="73" xfId="0" applyFont="1" applyFill="1" applyBorder="1" applyAlignment="1">
      <alignment wrapText="1"/>
    </xf>
    <xf numFmtId="0" fontId="16" fillId="46" borderId="74" xfId="0" applyFont="1" applyFill="1" applyBorder="1" applyAlignment="1">
      <alignment wrapText="1"/>
    </xf>
    <xf numFmtId="0" fontId="45" fillId="41" borderId="146" xfId="0" applyFont="1" applyFill="1" applyBorder="1" applyAlignment="1">
      <alignment horizontal="center" wrapText="1"/>
    </xf>
    <xf numFmtId="0" fontId="45" fillId="33" borderId="64" xfId="0" applyFont="1" applyFill="1" applyBorder="1" applyAlignment="1">
      <alignment horizontal="center" vertical="center" wrapText="1"/>
    </xf>
    <xf numFmtId="0" fontId="53" fillId="0" borderId="77" xfId="0" applyFont="1" applyBorder="1" applyAlignment="1">
      <alignment horizontal="center" vertical="center" wrapText="1"/>
    </xf>
    <xf numFmtId="0" fontId="46" fillId="31" borderId="70" xfId="0" applyFont="1" applyFill="1" applyBorder="1" applyAlignment="1">
      <alignment horizontal="center" vertical="center" wrapText="1"/>
    </xf>
    <xf numFmtId="0" fontId="46" fillId="31" borderId="61" xfId="0" applyFont="1" applyFill="1" applyBorder="1" applyAlignment="1">
      <alignment horizontal="center" vertical="center" wrapText="1"/>
    </xf>
    <xf numFmtId="0" fontId="46" fillId="31" borderId="79" xfId="0" applyFont="1" applyFill="1" applyBorder="1" applyAlignment="1">
      <alignment horizontal="center" vertical="center" wrapText="1"/>
    </xf>
    <xf numFmtId="0" fontId="46" fillId="31" borderId="37" xfId="0" applyFont="1" applyFill="1" applyBorder="1" applyAlignment="1">
      <alignment horizontal="center" vertical="center" wrapText="1"/>
    </xf>
    <xf numFmtId="0" fontId="47" fillId="30" borderId="79" xfId="0" applyFont="1" applyFill="1" applyBorder="1" applyAlignment="1">
      <alignment horizontal="center" vertical="center" wrapText="1"/>
    </xf>
    <xf numFmtId="0" fontId="47" fillId="47" borderId="37" xfId="0" applyFont="1" applyFill="1" applyBorder="1" applyAlignment="1">
      <alignment horizontal="center" vertical="center" wrapText="1"/>
    </xf>
    <xf numFmtId="0" fontId="16" fillId="40" borderId="81" xfId="0" applyFont="1" applyFill="1" applyBorder="1" applyAlignment="1">
      <alignment wrapText="1"/>
    </xf>
    <xf numFmtId="0" fontId="69" fillId="32" borderId="37" xfId="0" applyFont="1" applyFill="1" applyBorder="1" applyAlignment="1">
      <alignment horizontal="center" vertical="center" wrapText="1"/>
    </xf>
    <xf numFmtId="0" fontId="45" fillId="51" borderId="63" xfId="0" applyFont="1" applyFill="1" applyBorder="1" applyAlignment="1">
      <alignment horizontal="center" vertical="center" wrapText="1"/>
    </xf>
    <xf numFmtId="0" fontId="45" fillId="10" borderId="37" xfId="0" applyFont="1" applyFill="1" applyBorder="1" applyAlignment="1">
      <alignment horizontal="center" vertical="center" wrapText="1"/>
    </xf>
    <xf numFmtId="0" fontId="45" fillId="33" borderId="63" xfId="0" applyFont="1" applyFill="1" applyBorder="1" applyAlignment="1">
      <alignment horizontal="center" vertical="center" wrapText="1"/>
    </xf>
    <xf numFmtId="0" fontId="45" fillId="33" borderId="65" xfId="0" applyFont="1" applyFill="1" applyBorder="1" applyAlignment="1">
      <alignment horizontal="center" vertical="center" wrapText="1"/>
    </xf>
    <xf numFmtId="0" fontId="49" fillId="40" borderId="81" xfId="0" applyFont="1" applyFill="1" applyBorder="1" applyAlignment="1">
      <alignment wrapText="1"/>
    </xf>
    <xf numFmtId="0" fontId="45" fillId="33" borderId="61" xfId="0" applyFont="1" applyFill="1" applyBorder="1" applyAlignment="1">
      <alignment horizontal="center" vertical="center" wrapText="1"/>
    </xf>
    <xf numFmtId="0" fontId="49" fillId="43" borderId="73" xfId="0" applyFont="1" applyFill="1" applyBorder="1" applyAlignment="1">
      <alignment wrapText="1"/>
    </xf>
    <xf numFmtId="0" fontId="49" fillId="44" borderId="73" xfId="0" applyFont="1" applyFill="1" applyBorder="1" applyAlignment="1">
      <alignment wrapText="1"/>
    </xf>
    <xf numFmtId="0" fontId="58" fillId="44" borderId="73" xfId="0" applyFont="1" applyFill="1" applyBorder="1" applyAlignment="1">
      <alignment wrapText="1"/>
    </xf>
    <xf numFmtId="0" fontId="49" fillId="45" borderId="73" xfId="0" applyFont="1" applyFill="1" applyBorder="1" applyAlignment="1">
      <alignment wrapText="1"/>
    </xf>
    <xf numFmtId="0" fontId="49" fillId="46" borderId="73" xfId="0" applyFont="1" applyFill="1" applyBorder="1" applyAlignment="1">
      <alignment wrapText="1"/>
    </xf>
    <xf numFmtId="0" fontId="45" fillId="51" borderId="76" xfId="0" applyFont="1" applyFill="1" applyBorder="1" applyAlignment="1">
      <alignment horizontal="center" vertical="center" wrapText="1"/>
    </xf>
    <xf numFmtId="0" fontId="49" fillId="46" borderId="74" xfId="0" applyFont="1" applyFill="1" applyBorder="1" applyAlignment="1">
      <alignment wrapText="1"/>
    </xf>
    <xf numFmtId="0" fontId="45" fillId="33" borderId="80" xfId="0" applyFont="1" applyFill="1" applyBorder="1" applyAlignment="1">
      <alignment horizontal="center" vertical="center" wrapText="1"/>
    </xf>
    <xf numFmtId="0" fontId="45" fillId="41" borderId="64" xfId="0" applyFont="1" applyFill="1" applyBorder="1" applyAlignment="1">
      <alignment horizontal="center" vertical="center" wrapText="1"/>
    </xf>
    <xf numFmtId="0" fontId="49" fillId="40" borderId="71" xfId="0" applyFont="1" applyFill="1" applyBorder="1" applyAlignment="1">
      <alignment horizontal="left" vertical="center" wrapText="1"/>
    </xf>
    <xf numFmtId="0" fontId="45" fillId="16" borderId="61" xfId="0" applyFont="1" applyFill="1" applyBorder="1" applyAlignment="1">
      <alignment horizontal="center" vertical="center" wrapText="1"/>
    </xf>
    <xf numFmtId="0" fontId="49" fillId="43" borderId="73" xfId="0" applyFont="1" applyFill="1" applyBorder="1" applyAlignment="1">
      <alignment horizontal="left" vertical="center" wrapText="1"/>
    </xf>
    <xf numFmtId="0" fontId="49" fillId="44" borderId="73" xfId="0" applyFont="1" applyFill="1" applyBorder="1" applyAlignment="1">
      <alignment horizontal="left" vertical="center" wrapText="1"/>
    </xf>
    <xf numFmtId="0" fontId="58" fillId="44" borderId="73" xfId="0" applyFont="1" applyFill="1" applyBorder="1" applyAlignment="1">
      <alignment horizontal="left" vertical="center" wrapText="1"/>
    </xf>
    <xf numFmtId="0" fontId="45" fillId="10" borderId="63" xfId="0" applyFont="1" applyFill="1" applyBorder="1" applyAlignment="1">
      <alignment horizontal="center" vertical="center" wrapText="1"/>
    </xf>
    <xf numFmtId="0" fontId="49" fillId="45" borderId="73" xfId="0" applyFont="1" applyFill="1" applyBorder="1" applyAlignment="1">
      <alignment horizontal="left" vertical="center" wrapText="1"/>
    </xf>
    <xf numFmtId="0" fontId="49" fillId="46" borderId="73" xfId="0" applyFont="1" applyFill="1" applyBorder="1" applyAlignment="1">
      <alignment horizontal="left" vertical="center" wrapText="1"/>
    </xf>
    <xf numFmtId="0" fontId="49" fillId="46" borderId="74" xfId="0" applyFont="1" applyFill="1" applyBorder="1" applyAlignment="1">
      <alignment horizontal="left" vertical="center" wrapText="1"/>
    </xf>
    <xf numFmtId="0" fontId="45" fillId="30" borderId="65" xfId="0" applyFont="1" applyFill="1" applyBorder="1" applyAlignment="1">
      <alignment horizontal="center" vertical="center" wrapText="1"/>
    </xf>
    <xf numFmtId="0" fontId="45" fillId="30" borderId="76" xfId="0" applyFont="1" applyFill="1" applyBorder="1" applyAlignment="1">
      <alignment horizontal="center" vertical="center" wrapText="1"/>
    </xf>
    <xf numFmtId="0" fontId="45" fillId="31" borderId="35" xfId="0" applyFont="1" applyFill="1" applyBorder="1" applyAlignment="1">
      <alignment horizontal="center" vertical="center" wrapText="1"/>
    </xf>
    <xf numFmtId="0" fontId="45" fillId="29" borderId="35" xfId="0" applyFont="1" applyFill="1" applyBorder="1" applyAlignment="1">
      <alignment horizontal="center" vertical="center" wrapText="1"/>
    </xf>
    <xf numFmtId="0" fontId="45" fillId="16" borderId="35" xfId="0" applyFont="1" applyFill="1" applyBorder="1" applyAlignment="1">
      <alignment horizontal="center" vertical="center" wrapText="1"/>
    </xf>
    <xf numFmtId="0" fontId="45" fillId="33" borderId="36" xfId="0" applyFont="1" applyFill="1" applyBorder="1" applyAlignment="1">
      <alignment horizontal="center" vertical="center" wrapText="1"/>
    </xf>
    <xf numFmtId="0" fontId="32" fillId="35" borderId="37" xfId="0" applyFont="1" applyFill="1" applyBorder="1" applyAlignment="1">
      <alignment horizontal="center" vertical="center"/>
    </xf>
    <xf numFmtId="0" fontId="32" fillId="35" borderId="72" xfId="0" applyFont="1" applyFill="1" applyBorder="1" applyAlignment="1">
      <alignment horizontal="center" vertical="center"/>
    </xf>
    <xf numFmtId="0" fontId="69" fillId="16" borderId="61" xfId="0" applyFont="1" applyFill="1" applyBorder="1" applyAlignment="1">
      <alignment horizontal="center" vertical="center" wrapText="1"/>
    </xf>
    <xf numFmtId="0" fontId="0" fillId="16" borderId="83" xfId="0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45" fillId="33" borderId="76" xfId="0" applyFont="1" applyFill="1" applyBorder="1" applyAlignment="1">
      <alignment horizontal="center" vertical="center" wrapText="1"/>
    </xf>
    <xf numFmtId="0" fontId="26" fillId="16" borderId="37" xfId="0" applyFont="1" applyFill="1" applyBorder="1" applyAlignment="1">
      <alignment horizontal="center" vertical="center" wrapText="1"/>
    </xf>
    <xf numFmtId="0" fontId="45" fillId="47" borderId="35" xfId="0" applyFont="1" applyFill="1" applyBorder="1" applyAlignment="1">
      <alignment horizontal="center" vertical="center" wrapText="1"/>
    </xf>
    <xf numFmtId="0" fontId="69" fillId="16" borderId="37" xfId="0" applyFont="1" applyFill="1" applyBorder="1" applyAlignment="1">
      <alignment horizontal="center" vertical="center" wrapText="1"/>
    </xf>
    <xf numFmtId="0" fontId="47" fillId="32" borderId="72" xfId="0" applyFont="1" applyFill="1" applyBorder="1" applyAlignment="1">
      <alignment horizontal="center" vertical="center" wrapText="1"/>
    </xf>
    <xf numFmtId="0" fontId="70" fillId="16" borderId="37" xfId="0" applyFont="1" applyFill="1" applyBorder="1" applyAlignment="1">
      <alignment horizontal="center" vertical="center" wrapText="1"/>
    </xf>
    <xf numFmtId="0" fontId="45" fillId="29" borderId="132" xfId="0" applyFont="1" applyFill="1" applyBorder="1" applyAlignment="1">
      <alignment horizontal="center" vertical="center" wrapText="1"/>
    </xf>
    <xf numFmtId="0" fontId="45" fillId="41" borderId="61" xfId="0" applyFont="1" applyFill="1" applyBorder="1" applyAlignment="1">
      <alignment horizontal="center" vertical="center"/>
    </xf>
    <xf numFmtId="0" fontId="45" fillId="31" borderId="68" xfId="0" applyFont="1" applyFill="1" applyBorder="1" applyAlignment="1">
      <alignment horizontal="center" vertical="center" wrapText="1"/>
    </xf>
    <xf numFmtId="0" fontId="45" fillId="41" borderId="37" xfId="0" applyFont="1" applyFill="1" applyBorder="1" applyAlignment="1">
      <alignment horizontal="center" vertical="center"/>
    </xf>
    <xf numFmtId="0" fontId="45" fillId="41" borderId="37" xfId="0" applyFont="1" applyFill="1" applyBorder="1" applyAlignment="1">
      <alignment horizontal="center"/>
    </xf>
    <xf numFmtId="0" fontId="45" fillId="29" borderId="72" xfId="0" applyFont="1" applyFill="1" applyBorder="1" applyAlignment="1">
      <alignment horizontal="center" vertical="center" wrapText="1"/>
    </xf>
    <xf numFmtId="0" fontId="47" fillId="32" borderId="37" xfId="0" applyFont="1" applyFill="1" applyBorder="1" applyAlignment="1">
      <alignment horizontal="center" vertical="center"/>
    </xf>
    <xf numFmtId="0" fontId="45" fillId="41" borderId="64" xfId="0" applyFont="1" applyFill="1" applyBorder="1" applyAlignment="1">
      <alignment horizontal="center"/>
    </xf>
    <xf numFmtId="0" fontId="0" fillId="16" borderId="64" xfId="0" applyFill="1" applyBorder="1" applyAlignment="1">
      <alignment horizontal="center" vertical="center" wrapText="1"/>
    </xf>
    <xf numFmtId="17" fontId="60" fillId="5" borderId="76" xfId="0" applyNumberFormat="1" applyFont="1" applyFill="1" applyBorder="1" applyAlignment="1">
      <alignment horizontal="left" vertical="center"/>
    </xf>
    <xf numFmtId="0" fontId="66" fillId="0" borderId="76" xfId="0" applyFont="1" applyBorder="1"/>
    <xf numFmtId="0" fontId="66" fillId="0" borderId="147" xfId="0" applyFont="1" applyBorder="1"/>
    <xf numFmtId="0" fontId="66" fillId="0" borderId="130" xfId="0" applyFont="1" applyBorder="1"/>
    <xf numFmtId="0" fontId="66" fillId="0" borderId="35" xfId="0" applyFont="1" applyBorder="1"/>
    <xf numFmtId="0" fontId="66" fillId="0" borderId="96" xfId="0" applyFont="1" applyBorder="1"/>
    <xf numFmtId="0" fontId="66" fillId="0" borderId="36" xfId="0" applyFont="1" applyBorder="1"/>
    <xf numFmtId="0" fontId="63" fillId="3" borderId="35" xfId="0" applyFont="1" applyFill="1" applyBorder="1" applyAlignment="1">
      <alignment horizontal="center" vertical="center"/>
    </xf>
    <xf numFmtId="0" fontId="63" fillId="3" borderId="36" xfId="0" applyFont="1" applyFill="1" applyBorder="1" applyAlignment="1">
      <alignment horizontal="center" vertical="center"/>
    </xf>
    <xf numFmtId="0" fontId="63" fillId="56" borderId="37" xfId="0" applyFont="1" applyFill="1" applyBorder="1" applyAlignment="1">
      <alignment horizontal="center" vertical="center"/>
    </xf>
    <xf numFmtId="0" fontId="63" fillId="8" borderId="35" xfId="0" applyFont="1" applyFill="1" applyBorder="1" applyAlignment="1">
      <alignment horizontal="center" vertical="center"/>
    </xf>
    <xf numFmtId="0" fontId="63" fillId="56" borderId="36" xfId="0" applyFont="1" applyFill="1" applyBorder="1" applyAlignment="1">
      <alignment horizontal="center" vertical="center"/>
    </xf>
    <xf numFmtId="0" fontId="29" fillId="54" borderId="37" xfId="4" applyFill="1" applyBorder="1"/>
    <xf numFmtId="0" fontId="29" fillId="11" borderId="37" xfId="4" applyFill="1" applyBorder="1"/>
    <xf numFmtId="0" fontId="71" fillId="51" borderId="37" xfId="0" applyFont="1" applyFill="1" applyBorder="1" applyAlignment="1">
      <alignment horizontal="center" vertical="center" wrapText="1"/>
    </xf>
    <xf numFmtId="0" fontId="72" fillId="30" borderId="37" xfId="0" applyFont="1" applyFill="1" applyBorder="1" applyAlignment="1">
      <alignment horizontal="center" vertical="center" wrapText="1"/>
    </xf>
    <xf numFmtId="0" fontId="72" fillId="42" borderId="37" xfId="0" applyFont="1" applyFill="1" applyBorder="1" applyAlignment="1">
      <alignment horizontal="center" vertical="center" wrapText="1"/>
    </xf>
    <xf numFmtId="0" fontId="73" fillId="32" borderId="64" xfId="0" applyFont="1" applyFill="1" applyBorder="1" applyAlignment="1">
      <alignment horizontal="center" vertical="center" wrapText="1"/>
    </xf>
    <xf numFmtId="0" fontId="73" fillId="32" borderId="37" xfId="0" applyFont="1" applyFill="1" applyBorder="1" applyAlignment="1">
      <alignment horizontal="center" vertical="center" wrapText="1"/>
    </xf>
    <xf numFmtId="0" fontId="72" fillId="47" borderId="37" xfId="0" applyFont="1" applyFill="1" applyBorder="1" applyAlignment="1">
      <alignment horizontal="center" vertical="center" wrapText="1"/>
    </xf>
    <xf numFmtId="0" fontId="71" fillId="51" borderId="72" xfId="0" applyFont="1" applyFill="1" applyBorder="1" applyAlignment="1">
      <alignment horizontal="center" vertical="center" wrapText="1"/>
    </xf>
    <xf numFmtId="0" fontId="72" fillId="42" borderId="61" xfId="0" applyFont="1" applyFill="1" applyBorder="1" applyAlignment="1">
      <alignment horizontal="center" vertical="center" wrapText="1"/>
    </xf>
    <xf numFmtId="0" fontId="73" fillId="33" borderId="61" xfId="0" applyFont="1" applyFill="1" applyBorder="1" applyAlignment="1">
      <alignment horizontal="center" vertical="center" wrapText="1"/>
    </xf>
    <xf numFmtId="17" fontId="74" fillId="5" borderId="37" xfId="0" applyNumberFormat="1" applyFont="1" applyFill="1" applyBorder="1" applyAlignment="1">
      <alignment horizontal="left" vertical="center"/>
    </xf>
    <xf numFmtId="0" fontId="76" fillId="0" borderId="0" xfId="0" applyFont="1"/>
    <xf numFmtId="49" fontId="63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3" fillId="8" borderId="76" xfId="0" applyFont="1" applyFill="1" applyBorder="1" applyAlignment="1">
      <alignment horizontal="center" vertical="center"/>
    </xf>
    <xf numFmtId="0" fontId="63" fillId="8" borderId="42" xfId="0" applyFont="1" applyFill="1" applyBorder="1" applyAlignment="1">
      <alignment horizontal="center" vertical="center"/>
    </xf>
    <xf numFmtId="0" fontId="63" fillId="24" borderId="76" xfId="0" applyFont="1" applyFill="1" applyBorder="1" applyAlignment="1">
      <alignment horizontal="center" vertical="center"/>
    </xf>
    <xf numFmtId="0" fontId="63" fillId="16" borderId="76" xfId="0" applyFont="1" applyFill="1" applyBorder="1" applyAlignment="1">
      <alignment horizontal="center" vertical="center"/>
    </xf>
    <xf numFmtId="0" fontId="63" fillId="6" borderId="76" xfId="0" applyFont="1" applyFill="1" applyBorder="1" applyAlignment="1">
      <alignment horizontal="center" vertical="center"/>
    </xf>
    <xf numFmtId="0" fontId="63" fillId="24" borderId="42" xfId="0" applyFont="1" applyFill="1" applyBorder="1" applyAlignment="1">
      <alignment horizontal="center" vertical="center"/>
    </xf>
    <xf numFmtId="0" fontId="63" fillId="6" borderId="42" xfId="0" applyFont="1" applyFill="1" applyBorder="1" applyAlignment="1">
      <alignment horizontal="center" vertical="center"/>
    </xf>
    <xf numFmtId="0" fontId="64" fillId="3" borderId="130" xfId="0" applyFont="1" applyFill="1" applyBorder="1" applyAlignment="1">
      <alignment horizontal="center" vertical="center"/>
    </xf>
    <xf numFmtId="17" fontId="74" fillId="5" borderId="72" xfId="0" applyNumberFormat="1" applyFont="1" applyFill="1" applyBorder="1" applyAlignment="1">
      <alignment horizontal="left" vertical="center"/>
    </xf>
    <xf numFmtId="49" fontId="63" fillId="25" borderId="42" xfId="0" applyNumberFormat="1" applyFont="1" applyFill="1" applyBorder="1" applyAlignment="1">
      <alignment vertical="center" wrapText="1"/>
    </xf>
    <xf numFmtId="49" fontId="63" fillId="25" borderId="37" xfId="0" applyNumberFormat="1" applyFont="1" applyFill="1" applyBorder="1" applyAlignment="1">
      <alignment vertical="center"/>
    </xf>
    <xf numFmtId="0" fontId="73" fillId="33" borderId="37" xfId="0" applyFont="1" applyFill="1" applyBorder="1" applyAlignment="1">
      <alignment horizontal="center" vertical="center" wrapText="1"/>
    </xf>
    <xf numFmtId="0" fontId="71" fillId="51" borderId="61" xfId="0" applyFont="1" applyFill="1" applyBorder="1" applyAlignment="1">
      <alignment horizontal="center" vertical="center" wrapText="1"/>
    </xf>
    <xf numFmtId="0" fontId="71" fillId="51" borderId="64" xfId="0" applyFont="1" applyFill="1" applyBorder="1" applyAlignment="1">
      <alignment horizontal="center" vertical="center" wrapText="1"/>
    </xf>
    <xf numFmtId="0" fontId="72" fillId="31" borderId="37" xfId="0" applyFont="1" applyFill="1" applyBorder="1" applyAlignment="1">
      <alignment horizontal="center" vertical="center" wrapText="1"/>
    </xf>
    <xf numFmtId="0" fontId="72" fillId="42" borderId="70" xfId="0" applyFont="1" applyFill="1" applyBorder="1" applyAlignment="1">
      <alignment horizontal="center" vertical="center" wrapText="1"/>
    </xf>
    <xf numFmtId="0" fontId="72" fillId="31" borderId="61" xfId="0" applyFont="1" applyFill="1" applyBorder="1" applyAlignment="1">
      <alignment horizontal="center" vertical="center" wrapText="1"/>
    </xf>
    <xf numFmtId="0" fontId="77" fillId="51" borderId="61" xfId="0" applyFont="1" applyFill="1" applyBorder="1" applyAlignment="1">
      <alignment horizontal="center" vertical="center" wrapText="1"/>
    </xf>
    <xf numFmtId="0" fontId="72" fillId="31" borderId="62" xfId="0" applyFont="1" applyFill="1" applyBorder="1" applyAlignment="1">
      <alignment horizontal="center" vertical="center" wrapText="1"/>
    </xf>
    <xf numFmtId="0" fontId="72" fillId="42" borderId="79" xfId="0" applyFont="1" applyFill="1" applyBorder="1" applyAlignment="1">
      <alignment horizontal="center" vertical="center" wrapText="1"/>
    </xf>
    <xf numFmtId="0" fontId="72" fillId="31" borderId="63" xfId="0" applyFont="1" applyFill="1" applyBorder="1" applyAlignment="1">
      <alignment horizontal="center" vertical="center" wrapText="1"/>
    </xf>
    <xf numFmtId="0" fontId="73" fillId="33" borderId="79" xfId="0" applyFont="1" applyFill="1" applyBorder="1" applyAlignment="1">
      <alignment horizontal="center" vertical="center" wrapText="1"/>
    </xf>
    <xf numFmtId="0" fontId="72" fillId="30" borderId="63" xfId="0" applyFont="1" applyFill="1" applyBorder="1" applyAlignment="1">
      <alignment horizontal="center" vertical="center" wrapText="1"/>
    </xf>
    <xf numFmtId="0" fontId="72" fillId="29" borderId="37" xfId="0" applyFont="1" applyFill="1" applyBorder="1" applyAlignment="1">
      <alignment horizontal="center" vertical="center" wrapText="1"/>
    </xf>
    <xf numFmtId="0" fontId="73" fillId="32" borderId="63" xfId="0" applyFont="1" applyFill="1" applyBorder="1" applyAlignment="1">
      <alignment horizontal="center" vertical="center" wrapText="1"/>
    </xf>
    <xf numFmtId="0" fontId="73" fillId="32" borderId="79" xfId="0" applyFont="1" applyFill="1" applyBorder="1" applyAlignment="1">
      <alignment horizontal="center" vertical="center" wrapText="1"/>
    </xf>
    <xf numFmtId="0" fontId="77" fillId="51" borderId="37" xfId="0" applyFont="1" applyFill="1" applyBorder="1" applyAlignment="1">
      <alignment horizontal="center" vertical="center" wrapText="1"/>
    </xf>
    <xf numFmtId="0" fontId="72" fillId="29" borderId="63" xfId="0" applyFont="1" applyFill="1" applyBorder="1" applyAlignment="1">
      <alignment horizontal="center" vertical="center" wrapText="1"/>
    </xf>
    <xf numFmtId="0" fontId="72" fillId="51" borderId="37" xfId="0" applyFont="1" applyFill="1" applyBorder="1" applyAlignment="1">
      <alignment horizontal="center" vertical="center" wrapText="1"/>
    </xf>
    <xf numFmtId="0" fontId="72" fillId="42" borderId="80" xfId="0" applyFont="1" applyFill="1" applyBorder="1" applyAlignment="1">
      <alignment horizontal="center" vertical="center" wrapText="1"/>
    </xf>
    <xf numFmtId="0" fontId="72" fillId="31" borderId="64" xfId="0" applyFont="1" applyFill="1" applyBorder="1" applyAlignment="1">
      <alignment horizontal="center" vertical="center" wrapText="1"/>
    </xf>
    <xf numFmtId="0" fontId="72" fillId="42" borderId="64" xfId="0" applyFont="1" applyFill="1" applyBorder="1" applyAlignment="1">
      <alignment horizontal="center" vertical="center" wrapText="1"/>
    </xf>
    <xf numFmtId="0" fontId="72" fillId="29" borderId="64" xfId="0" applyFont="1" applyFill="1" applyBorder="1" applyAlignment="1">
      <alignment horizontal="center" vertical="center" wrapText="1"/>
    </xf>
    <xf numFmtId="0" fontId="72" fillId="51" borderId="64" xfId="0" applyFont="1" applyFill="1" applyBorder="1" applyAlignment="1">
      <alignment horizontal="center" vertical="center" wrapText="1"/>
    </xf>
    <xf numFmtId="0" fontId="72" fillId="47" borderId="64" xfId="0" applyFont="1" applyFill="1" applyBorder="1" applyAlignment="1">
      <alignment horizontal="center" vertical="center" wrapText="1"/>
    </xf>
    <xf numFmtId="0" fontId="72" fillId="31" borderId="65" xfId="0" applyFont="1" applyFill="1" applyBorder="1" applyAlignment="1">
      <alignment horizontal="center" vertical="center" wrapText="1"/>
    </xf>
    <xf numFmtId="0" fontId="73" fillId="29" borderId="70" xfId="0" applyFont="1" applyFill="1" applyBorder="1" applyAlignment="1">
      <alignment horizontal="center" vertical="center" wrapText="1"/>
    </xf>
    <xf numFmtId="0" fontId="77" fillId="0" borderId="0" xfId="0" applyFont="1"/>
    <xf numFmtId="0" fontId="79" fillId="30" borderId="94" xfId="0" applyFont="1" applyFill="1" applyBorder="1" applyAlignment="1">
      <alignment horizontal="center" vertical="center" wrapText="1"/>
    </xf>
    <xf numFmtId="0" fontId="73" fillId="31" borderId="79" xfId="0" applyFont="1" applyFill="1" applyBorder="1" applyAlignment="1">
      <alignment horizontal="center" vertical="center" wrapText="1"/>
    </xf>
    <xf numFmtId="0" fontId="73" fillId="21" borderId="79" xfId="0" applyFont="1" applyFill="1" applyBorder="1" applyAlignment="1">
      <alignment horizontal="center" vertical="center" wrapText="1"/>
    </xf>
    <xf numFmtId="0" fontId="80" fillId="34" borderId="79" xfId="0" applyFont="1" applyFill="1" applyBorder="1" applyAlignment="1">
      <alignment horizontal="center" vertical="center"/>
    </xf>
    <xf numFmtId="0" fontId="81" fillId="35" borderId="79" xfId="0" applyFont="1" applyFill="1" applyBorder="1" applyAlignment="1">
      <alignment horizontal="center" vertical="center"/>
    </xf>
    <xf numFmtId="0" fontId="80" fillId="10" borderId="79" xfId="0" applyFont="1" applyFill="1" applyBorder="1" applyAlignment="1">
      <alignment horizontal="center" vertical="center"/>
    </xf>
    <xf numFmtId="0" fontId="77" fillId="16" borderId="80" xfId="0" applyFont="1" applyFill="1" applyBorder="1" applyAlignment="1">
      <alignment horizontal="center" vertical="center" wrapText="1"/>
    </xf>
    <xf numFmtId="0" fontId="77" fillId="0" borderId="13" xfId="0" applyFont="1" applyBorder="1"/>
    <xf numFmtId="0" fontId="77" fillId="0" borderId="14" xfId="0" applyFont="1" applyBorder="1"/>
    <xf numFmtId="0" fontId="83" fillId="39" borderId="70" xfId="0" applyFont="1" applyFill="1" applyBorder="1" applyAlignment="1">
      <alignment horizontal="center" vertical="center" wrapText="1"/>
    </xf>
    <xf numFmtId="0" fontId="83" fillId="39" borderId="61" xfId="0" applyFont="1" applyFill="1" applyBorder="1" applyAlignment="1">
      <alignment horizontal="center" vertical="center" wrapText="1"/>
    </xf>
    <xf numFmtId="0" fontId="84" fillId="39" borderId="61" xfId="0" applyFont="1" applyFill="1" applyBorder="1" applyAlignment="1">
      <alignment horizontal="center" vertical="center" wrapText="1"/>
    </xf>
    <xf numFmtId="0" fontId="83" fillId="39" borderId="62" xfId="0" applyFont="1" applyFill="1" applyBorder="1" applyAlignment="1">
      <alignment horizontal="center" vertical="center" wrapText="1"/>
    </xf>
    <xf numFmtId="0" fontId="85" fillId="0" borderId="77" xfId="0" applyFont="1" applyBorder="1" applyAlignment="1">
      <alignment horizontal="center" vertical="center" wrapText="1"/>
    </xf>
    <xf numFmtId="0" fontId="85" fillId="0" borderId="76" xfId="0" applyFont="1" applyBorder="1" applyAlignment="1">
      <alignment horizontal="center" vertical="center" wrapText="1"/>
    </xf>
    <xf numFmtId="0" fontId="86" fillId="0" borderId="76" xfId="0" applyFont="1" applyBorder="1" applyAlignment="1">
      <alignment horizontal="center" vertical="center" wrapText="1"/>
    </xf>
    <xf numFmtId="0" fontId="85" fillId="29" borderId="76" xfId="0" applyFont="1" applyFill="1" applyBorder="1" applyAlignment="1">
      <alignment horizontal="center" vertical="center" wrapText="1"/>
    </xf>
    <xf numFmtId="0" fontId="85" fillId="29" borderId="78" xfId="0" applyFont="1" applyFill="1" applyBorder="1" applyAlignment="1">
      <alignment horizontal="center" vertical="center" wrapText="1"/>
    </xf>
    <xf numFmtId="0" fontId="72" fillId="41" borderId="70" xfId="0" applyFont="1" applyFill="1" applyBorder="1" applyAlignment="1">
      <alignment horizontal="center" vertical="center" wrapText="1"/>
    </xf>
    <xf numFmtId="0" fontId="72" fillId="41" borderId="61" xfId="0" applyFont="1" applyFill="1" applyBorder="1" applyAlignment="1">
      <alignment horizontal="center" vertical="center" wrapText="1"/>
    </xf>
    <xf numFmtId="0" fontId="72" fillId="51" borderId="61" xfId="0" applyFont="1" applyFill="1" applyBorder="1" applyAlignment="1">
      <alignment horizontal="center" vertical="center" wrapText="1"/>
    </xf>
    <xf numFmtId="0" fontId="72" fillId="34" borderId="61" xfId="0" applyFont="1" applyFill="1" applyBorder="1" applyAlignment="1">
      <alignment horizontal="center" vertical="center" wrapText="1"/>
    </xf>
    <xf numFmtId="0" fontId="83" fillId="43" borderId="81" xfId="0" applyFont="1" applyFill="1" applyBorder="1" applyAlignment="1">
      <alignment vertical="center" wrapText="1"/>
    </xf>
    <xf numFmtId="0" fontId="72" fillId="52" borderId="79" xfId="0" applyFont="1" applyFill="1" applyBorder="1" applyAlignment="1">
      <alignment horizontal="center" vertical="center" wrapText="1"/>
    </xf>
    <xf numFmtId="0" fontId="72" fillId="52" borderId="37" xfId="0" applyFont="1" applyFill="1" applyBorder="1" applyAlignment="1">
      <alignment horizontal="center" vertical="center" wrapText="1"/>
    </xf>
    <xf numFmtId="0" fontId="72" fillId="42" borderId="76" xfId="0" applyFont="1" applyFill="1" applyBorder="1" applyAlignment="1">
      <alignment horizontal="center" vertical="center" wrapText="1"/>
    </xf>
    <xf numFmtId="0" fontId="83" fillId="44" borderId="73" xfId="0" applyFont="1" applyFill="1" applyBorder="1" applyAlignment="1">
      <alignment vertical="center" wrapText="1"/>
    </xf>
    <xf numFmtId="0" fontId="72" fillId="30" borderId="35" xfId="0" applyFont="1" applyFill="1" applyBorder="1" applyAlignment="1">
      <alignment horizontal="center" vertical="center" wrapText="1"/>
    </xf>
    <xf numFmtId="0" fontId="72" fillId="42" borderId="36" xfId="0" applyFont="1" applyFill="1" applyBorder="1" applyAlignment="1">
      <alignment horizontal="center" vertical="center" wrapText="1"/>
    </xf>
    <xf numFmtId="0" fontId="72" fillId="52" borderId="63" xfId="0" applyFont="1" applyFill="1" applyBorder="1" applyAlignment="1">
      <alignment horizontal="center" vertical="center" wrapText="1"/>
    </xf>
    <xf numFmtId="0" fontId="73" fillId="44" borderId="73" xfId="0" applyFont="1" applyFill="1" applyBorder="1" applyAlignment="1">
      <alignment vertical="center" wrapText="1"/>
    </xf>
    <xf numFmtId="0" fontId="72" fillId="41" borderId="79" xfId="0" applyFont="1" applyFill="1" applyBorder="1" applyAlignment="1">
      <alignment horizontal="center" vertical="center" wrapText="1"/>
    </xf>
    <xf numFmtId="0" fontId="72" fillId="41" borderId="37" xfId="0" applyFont="1" applyFill="1" applyBorder="1" applyAlignment="1">
      <alignment horizontal="center" vertical="center" wrapText="1"/>
    </xf>
    <xf numFmtId="0" fontId="72" fillId="16" borderId="37" xfId="0" applyFont="1" applyFill="1" applyBorder="1" applyAlignment="1">
      <alignment horizontal="center" vertical="center" wrapText="1"/>
    </xf>
    <xf numFmtId="0" fontId="72" fillId="42" borderId="72" xfId="0" applyFont="1" applyFill="1" applyBorder="1" applyAlignment="1">
      <alignment horizontal="center" vertical="center" wrapText="1"/>
    </xf>
    <xf numFmtId="0" fontId="83" fillId="45" borderId="73" xfId="0" applyFont="1" applyFill="1" applyBorder="1" applyAlignment="1">
      <alignment vertical="center" wrapText="1"/>
    </xf>
    <xf numFmtId="0" fontId="73" fillId="51" borderId="37" xfId="0" applyFont="1" applyFill="1" applyBorder="1" applyAlignment="1">
      <alignment horizontal="center" vertical="center" wrapText="1"/>
    </xf>
    <xf numFmtId="0" fontId="83" fillId="46" borderId="73" xfId="0" applyFont="1" applyFill="1" applyBorder="1" applyAlignment="1">
      <alignment vertical="center" wrapText="1"/>
    </xf>
    <xf numFmtId="0" fontId="72" fillId="41" borderId="79" xfId="0" applyFont="1" applyFill="1" applyBorder="1" applyAlignment="1">
      <alignment horizontal="center" wrapText="1"/>
    </xf>
    <xf numFmtId="0" fontId="73" fillId="29" borderId="37" xfId="0" applyFont="1" applyFill="1" applyBorder="1" applyAlignment="1">
      <alignment horizontal="center" vertical="center" wrapText="1"/>
    </xf>
    <xf numFmtId="0" fontId="73" fillId="29" borderId="63" xfId="0" applyFont="1" applyFill="1" applyBorder="1" applyAlignment="1">
      <alignment horizontal="center" vertical="center" wrapText="1"/>
    </xf>
    <xf numFmtId="0" fontId="83" fillId="46" borderId="74" xfId="0" applyFont="1" applyFill="1" applyBorder="1" applyAlignment="1">
      <alignment vertical="center" wrapText="1"/>
    </xf>
    <xf numFmtId="0" fontId="72" fillId="41" borderId="80" xfId="0" applyFont="1" applyFill="1" applyBorder="1" applyAlignment="1">
      <alignment horizontal="center" wrapText="1"/>
    </xf>
    <xf numFmtId="0" fontId="72" fillId="41" borderId="64" xfId="0" applyFont="1" applyFill="1" applyBorder="1" applyAlignment="1">
      <alignment horizontal="center" wrapText="1"/>
    </xf>
    <xf numFmtId="0" fontId="72" fillId="32" borderId="64" xfId="0" applyFont="1" applyFill="1" applyBorder="1" applyAlignment="1">
      <alignment horizontal="center" vertical="center" wrapText="1"/>
    </xf>
    <xf numFmtId="0" fontId="72" fillId="16" borderId="64" xfId="0" applyFont="1" applyFill="1" applyBorder="1" applyAlignment="1">
      <alignment horizontal="center" vertical="center" wrapText="1"/>
    </xf>
    <xf numFmtId="0" fontId="72" fillId="32" borderId="65" xfId="0" applyFont="1" applyFill="1" applyBorder="1" applyAlignment="1">
      <alignment horizontal="center" vertical="center" wrapText="1"/>
    </xf>
    <xf numFmtId="0" fontId="72" fillId="0" borderId="66" xfId="0" applyFont="1" applyBorder="1" applyAlignment="1">
      <alignment wrapText="1"/>
    </xf>
    <xf numFmtId="0" fontId="83" fillId="39" borderId="128" xfId="0" applyFont="1" applyFill="1" applyBorder="1" applyAlignment="1">
      <alignment horizontal="center" vertical="center" wrapText="1"/>
    </xf>
    <xf numFmtId="0" fontId="86" fillId="0" borderId="130" xfId="0" applyFont="1" applyBorder="1" applyAlignment="1">
      <alignment horizontal="center" vertical="center" wrapText="1"/>
    </xf>
    <xf numFmtId="0" fontId="88" fillId="0" borderId="76" xfId="0" applyFont="1" applyBorder="1" applyAlignment="1">
      <alignment horizontal="center" vertical="center" wrapText="1"/>
    </xf>
    <xf numFmtId="0" fontId="88" fillId="29" borderId="76" xfId="0" applyFont="1" applyFill="1" applyBorder="1" applyAlignment="1">
      <alignment horizontal="center" vertical="center" wrapText="1"/>
    </xf>
    <xf numFmtId="0" fontId="88" fillId="29" borderId="78" xfId="0" applyFont="1" applyFill="1" applyBorder="1" applyAlignment="1">
      <alignment horizontal="center" vertical="center" wrapText="1"/>
    </xf>
    <xf numFmtId="0" fontId="73" fillId="33" borderId="62" xfId="0" applyFont="1" applyFill="1" applyBorder="1" applyAlignment="1">
      <alignment horizontal="center" vertical="center" wrapText="1"/>
    </xf>
    <xf numFmtId="0" fontId="83" fillId="43" borderId="73" xfId="0" applyFont="1" applyFill="1" applyBorder="1" applyAlignment="1">
      <alignment vertical="center" wrapText="1"/>
    </xf>
    <xf numFmtId="0" fontId="72" fillId="47" borderId="63" xfId="0" applyFont="1" applyFill="1" applyBorder="1" applyAlignment="1">
      <alignment horizontal="center" vertical="center" wrapText="1"/>
    </xf>
    <xf numFmtId="0" fontId="83" fillId="39" borderId="94" xfId="0" applyFont="1" applyFill="1" applyBorder="1" applyAlignment="1">
      <alignment horizontal="center" vertical="center" wrapText="1"/>
    </xf>
    <xf numFmtId="0" fontId="84" fillId="39" borderId="72" xfId="0" applyFont="1" applyFill="1" applyBorder="1" applyAlignment="1">
      <alignment horizontal="center" vertical="center" wrapText="1"/>
    </xf>
    <xf numFmtId="0" fontId="83" fillId="39" borderId="72" xfId="0" applyFont="1" applyFill="1" applyBorder="1" applyAlignment="1">
      <alignment horizontal="center" vertical="center" wrapText="1"/>
    </xf>
    <xf numFmtId="0" fontId="83" fillId="39" borderId="95" xfId="0" applyFont="1" applyFill="1" applyBorder="1" applyAlignment="1">
      <alignment horizontal="center" vertical="center" wrapText="1"/>
    </xf>
    <xf numFmtId="0" fontId="86" fillId="0" borderId="77" xfId="0" applyFont="1" applyBorder="1" applyAlignment="1">
      <alignment horizontal="center" vertical="center" wrapText="1"/>
    </xf>
    <xf numFmtId="0" fontId="86" fillId="29" borderId="76" xfId="0" applyFont="1" applyFill="1" applyBorder="1" applyAlignment="1">
      <alignment horizontal="center" vertical="center" wrapText="1"/>
    </xf>
    <xf numFmtId="0" fontId="72" fillId="31" borderId="76" xfId="0" applyFont="1" applyFill="1" applyBorder="1" applyAlignment="1">
      <alignment horizontal="center" vertical="center" wrapText="1"/>
    </xf>
    <xf numFmtId="0" fontId="72" fillId="42" borderId="35" xfId="0" applyFont="1" applyFill="1" applyBorder="1" applyAlignment="1">
      <alignment horizontal="center" vertical="center" wrapText="1"/>
    </xf>
    <xf numFmtId="0" fontId="72" fillId="30" borderId="36" xfId="0" applyFont="1" applyFill="1" applyBorder="1" applyAlignment="1">
      <alignment horizontal="center" vertical="center" wrapText="1"/>
    </xf>
    <xf numFmtId="0" fontId="77" fillId="51" borderId="35" xfId="0" applyFont="1" applyFill="1" applyBorder="1" applyAlignment="1">
      <alignment horizontal="center" vertical="center" wrapText="1"/>
    </xf>
    <xf numFmtId="0" fontId="72" fillId="31" borderId="36" xfId="0" applyFont="1" applyFill="1" applyBorder="1" applyAlignment="1">
      <alignment horizontal="center" vertical="center" wrapText="1"/>
    </xf>
    <xf numFmtId="0" fontId="73" fillId="32" borderId="35" xfId="0" applyFont="1" applyFill="1" applyBorder="1" applyAlignment="1">
      <alignment horizontal="center" vertical="center" wrapText="1"/>
    </xf>
    <xf numFmtId="0" fontId="72" fillId="51" borderId="35" xfId="0" applyFont="1" applyFill="1" applyBorder="1" applyAlignment="1">
      <alignment horizontal="center" vertical="center" wrapText="1"/>
    </xf>
    <xf numFmtId="0" fontId="71" fillId="51" borderId="35" xfId="0" applyFont="1" applyFill="1" applyBorder="1" applyAlignment="1">
      <alignment horizontal="center" vertical="center" wrapText="1"/>
    </xf>
    <xf numFmtId="0" fontId="72" fillId="47" borderId="72" xfId="0" applyFont="1" applyFill="1" applyBorder="1" applyAlignment="1">
      <alignment horizontal="center" vertical="center" wrapText="1"/>
    </xf>
    <xf numFmtId="0" fontId="72" fillId="42" borderId="104" xfId="0" applyFont="1" applyFill="1" applyBorder="1" applyAlignment="1">
      <alignment horizontal="center" vertical="center" wrapText="1"/>
    </xf>
    <xf numFmtId="0" fontId="72" fillId="51" borderId="131" xfId="0" applyFont="1" applyFill="1" applyBorder="1" applyAlignment="1">
      <alignment horizontal="center" vertical="center" wrapText="1"/>
    </xf>
    <xf numFmtId="0" fontId="77" fillId="51" borderId="132" xfId="0" applyFont="1" applyFill="1" applyBorder="1" applyAlignment="1">
      <alignment horizontal="center" vertical="center" wrapText="1"/>
    </xf>
    <xf numFmtId="0" fontId="72" fillId="42" borderId="132" xfId="0" applyFont="1" applyFill="1" applyBorder="1" applyAlignment="1">
      <alignment horizontal="center" vertical="center" wrapText="1"/>
    </xf>
    <xf numFmtId="0" fontId="73" fillId="32" borderId="132" xfId="0" applyFont="1" applyFill="1" applyBorder="1" applyAlignment="1">
      <alignment horizontal="center" vertical="center" wrapText="1"/>
    </xf>
    <xf numFmtId="0" fontId="72" fillId="47" borderId="65" xfId="0" applyFont="1" applyFill="1" applyBorder="1" applyAlignment="1">
      <alignment horizontal="center" vertical="center" wrapText="1"/>
    </xf>
    <xf numFmtId="0" fontId="85" fillId="29" borderId="77" xfId="0" applyFont="1" applyFill="1" applyBorder="1" applyAlignment="1">
      <alignment horizontal="center" vertical="center" wrapText="1"/>
    </xf>
    <xf numFmtId="0" fontId="89" fillId="0" borderId="76" xfId="0" applyFont="1" applyBorder="1" applyAlignment="1">
      <alignment horizontal="center" vertical="center" wrapText="1"/>
    </xf>
    <xf numFmtId="0" fontId="72" fillId="31" borderId="70" xfId="0" applyFont="1" applyFill="1" applyBorder="1" applyAlignment="1">
      <alignment horizontal="center" vertical="center" wrapText="1"/>
    </xf>
    <xf numFmtId="0" fontId="72" fillId="31" borderId="79" xfId="0" applyFont="1" applyFill="1" applyBorder="1" applyAlignment="1">
      <alignment horizontal="center" vertical="center" wrapText="1"/>
    </xf>
    <xf numFmtId="0" fontId="72" fillId="30" borderId="79" xfId="0" applyFont="1" applyFill="1" applyBorder="1" applyAlignment="1">
      <alignment horizontal="center" vertical="center" wrapText="1"/>
    </xf>
    <xf numFmtId="0" fontId="72" fillId="41" borderId="37" xfId="0" applyFont="1" applyFill="1" applyBorder="1" applyAlignment="1">
      <alignment horizontal="center" wrapText="1"/>
    </xf>
    <xf numFmtId="0" fontId="73" fillId="33" borderId="63" xfId="0" applyFont="1" applyFill="1" applyBorder="1" applyAlignment="1">
      <alignment horizontal="center" vertical="center" wrapText="1"/>
    </xf>
    <xf numFmtId="0" fontId="90" fillId="51" borderId="37" xfId="0" applyFont="1" applyFill="1" applyBorder="1" applyAlignment="1">
      <alignment horizontal="center" vertical="center" wrapText="1"/>
    </xf>
    <xf numFmtId="0" fontId="72" fillId="29" borderId="79" xfId="0" applyFont="1" applyFill="1" applyBorder="1" applyAlignment="1">
      <alignment horizontal="center" vertical="center" wrapText="1"/>
    </xf>
    <xf numFmtId="0" fontId="72" fillId="47" borderId="80" xfId="0" applyFont="1" applyFill="1" applyBorder="1" applyAlignment="1">
      <alignment horizontal="center" vertical="center" wrapText="1"/>
    </xf>
    <xf numFmtId="0" fontId="72" fillId="42" borderId="62" xfId="0" applyFont="1" applyFill="1" applyBorder="1" applyAlignment="1">
      <alignment horizontal="center" vertical="center" wrapText="1"/>
    </xf>
    <xf numFmtId="0" fontId="72" fillId="42" borderId="63" xfId="0" applyFont="1" applyFill="1" applyBorder="1" applyAlignment="1">
      <alignment horizontal="center" vertical="center" wrapText="1"/>
    </xf>
    <xf numFmtId="0" fontId="72" fillId="30" borderId="76" xfId="0" applyFont="1" applyFill="1" applyBorder="1" applyAlignment="1">
      <alignment horizontal="center" vertical="center" wrapText="1"/>
    </xf>
    <xf numFmtId="0" fontId="72" fillId="47" borderId="36" xfId="0" applyFont="1" applyFill="1" applyBorder="1" applyAlignment="1">
      <alignment horizontal="center" vertical="center" wrapText="1"/>
    </xf>
    <xf numFmtId="0" fontId="72" fillId="29" borderId="76" xfId="0" applyFont="1" applyFill="1" applyBorder="1" applyAlignment="1">
      <alignment horizontal="center" vertical="center" wrapText="1"/>
    </xf>
    <xf numFmtId="0" fontId="72" fillId="47" borderId="76" xfId="0" applyFont="1" applyFill="1" applyBorder="1" applyAlignment="1">
      <alignment horizontal="center" vertical="center" wrapText="1"/>
    </xf>
    <xf numFmtId="0" fontId="90" fillId="51" borderId="76" xfId="0" applyFont="1" applyFill="1" applyBorder="1" applyAlignment="1">
      <alignment horizontal="center" vertical="center" wrapText="1"/>
    </xf>
    <xf numFmtId="0" fontId="80" fillId="10" borderId="37" xfId="0" applyFont="1" applyFill="1" applyBorder="1" applyAlignment="1">
      <alignment horizontal="center" vertical="center"/>
    </xf>
    <xf numFmtId="0" fontId="72" fillId="41" borderId="36" xfId="0" applyFont="1" applyFill="1" applyBorder="1" applyAlignment="1">
      <alignment horizontal="center" wrapText="1"/>
    </xf>
    <xf numFmtId="0" fontId="73" fillId="32" borderId="72" xfId="0" applyFont="1" applyFill="1" applyBorder="1" applyAlignment="1">
      <alignment horizontal="center" vertical="center" wrapText="1"/>
    </xf>
    <xf numFmtId="0" fontId="71" fillId="51" borderId="132" xfId="0" applyFont="1" applyFill="1" applyBorder="1" applyAlignment="1">
      <alignment horizontal="center" vertical="center" wrapText="1"/>
    </xf>
    <xf numFmtId="0" fontId="71" fillId="42" borderId="64" xfId="0" applyFont="1" applyFill="1" applyBorder="1" applyAlignment="1">
      <alignment horizontal="center" vertical="center" wrapText="1"/>
    </xf>
    <xf numFmtId="0" fontId="72" fillId="42" borderId="65" xfId="0" applyFont="1" applyFill="1" applyBorder="1" applyAlignment="1">
      <alignment horizontal="center" vertical="center" wrapText="1"/>
    </xf>
    <xf numFmtId="0" fontId="84" fillId="39" borderId="94" xfId="0" applyFont="1" applyFill="1" applyBorder="1" applyAlignment="1">
      <alignment horizontal="center" vertical="center" wrapText="1"/>
    </xf>
    <xf numFmtId="0" fontId="86" fillId="57" borderId="77" xfId="0" applyFont="1" applyFill="1" applyBorder="1" applyAlignment="1">
      <alignment horizontal="center" vertical="center" wrapText="1"/>
    </xf>
    <xf numFmtId="0" fontId="85" fillId="57" borderId="76" xfId="0" applyFont="1" applyFill="1" applyBorder="1" applyAlignment="1">
      <alignment horizontal="center" vertical="center" wrapText="1"/>
    </xf>
    <xf numFmtId="0" fontId="86" fillId="57" borderId="76" xfId="0" applyFont="1" applyFill="1" applyBorder="1" applyAlignment="1">
      <alignment horizontal="center" vertical="center" wrapText="1"/>
    </xf>
    <xf numFmtId="0" fontId="85" fillId="57" borderId="77" xfId="0" applyFont="1" applyFill="1" applyBorder="1" applyAlignment="1">
      <alignment horizontal="center" vertical="center" wrapText="1"/>
    </xf>
    <xf numFmtId="0" fontId="72" fillId="30" borderId="70" xfId="0" applyFont="1" applyFill="1" applyBorder="1" applyAlignment="1">
      <alignment horizontal="center" vertical="center" wrapText="1"/>
    </xf>
    <xf numFmtId="0" fontId="72" fillId="30" borderId="61" xfId="0" applyFont="1" applyFill="1" applyBorder="1" applyAlignment="1">
      <alignment horizontal="center" vertical="center" wrapText="1"/>
    </xf>
    <xf numFmtId="0" fontId="72" fillId="41" borderId="61" xfId="0" applyFont="1" applyFill="1" applyBorder="1" applyAlignment="1">
      <alignment horizontal="center" wrapText="1"/>
    </xf>
    <xf numFmtId="0" fontId="72" fillId="30" borderId="62" xfId="0" applyFont="1" applyFill="1" applyBorder="1" applyAlignment="1">
      <alignment horizontal="center" vertical="center" wrapText="1"/>
    </xf>
    <xf numFmtId="0" fontId="72" fillId="31" borderId="80" xfId="0" applyFont="1" applyFill="1" applyBorder="1" applyAlignment="1">
      <alignment horizontal="center" vertical="center" wrapText="1"/>
    </xf>
    <xf numFmtId="0" fontId="73" fillId="33" borderId="64" xfId="0" applyFont="1" applyFill="1" applyBorder="1" applyAlignment="1">
      <alignment horizontal="center" vertical="center" wrapText="1"/>
    </xf>
    <xf numFmtId="0" fontId="73" fillId="33" borderId="65" xfId="0" applyFont="1" applyFill="1" applyBorder="1" applyAlignment="1">
      <alignment horizontal="center" vertical="center" wrapText="1"/>
    </xf>
    <xf numFmtId="0" fontId="84" fillId="39" borderId="95" xfId="0" applyFont="1" applyFill="1" applyBorder="1" applyAlignment="1">
      <alignment horizontal="center" vertical="center" wrapText="1"/>
    </xf>
    <xf numFmtId="0" fontId="86" fillId="29" borderId="78" xfId="0" applyFont="1" applyFill="1" applyBorder="1" applyAlignment="1">
      <alignment horizontal="center" vertical="center" wrapText="1"/>
    </xf>
    <xf numFmtId="0" fontId="73" fillId="33" borderId="80" xfId="0" applyFont="1" applyFill="1" applyBorder="1" applyAlignment="1">
      <alignment horizontal="center" vertical="center" wrapText="1"/>
    </xf>
    <xf numFmtId="0" fontId="72" fillId="47" borderId="79" xfId="0" applyFont="1" applyFill="1" applyBorder="1" applyAlignment="1">
      <alignment horizontal="center" vertical="center" wrapText="1"/>
    </xf>
    <xf numFmtId="0" fontId="73" fillId="32" borderId="80" xfId="0" applyFont="1" applyFill="1" applyBorder="1" applyAlignment="1">
      <alignment horizontal="center" vertical="center" wrapText="1"/>
    </xf>
    <xf numFmtId="0" fontId="73" fillId="32" borderId="65" xfId="0" applyFont="1" applyFill="1" applyBorder="1" applyAlignment="1">
      <alignment horizontal="center" vertical="center" wrapText="1"/>
    </xf>
    <xf numFmtId="0" fontId="80" fillId="39" borderId="70" xfId="0" applyFont="1" applyFill="1" applyBorder="1" applyAlignment="1">
      <alignment horizontal="center" vertical="center" wrapText="1"/>
    </xf>
    <xf numFmtId="0" fontId="80" fillId="39" borderId="61" xfId="0" applyFont="1" applyFill="1" applyBorder="1" applyAlignment="1">
      <alignment horizontal="center" vertical="center" wrapText="1"/>
    </xf>
    <xf numFmtId="0" fontId="84" fillId="39" borderId="62" xfId="0" applyFont="1" applyFill="1" applyBorder="1" applyAlignment="1">
      <alignment horizontal="center" vertical="center" wrapText="1"/>
    </xf>
    <xf numFmtId="0" fontId="72" fillId="29" borderId="80" xfId="0" applyFont="1" applyFill="1" applyBorder="1" applyAlignment="1">
      <alignment horizontal="center" vertical="center" wrapText="1"/>
    </xf>
    <xf numFmtId="0" fontId="72" fillId="29" borderId="65" xfId="0" applyFont="1" applyFill="1" applyBorder="1" applyAlignment="1">
      <alignment horizontal="center" vertical="center" wrapText="1"/>
    </xf>
    <xf numFmtId="0" fontId="72" fillId="47" borderId="35" xfId="0" applyFont="1" applyFill="1" applyBorder="1" applyAlignment="1">
      <alignment horizontal="center" vertical="center" wrapText="1"/>
    </xf>
    <xf numFmtId="0" fontId="73" fillId="32" borderId="36" xfId="0" applyFont="1" applyFill="1" applyBorder="1" applyAlignment="1">
      <alignment horizontal="center" vertical="center" wrapText="1"/>
    </xf>
    <xf numFmtId="0" fontId="72" fillId="29" borderId="36" xfId="0" applyFont="1" applyFill="1" applyBorder="1" applyAlignment="1">
      <alignment horizontal="center" vertical="center" wrapText="1"/>
    </xf>
    <xf numFmtId="0" fontId="72" fillId="29" borderId="72" xfId="0" applyFont="1" applyFill="1" applyBorder="1" applyAlignment="1">
      <alignment horizontal="center" vertical="center" wrapText="1"/>
    </xf>
    <xf numFmtId="0" fontId="90" fillId="51" borderId="35" xfId="0" applyFont="1" applyFill="1" applyBorder="1" applyAlignment="1">
      <alignment horizontal="center" vertical="center" wrapText="1"/>
    </xf>
    <xf numFmtId="0" fontId="73" fillId="33" borderId="70" xfId="0" applyFont="1" applyFill="1" applyBorder="1" applyAlignment="1">
      <alignment horizontal="center" vertical="center" wrapText="1"/>
    </xf>
    <xf numFmtId="0" fontId="73" fillId="48" borderId="37" xfId="0" applyFont="1" applyFill="1" applyBorder="1" applyAlignment="1">
      <alignment horizontal="center" vertical="center" wrapText="1"/>
    </xf>
    <xf numFmtId="0" fontId="72" fillId="48" borderId="37" xfId="0" applyFont="1" applyFill="1" applyBorder="1" applyAlignment="1">
      <alignment horizontal="center" vertical="center" wrapText="1"/>
    </xf>
    <xf numFmtId="0" fontId="72" fillId="48" borderId="63" xfId="0" applyFont="1" applyFill="1" applyBorder="1" applyAlignment="1">
      <alignment horizontal="center" vertical="center" wrapText="1"/>
    </xf>
    <xf numFmtId="0" fontId="73" fillId="30" borderId="37" xfId="0" applyFont="1" applyFill="1" applyBorder="1" applyAlignment="1">
      <alignment horizontal="center" vertical="center" wrapText="1"/>
    </xf>
    <xf numFmtId="0" fontId="72" fillId="32" borderId="37" xfId="0" applyFont="1" applyFill="1" applyBorder="1" applyAlignment="1">
      <alignment horizontal="center" vertical="center" wrapText="1"/>
    </xf>
    <xf numFmtId="0" fontId="93" fillId="8" borderId="37" xfId="0" applyFont="1" applyFill="1" applyBorder="1" applyAlignment="1">
      <alignment horizontal="left" vertical="center"/>
    </xf>
    <xf numFmtId="0" fontId="91" fillId="8" borderId="37" xfId="0" applyFont="1" applyFill="1" applyBorder="1" applyAlignment="1">
      <alignment horizontal="center" vertical="center"/>
    </xf>
    <xf numFmtId="3" fontId="91" fillId="8" borderId="37" xfId="0" applyNumberFormat="1" applyFont="1" applyFill="1" applyBorder="1" applyAlignment="1">
      <alignment horizontal="center" vertical="center"/>
    </xf>
    <xf numFmtId="0" fontId="92" fillId="8" borderId="37" xfId="0" applyFont="1" applyFill="1" applyBorder="1" applyAlignment="1">
      <alignment horizontal="center" vertical="center"/>
    </xf>
    <xf numFmtId="0" fontId="71" fillId="51" borderId="79" xfId="0" applyFont="1" applyFill="1" applyBorder="1" applyAlignment="1">
      <alignment horizontal="center" vertical="center" wrapText="1"/>
    </xf>
    <xf numFmtId="0" fontId="71" fillId="51" borderId="68" xfId="0" applyFont="1" applyFill="1" applyBorder="1" applyAlignment="1">
      <alignment horizontal="center" vertical="center" wrapText="1"/>
    </xf>
    <xf numFmtId="0" fontId="73" fillId="48" borderId="79" xfId="0" applyFont="1" applyFill="1" applyBorder="1" applyAlignment="1">
      <alignment horizontal="center" vertical="center" wrapText="1"/>
    </xf>
    <xf numFmtId="0" fontId="86" fillId="29" borderId="77" xfId="0" applyFont="1" applyFill="1" applyBorder="1" applyAlignment="1">
      <alignment horizontal="center" vertical="center" wrapText="1"/>
    </xf>
    <xf numFmtId="0" fontId="73" fillId="31" borderId="37" xfId="0" applyFont="1" applyFill="1" applyBorder="1" applyAlignment="1">
      <alignment horizontal="center" vertical="center" wrapText="1"/>
    </xf>
    <xf numFmtId="0" fontId="72" fillId="29" borderId="70" xfId="0" applyFont="1" applyFill="1" applyBorder="1" applyAlignment="1">
      <alignment horizontal="center" vertical="center" wrapText="1"/>
    </xf>
    <xf numFmtId="0" fontId="78" fillId="30" borderId="94" xfId="0" applyFont="1" applyFill="1" applyBorder="1" applyAlignment="1">
      <alignment horizontal="center" vertical="center" wrapText="1"/>
    </xf>
    <xf numFmtId="0" fontId="72" fillId="21" borderId="79" xfId="0" applyFont="1" applyFill="1" applyBorder="1" applyAlignment="1">
      <alignment horizontal="center" vertical="center" wrapText="1"/>
    </xf>
    <xf numFmtId="0" fontId="72" fillId="33" borderId="79" xfId="0" applyFont="1" applyFill="1" applyBorder="1" applyAlignment="1">
      <alignment horizontal="center" vertical="center" wrapText="1"/>
    </xf>
    <xf numFmtId="0" fontId="77" fillId="34" borderId="79" xfId="0" applyFont="1" applyFill="1" applyBorder="1" applyAlignment="1">
      <alignment horizontal="center" vertical="center"/>
    </xf>
    <xf numFmtId="0" fontId="94" fillId="35" borderId="79" xfId="0" applyFont="1" applyFill="1" applyBorder="1" applyAlignment="1">
      <alignment horizontal="center" vertical="center"/>
    </xf>
    <xf numFmtId="0" fontId="77" fillId="10" borderId="79" xfId="0" applyFont="1" applyFill="1" applyBorder="1" applyAlignment="1">
      <alignment horizontal="center" vertical="center"/>
    </xf>
    <xf numFmtId="0" fontId="84" fillId="39" borderId="70" xfId="0" applyFont="1" applyFill="1" applyBorder="1" applyAlignment="1">
      <alignment horizontal="center" vertical="center" wrapText="1"/>
    </xf>
    <xf numFmtId="0" fontId="72" fillId="41" borderId="70" xfId="0" applyFont="1" applyFill="1" applyBorder="1" applyAlignment="1">
      <alignment horizontal="center" wrapText="1"/>
    </xf>
    <xf numFmtId="0" fontId="85" fillId="8" borderId="76" xfId="0" applyFont="1" applyFill="1" applyBorder="1" applyAlignment="1">
      <alignment horizontal="center" vertical="center" wrapText="1"/>
    </xf>
    <xf numFmtId="0" fontId="86" fillId="8" borderId="76" xfId="0" applyFont="1" applyFill="1" applyBorder="1" applyAlignment="1">
      <alignment horizontal="center" vertical="center" wrapText="1"/>
    </xf>
    <xf numFmtId="0" fontId="80" fillId="39" borderId="62" xfId="0" applyFont="1" applyFill="1" applyBorder="1" applyAlignment="1">
      <alignment horizontal="center" vertical="center" wrapText="1"/>
    </xf>
    <xf numFmtId="0" fontId="47" fillId="33" borderId="37" xfId="0" applyFont="1" applyFill="1" applyBorder="1" applyAlignment="1">
      <alignment horizontal="center" vertical="center" wrapText="1"/>
    </xf>
    <xf numFmtId="0" fontId="47" fillId="33" borderId="63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0" fontId="96" fillId="58" borderId="0" xfId="0" applyFont="1" applyFill="1"/>
    <xf numFmtId="0" fontId="34" fillId="59" borderId="42" xfId="0" applyFont="1" applyFill="1" applyBorder="1"/>
    <xf numFmtId="0" fontId="34" fillId="60" borderId="42" xfId="0" applyFont="1" applyFill="1" applyBorder="1"/>
    <xf numFmtId="0" fontId="97" fillId="59" borderId="42" xfId="0" applyFont="1" applyFill="1" applyBorder="1"/>
    <xf numFmtId="0" fontId="34" fillId="0" borderId="51" xfId="0" applyFont="1" applyBorder="1"/>
    <xf numFmtId="0" fontId="34" fillId="0" borderId="148" xfId="0" applyFont="1" applyBorder="1"/>
    <xf numFmtId="0" fontId="97" fillId="60" borderId="42" xfId="0" applyFont="1" applyFill="1" applyBorder="1"/>
    <xf numFmtId="0" fontId="97" fillId="0" borderId="148" xfId="0" applyFont="1" applyBorder="1"/>
    <xf numFmtId="0" fontId="34" fillId="61" borderId="42" xfId="0" applyFont="1" applyFill="1" applyBorder="1"/>
    <xf numFmtId="0" fontId="34" fillId="0" borderId="37" xfId="0" applyFont="1" applyBorder="1"/>
    <xf numFmtId="0" fontId="34" fillId="0" borderId="37" xfId="0" applyFont="1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98" fillId="6" borderId="0" xfId="0" applyFont="1" applyFill="1" applyProtection="1">
      <protection locked="0"/>
    </xf>
    <xf numFmtId="0" fontId="98" fillId="6" borderId="0" xfId="0" applyFont="1" applyFill="1" applyAlignment="1">
      <alignment horizontal="center"/>
    </xf>
    <xf numFmtId="0" fontId="98" fillId="6" borderId="25" xfId="0" applyFont="1" applyFill="1" applyBorder="1" applyAlignment="1">
      <alignment horizontal="center"/>
    </xf>
    <xf numFmtId="0" fontId="34" fillId="0" borderId="0" xfId="0" applyFont="1"/>
    <xf numFmtId="0" fontId="0" fillId="0" borderId="0" xfId="0" applyAlignment="1" applyProtection="1">
      <alignment horizontal="center"/>
      <protection locked="0"/>
    </xf>
    <xf numFmtId="0" fontId="34" fillId="0" borderId="0" xfId="0" applyFont="1" applyAlignment="1" applyProtection="1">
      <alignment horizontal="center"/>
      <protection locked="0"/>
    </xf>
    <xf numFmtId="0" fontId="34" fillId="0" borderId="149" xfId="0" applyFont="1" applyBorder="1"/>
    <xf numFmtId="0" fontId="34" fillId="0" borderId="145" xfId="0" applyFont="1" applyBorder="1"/>
    <xf numFmtId="0" fontId="34" fillId="59" borderId="50" xfId="0" applyFont="1" applyFill="1" applyBorder="1"/>
    <xf numFmtId="0" fontId="96" fillId="58" borderId="0" xfId="0" applyFont="1" applyFill="1" applyAlignment="1">
      <alignment horizontal="center"/>
    </xf>
    <xf numFmtId="0" fontId="100" fillId="0" borderId="0" xfId="0" applyFont="1" applyAlignment="1">
      <alignment wrapText="1"/>
    </xf>
    <xf numFmtId="0" fontId="78" fillId="0" borderId="0" xfId="0" applyFont="1"/>
    <xf numFmtId="0" fontId="78" fillId="0" borderId="0" xfId="0" applyFont="1" applyAlignment="1">
      <alignment horizontal="center" vertical="center"/>
    </xf>
    <xf numFmtId="0" fontId="73" fillId="32" borderId="76" xfId="0" applyFont="1" applyFill="1" applyBorder="1" applyAlignment="1">
      <alignment horizontal="center" vertical="center" wrapText="1"/>
    </xf>
    <xf numFmtId="0" fontId="78" fillId="62" borderId="37" xfId="0" applyFont="1" applyFill="1" applyBorder="1" applyAlignment="1">
      <alignment horizontal="center" vertical="center"/>
    </xf>
    <xf numFmtId="0" fontId="78" fillId="62" borderId="72" xfId="0" applyFont="1" applyFill="1" applyBorder="1" applyAlignment="1">
      <alignment horizontal="center" vertical="center"/>
    </xf>
    <xf numFmtId="0" fontId="101" fillId="36" borderId="150" xfId="0" applyFont="1" applyFill="1" applyBorder="1" applyAlignment="1">
      <alignment horizontal="center" vertical="center" wrapText="1"/>
    </xf>
    <xf numFmtId="0" fontId="101" fillId="36" borderId="152" xfId="0" applyFont="1" applyFill="1" applyBorder="1" applyAlignment="1">
      <alignment horizontal="center" vertical="center" wrapText="1"/>
    </xf>
    <xf numFmtId="0" fontId="77" fillId="8" borderId="0" xfId="0" applyFont="1" applyFill="1"/>
    <xf numFmtId="0" fontId="63" fillId="7" borderId="37" xfId="0" applyFont="1" applyFill="1" applyBorder="1" applyAlignment="1">
      <alignment horizontal="center" vertical="center"/>
    </xf>
    <xf numFmtId="49" fontId="63" fillId="25" borderId="76" xfId="0" applyNumberFormat="1" applyFont="1" applyFill="1" applyBorder="1" applyAlignment="1">
      <alignment vertical="center" wrapText="1"/>
    </xf>
    <xf numFmtId="0" fontId="63" fillId="8" borderId="96" xfId="0" applyFont="1" applyFill="1" applyBorder="1" applyAlignment="1">
      <alignment horizontal="center" vertical="center"/>
    </xf>
    <xf numFmtId="0" fontId="63" fillId="8" borderId="36" xfId="0" applyFont="1" applyFill="1" applyBorder="1" applyAlignment="1">
      <alignment horizontal="center" vertical="center"/>
    </xf>
    <xf numFmtId="0" fontId="63" fillId="8" borderId="147" xfId="0" applyFont="1" applyFill="1" applyBorder="1" applyAlignment="1">
      <alignment horizontal="center" vertical="center"/>
    </xf>
    <xf numFmtId="0" fontId="63" fillId="8" borderId="130" xfId="0" applyFont="1" applyFill="1" applyBorder="1" applyAlignment="1">
      <alignment horizontal="center" vertical="center"/>
    </xf>
    <xf numFmtId="0" fontId="66" fillId="0" borderId="35" xfId="0" applyFont="1" applyBorder="1" applyAlignment="1">
      <alignment horizontal="center"/>
    </xf>
    <xf numFmtId="0" fontId="85" fillId="64" borderId="76" xfId="0" applyFont="1" applyFill="1" applyBorder="1" applyAlignment="1">
      <alignment horizontal="center" vertical="center" wrapText="1"/>
    </xf>
    <xf numFmtId="0" fontId="86" fillId="64" borderId="76" xfId="0" applyFont="1" applyFill="1" applyBorder="1" applyAlignment="1">
      <alignment horizontal="center" vertical="center" wrapText="1"/>
    </xf>
    <xf numFmtId="0" fontId="88" fillId="57" borderId="76" xfId="0" applyFont="1" applyFill="1" applyBorder="1" applyAlignment="1">
      <alignment horizontal="center" vertical="center" wrapText="1"/>
    </xf>
    <xf numFmtId="0" fontId="72" fillId="31" borderId="132" xfId="0" applyFont="1" applyFill="1" applyBorder="1" applyAlignment="1">
      <alignment horizontal="center" vertical="center" wrapText="1"/>
    </xf>
    <xf numFmtId="0" fontId="71" fillId="29" borderId="37" xfId="0" applyFont="1" applyFill="1" applyBorder="1" applyAlignment="1">
      <alignment horizontal="center" vertical="center" wrapText="1"/>
    </xf>
    <xf numFmtId="0" fontId="71" fillId="31" borderId="37" xfId="0" applyFont="1" applyFill="1" applyBorder="1" applyAlignment="1">
      <alignment horizontal="center" vertical="center" wrapText="1"/>
    </xf>
    <xf numFmtId="0" fontId="102" fillId="32" borderId="37" xfId="0" applyFont="1" applyFill="1" applyBorder="1" applyAlignment="1">
      <alignment horizontal="center" vertical="center" wrapText="1"/>
    </xf>
    <xf numFmtId="0" fontId="80" fillId="0" borderId="16" xfId="0" applyFont="1" applyBorder="1" applyAlignment="1">
      <alignment horizontal="center"/>
    </xf>
    <xf numFmtId="0" fontId="88" fillId="65" borderId="76" xfId="0" applyFont="1" applyFill="1" applyBorder="1" applyAlignment="1">
      <alignment horizontal="center" vertical="center" wrapText="1"/>
    </xf>
    <xf numFmtId="0" fontId="86" fillId="65" borderId="76" xfId="0" applyFont="1" applyFill="1" applyBorder="1" applyAlignment="1">
      <alignment horizontal="center" vertical="center" wrapText="1"/>
    </xf>
    <xf numFmtId="0" fontId="71" fillId="29" borderId="64" xfId="0" applyFont="1" applyFill="1" applyBorder="1" applyAlignment="1">
      <alignment horizontal="center" vertical="center" wrapText="1"/>
    </xf>
    <xf numFmtId="0" fontId="63" fillId="66" borderId="37" xfId="0" applyFont="1" applyFill="1" applyBorder="1" applyAlignment="1">
      <alignment horizontal="center" vertical="center"/>
    </xf>
    <xf numFmtId="0" fontId="94" fillId="35" borderId="37" xfId="0" applyFont="1" applyFill="1" applyBorder="1" applyAlignment="1">
      <alignment horizontal="center" vertical="center"/>
    </xf>
    <xf numFmtId="0" fontId="72" fillId="67" borderId="61" xfId="0" applyFont="1" applyFill="1" applyBorder="1" applyAlignment="1">
      <alignment horizontal="center" vertical="center" wrapText="1"/>
    </xf>
    <xf numFmtId="0" fontId="72" fillId="67" borderId="62" xfId="0" applyFont="1" applyFill="1" applyBorder="1" applyAlignment="1">
      <alignment horizontal="center" vertical="center" wrapText="1"/>
    </xf>
    <xf numFmtId="17" fontId="0" fillId="0" borderId="0" xfId="0" applyNumberFormat="1"/>
    <xf numFmtId="0" fontId="72" fillId="47" borderId="61" xfId="0" applyFont="1" applyFill="1" applyBorder="1" applyAlignment="1">
      <alignment horizontal="center" vertical="center" wrapText="1"/>
    </xf>
    <xf numFmtId="0" fontId="72" fillId="30" borderId="80" xfId="0" applyFont="1" applyFill="1" applyBorder="1" applyAlignment="1">
      <alignment horizontal="center" vertical="center" wrapText="1"/>
    </xf>
    <xf numFmtId="0" fontId="72" fillId="30" borderId="64" xfId="0" applyFont="1" applyFill="1" applyBorder="1" applyAlignment="1">
      <alignment horizontal="center" vertical="center" wrapText="1"/>
    </xf>
    <xf numFmtId="0" fontId="77" fillId="10" borderId="37" xfId="0" applyFont="1" applyFill="1" applyBorder="1" applyAlignment="1">
      <alignment horizontal="center" vertical="center"/>
    </xf>
    <xf numFmtId="0" fontId="77" fillId="0" borderId="0" xfId="0" applyFont="1" applyAlignment="1">
      <alignment horizontal="center"/>
    </xf>
    <xf numFmtId="0" fontId="83" fillId="44" borderId="127" xfId="0" applyFont="1" applyFill="1" applyBorder="1" applyAlignment="1">
      <alignment vertical="center" wrapText="1"/>
    </xf>
    <xf numFmtId="0" fontId="83" fillId="43" borderId="153" xfId="0" applyFont="1" applyFill="1" applyBorder="1" applyAlignment="1">
      <alignment vertical="center" wrapText="1"/>
    </xf>
    <xf numFmtId="0" fontId="83" fillId="44" borderId="153" xfId="0" applyFont="1" applyFill="1" applyBorder="1" applyAlignment="1">
      <alignment vertical="center" wrapText="1"/>
    </xf>
    <xf numFmtId="0" fontId="73" fillId="44" borderId="153" xfId="0" applyFont="1" applyFill="1" applyBorder="1" applyAlignment="1">
      <alignment vertical="center" wrapText="1"/>
    </xf>
    <xf numFmtId="0" fontId="83" fillId="45" borderId="153" xfId="0" applyFont="1" applyFill="1" applyBorder="1" applyAlignment="1">
      <alignment vertical="center" wrapText="1"/>
    </xf>
    <xf numFmtId="0" fontId="83" fillId="46" borderId="153" xfId="0" applyFont="1" applyFill="1" applyBorder="1" applyAlignment="1">
      <alignment vertical="center" wrapText="1"/>
    </xf>
    <xf numFmtId="0" fontId="83" fillId="46" borderId="129" xfId="0" applyFont="1" applyFill="1" applyBorder="1" applyAlignment="1">
      <alignment vertical="center" wrapText="1"/>
    </xf>
    <xf numFmtId="0" fontId="72" fillId="29" borderId="35" xfId="0" applyFont="1" applyFill="1" applyBorder="1" applyAlignment="1">
      <alignment horizontal="center" vertical="center" wrapText="1"/>
    </xf>
    <xf numFmtId="0" fontId="72" fillId="31" borderId="72" xfId="0" applyFont="1" applyFill="1" applyBorder="1" applyAlignment="1">
      <alignment horizontal="center" vertical="center" wrapText="1"/>
    </xf>
    <xf numFmtId="0" fontId="94" fillId="35" borderId="63" xfId="0" applyFont="1" applyFill="1" applyBorder="1" applyAlignment="1">
      <alignment horizontal="center" vertical="center"/>
    </xf>
    <xf numFmtId="0" fontId="100" fillId="0" borderId="37" xfId="0" applyFont="1" applyBorder="1" applyAlignment="1">
      <alignment horizontal="center" vertical="center" wrapText="1"/>
    </xf>
    <xf numFmtId="0" fontId="100" fillId="0" borderId="61" xfId="0" applyFont="1" applyBorder="1" applyAlignment="1">
      <alignment horizontal="center" vertical="center" wrapText="1"/>
    </xf>
    <xf numFmtId="0" fontId="77" fillId="0" borderId="64" xfId="0" applyFont="1" applyBorder="1" applyAlignment="1">
      <alignment horizontal="center" vertical="center"/>
    </xf>
    <xf numFmtId="0" fontId="77" fillId="0" borderId="65" xfId="0" applyFont="1" applyBorder="1" applyAlignment="1">
      <alignment horizontal="center" vertical="center"/>
    </xf>
    <xf numFmtId="0" fontId="78" fillId="0" borderId="37" xfId="0" applyFont="1" applyBorder="1" applyAlignment="1">
      <alignment horizontal="center" vertical="center"/>
    </xf>
    <xf numFmtId="0" fontId="78" fillId="0" borderId="63" xfId="0" applyFont="1" applyBorder="1" applyAlignment="1">
      <alignment horizontal="center" vertical="center"/>
    </xf>
    <xf numFmtId="0" fontId="78" fillId="0" borderId="35" xfId="0" applyFont="1" applyBorder="1" applyAlignment="1">
      <alignment horizontal="center" vertical="center"/>
    </xf>
    <xf numFmtId="0" fontId="78" fillId="0" borderId="96" xfId="0" applyFont="1" applyBorder="1" applyAlignment="1">
      <alignment horizontal="center" vertical="center"/>
    </xf>
    <xf numFmtId="0" fontId="78" fillId="0" borderId="97" xfId="0" applyFont="1" applyBorder="1" applyAlignment="1">
      <alignment horizontal="center" vertical="center"/>
    </xf>
    <xf numFmtId="0" fontId="77" fillId="0" borderId="37" xfId="0" applyFont="1" applyBorder="1" applyAlignment="1">
      <alignment horizontal="center" vertical="center"/>
    </xf>
    <xf numFmtId="0" fontId="77" fillId="0" borderId="63" xfId="0" applyFont="1" applyBorder="1" applyAlignment="1">
      <alignment horizontal="center" vertical="center"/>
    </xf>
    <xf numFmtId="0" fontId="78" fillId="0" borderId="61" xfId="0" applyFont="1" applyBorder="1" applyAlignment="1">
      <alignment horizontal="center" vertical="center"/>
    </xf>
    <xf numFmtId="0" fontId="78" fillId="0" borderId="62" xfId="0" applyFont="1" applyBorder="1" applyAlignment="1">
      <alignment horizontal="center" vertical="center"/>
    </xf>
    <xf numFmtId="0" fontId="78" fillId="18" borderId="72" xfId="0" applyFont="1" applyFill="1" applyBorder="1" applyAlignment="1">
      <alignment horizontal="center" vertical="center" wrapText="1"/>
    </xf>
    <xf numFmtId="0" fontId="78" fillId="18" borderId="95" xfId="0" applyFont="1" applyFill="1" applyBorder="1" applyAlignment="1">
      <alignment horizontal="center" vertical="center" wrapText="1"/>
    </xf>
    <xf numFmtId="0" fontId="78" fillId="18" borderId="37" xfId="0" applyFont="1" applyFill="1" applyBorder="1" applyAlignment="1">
      <alignment horizontal="center" vertical="center" wrapText="1"/>
    </xf>
    <xf numFmtId="0" fontId="78" fillId="18" borderId="63" xfId="0" applyFont="1" applyFill="1" applyBorder="1" applyAlignment="1">
      <alignment horizontal="center" vertical="center" wrapText="1"/>
    </xf>
    <xf numFmtId="0" fontId="77" fillId="18" borderId="37" xfId="0" applyFont="1" applyFill="1" applyBorder="1" applyAlignment="1">
      <alignment horizontal="center" vertical="center" wrapText="1"/>
    </xf>
    <xf numFmtId="0" fontId="73" fillId="38" borderId="71" xfId="0" applyFont="1" applyFill="1" applyBorder="1" applyAlignment="1">
      <alignment horizontal="center" vertical="center" wrapText="1"/>
    </xf>
    <xf numFmtId="0" fontId="73" fillId="38" borderId="93" xfId="0" applyFont="1" applyFill="1" applyBorder="1" applyAlignment="1">
      <alignment horizontal="center" vertical="center" wrapText="1"/>
    </xf>
    <xf numFmtId="0" fontId="83" fillId="37" borderId="82" xfId="0" applyFont="1" applyFill="1" applyBorder="1" applyAlignment="1">
      <alignment horizontal="center" vertical="center" wrapText="1"/>
    </xf>
    <xf numFmtId="0" fontId="83" fillId="37" borderId="83" xfId="0" applyFont="1" applyFill="1" applyBorder="1" applyAlignment="1">
      <alignment horizontal="center" vertical="center" wrapText="1"/>
    </xf>
    <xf numFmtId="0" fontId="83" fillId="37" borderId="84" xfId="0" applyFont="1" applyFill="1" applyBorder="1" applyAlignment="1">
      <alignment horizontal="center" vertical="center" wrapText="1"/>
    </xf>
    <xf numFmtId="0" fontId="82" fillId="36" borderId="58" xfId="0" applyFont="1" applyFill="1" applyBorder="1" applyAlignment="1">
      <alignment horizontal="center"/>
    </xf>
    <xf numFmtId="0" fontId="82" fillId="36" borderId="59" xfId="0" applyFont="1" applyFill="1" applyBorder="1" applyAlignment="1">
      <alignment horizontal="center"/>
    </xf>
    <xf numFmtId="0" fontId="82" fillId="36" borderId="60" xfId="0" applyFont="1" applyFill="1" applyBorder="1" applyAlignment="1">
      <alignment horizontal="center"/>
    </xf>
    <xf numFmtId="0" fontId="83" fillId="37" borderId="29" xfId="0" applyFont="1" applyFill="1" applyBorder="1" applyAlignment="1">
      <alignment horizontal="center" vertical="center" wrapText="1"/>
    </xf>
    <xf numFmtId="0" fontId="83" fillId="37" borderId="22" xfId="0" applyFont="1" applyFill="1" applyBorder="1" applyAlignment="1">
      <alignment horizontal="center" vertical="center" wrapText="1"/>
    </xf>
    <xf numFmtId="0" fontId="83" fillId="37" borderId="75" xfId="0" applyFont="1" applyFill="1" applyBorder="1" applyAlignment="1">
      <alignment horizontal="center" vertical="center" wrapText="1"/>
    </xf>
    <xf numFmtId="0" fontId="73" fillId="38" borderId="71" xfId="0" applyFont="1" applyFill="1" applyBorder="1" applyAlignment="1">
      <alignment vertical="center" wrapText="1"/>
    </xf>
    <xf numFmtId="0" fontId="73" fillId="38" borderId="74" xfId="0" applyFont="1" applyFill="1" applyBorder="1" applyAlignment="1">
      <alignment vertical="center" wrapText="1"/>
    </xf>
    <xf numFmtId="0" fontId="83" fillId="37" borderId="82" xfId="0" applyFont="1" applyFill="1" applyBorder="1" applyAlignment="1">
      <alignment horizontal="center" vertical="center"/>
    </xf>
    <xf numFmtId="0" fontId="83" fillId="37" borderId="83" xfId="0" applyFont="1" applyFill="1" applyBorder="1" applyAlignment="1">
      <alignment horizontal="center" vertical="center"/>
    </xf>
    <xf numFmtId="0" fontId="83" fillId="37" borderId="84" xfId="0" applyFont="1" applyFill="1" applyBorder="1" applyAlignment="1">
      <alignment horizontal="center" vertical="center"/>
    </xf>
    <xf numFmtId="0" fontId="73" fillId="38" borderId="82" xfId="0" applyFont="1" applyFill="1" applyBorder="1" applyAlignment="1">
      <alignment wrapText="1"/>
    </xf>
    <xf numFmtId="0" fontId="73" fillId="38" borderId="15" xfId="0" applyFont="1" applyFill="1" applyBorder="1" applyAlignment="1">
      <alignment wrapText="1"/>
    </xf>
    <xf numFmtId="0" fontId="95" fillId="65" borderId="125" xfId="0" applyFont="1" applyFill="1" applyBorder="1" applyAlignment="1">
      <alignment horizontal="center" vertical="center"/>
    </xf>
    <xf numFmtId="0" fontId="95" fillId="65" borderId="16" xfId="0" applyFont="1" applyFill="1" applyBorder="1" applyAlignment="1">
      <alignment horizontal="center" vertical="center"/>
    </xf>
    <xf numFmtId="0" fontId="95" fillId="65" borderId="126" xfId="0" applyFont="1" applyFill="1" applyBorder="1" applyAlignment="1">
      <alignment horizontal="center" vertical="center"/>
    </xf>
    <xf numFmtId="0" fontId="73" fillId="38" borderId="74" xfId="0" applyFont="1" applyFill="1" applyBorder="1" applyAlignment="1">
      <alignment horizontal="center" vertical="center" wrapText="1"/>
    </xf>
    <xf numFmtId="0" fontId="73" fillId="38" borderId="71" xfId="0" applyFont="1" applyFill="1" applyBorder="1" applyAlignment="1">
      <alignment wrapText="1"/>
    </xf>
    <xf numFmtId="0" fontId="73" fillId="38" borderId="74" xfId="0" applyFont="1" applyFill="1" applyBorder="1" applyAlignment="1">
      <alignment wrapText="1"/>
    </xf>
    <xf numFmtId="0" fontId="10" fillId="5" borderId="6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61" fillId="5" borderId="37" xfId="0" applyFont="1" applyFill="1" applyBorder="1" applyAlignment="1">
      <alignment horizontal="center" vertical="center"/>
    </xf>
    <xf numFmtId="0" fontId="66" fillId="8" borderId="35" xfId="0" applyFont="1" applyFill="1" applyBorder="1" applyAlignment="1">
      <alignment horizontal="center"/>
    </xf>
    <xf numFmtId="0" fontId="66" fillId="8" borderId="96" xfId="0" applyFont="1" applyFill="1" applyBorder="1" applyAlignment="1">
      <alignment horizontal="center"/>
    </xf>
    <xf numFmtId="0" fontId="66" fillId="8" borderId="36" xfId="0" applyFont="1" applyFill="1" applyBorder="1" applyAlignment="1">
      <alignment horizontal="center"/>
    </xf>
    <xf numFmtId="0" fontId="66" fillId="0" borderId="37" xfId="0" applyFont="1" applyBorder="1" applyAlignment="1">
      <alignment horizontal="center"/>
    </xf>
    <xf numFmtId="0" fontId="66" fillId="0" borderId="35" xfId="0" applyFont="1" applyBorder="1" applyAlignment="1">
      <alignment horizontal="center"/>
    </xf>
    <xf numFmtId="0" fontId="66" fillId="0" borderId="96" xfId="0" applyFont="1" applyBorder="1" applyAlignment="1">
      <alignment horizontal="center"/>
    </xf>
    <xf numFmtId="0" fontId="66" fillId="0" borderId="36" xfId="0" applyFont="1" applyBorder="1" applyAlignment="1">
      <alignment horizontal="center"/>
    </xf>
    <xf numFmtId="0" fontId="62" fillId="0" borderId="76" xfId="0" applyFont="1" applyBorder="1" applyAlignment="1">
      <alignment horizontal="center"/>
    </xf>
    <xf numFmtId="0" fontId="62" fillId="0" borderId="131" xfId="0" applyFont="1" applyBorder="1" applyAlignment="1">
      <alignment horizontal="center"/>
    </xf>
    <xf numFmtId="0" fontId="62" fillId="0" borderId="72" xfId="0" applyFont="1" applyBorder="1" applyAlignment="1">
      <alignment horizontal="center"/>
    </xf>
    <xf numFmtId="0" fontId="99" fillId="0" borderId="37" xfId="0" applyFont="1" applyBorder="1" applyAlignment="1">
      <alignment horizontal="center"/>
    </xf>
    <xf numFmtId="0" fontId="41" fillId="8" borderId="42" xfId="0" applyFont="1" applyFill="1" applyBorder="1" applyAlignment="1">
      <alignment horizontal="left"/>
    </xf>
    <xf numFmtId="0" fontId="32" fillId="6" borderId="55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75" fillId="5" borderId="37" xfId="0" applyFont="1" applyFill="1" applyBorder="1" applyAlignment="1">
      <alignment horizontal="center" vertical="center"/>
    </xf>
    <xf numFmtId="0" fontId="56" fillId="0" borderId="58" xfId="0" applyFont="1" applyBorder="1" applyAlignment="1">
      <alignment horizontal="center" vertical="center"/>
    </xf>
    <xf numFmtId="0" fontId="56" fillId="0" borderId="60" xfId="0" applyFont="1" applyBorder="1" applyAlignment="1">
      <alignment horizontal="center" vertical="center"/>
    </xf>
    <xf numFmtId="0" fontId="83" fillId="37" borderId="58" xfId="0" applyFont="1" applyFill="1" applyBorder="1" applyAlignment="1">
      <alignment horizontal="center" vertical="center" wrapText="1"/>
    </xf>
    <xf numFmtId="0" fontId="83" fillId="37" borderId="59" xfId="0" applyFont="1" applyFill="1" applyBorder="1" applyAlignment="1">
      <alignment horizontal="center" vertical="center" wrapText="1"/>
    </xf>
    <xf numFmtId="0" fontId="83" fillId="37" borderId="60" xfId="0" applyFont="1" applyFill="1" applyBorder="1" applyAlignment="1">
      <alignment horizontal="center" vertical="center" wrapText="1"/>
    </xf>
    <xf numFmtId="0" fontId="73" fillId="38" borderId="127" xfId="0" applyFont="1" applyFill="1" applyBorder="1" applyAlignment="1">
      <alignment wrapText="1"/>
    </xf>
    <xf numFmtId="0" fontId="73" fillId="38" borderId="129" xfId="0" applyFont="1" applyFill="1" applyBorder="1" applyAlignment="1">
      <alignment wrapText="1"/>
    </xf>
    <xf numFmtId="0" fontId="87" fillId="34" borderId="125" xfId="0" applyFont="1" applyFill="1" applyBorder="1" applyAlignment="1">
      <alignment horizontal="center" vertical="center" wrapText="1"/>
    </xf>
    <xf numFmtId="0" fontId="87" fillId="34" borderId="16" xfId="0" applyFont="1" applyFill="1" applyBorder="1" applyAlignment="1">
      <alignment horizontal="center" vertical="center" wrapText="1"/>
    </xf>
    <xf numFmtId="0" fontId="87" fillId="34" borderId="126" xfId="0" applyFont="1" applyFill="1" applyBorder="1" applyAlignment="1">
      <alignment horizontal="center" vertical="center" wrapText="1"/>
    </xf>
    <xf numFmtId="0" fontId="87" fillId="34" borderId="125" xfId="0" applyFont="1" applyFill="1" applyBorder="1" applyAlignment="1">
      <alignment horizontal="center" vertical="center"/>
    </xf>
    <xf numFmtId="0" fontId="87" fillId="34" borderId="16" xfId="0" applyFont="1" applyFill="1" applyBorder="1" applyAlignment="1">
      <alignment horizontal="center" vertical="center"/>
    </xf>
    <xf numFmtId="0" fontId="87" fillId="34" borderId="126" xfId="0" applyFont="1" applyFill="1" applyBorder="1" applyAlignment="1">
      <alignment horizontal="center" vertical="center"/>
    </xf>
    <xf numFmtId="0" fontId="78" fillId="34" borderId="131" xfId="0" applyFont="1" applyFill="1" applyBorder="1" applyAlignment="1">
      <alignment horizontal="center" vertical="center"/>
    </xf>
    <xf numFmtId="0" fontId="78" fillId="34" borderId="72" xfId="0" applyFont="1" applyFill="1" applyBorder="1" applyAlignment="1">
      <alignment horizontal="center" vertical="center"/>
    </xf>
    <xf numFmtId="0" fontId="78" fillId="34" borderId="37" xfId="0" applyFont="1" applyFill="1" applyBorder="1" applyAlignment="1">
      <alignment horizontal="center" vertical="center"/>
    </xf>
    <xf numFmtId="0" fontId="87" fillId="63" borderId="67" xfId="0" applyFont="1" applyFill="1" applyBorder="1" applyAlignment="1">
      <alignment horizontal="center" vertical="center"/>
    </xf>
    <xf numFmtId="0" fontId="87" fillId="63" borderId="68" xfId="0" applyFont="1" applyFill="1" applyBorder="1" applyAlignment="1">
      <alignment horizontal="center" vertical="center"/>
    </xf>
    <xf numFmtId="0" fontId="87" fillId="63" borderId="151" xfId="0" applyFont="1" applyFill="1" applyBorder="1" applyAlignment="1">
      <alignment horizontal="center" vertical="center"/>
    </xf>
    <xf numFmtId="0" fontId="87" fillId="63" borderId="69" xfId="0" applyFont="1" applyFill="1" applyBorder="1" applyAlignment="1">
      <alignment horizontal="center" vertical="center"/>
    </xf>
    <xf numFmtId="0" fontId="87" fillId="63" borderId="58" xfId="0" applyFont="1" applyFill="1" applyBorder="1" applyAlignment="1">
      <alignment horizontal="center" vertical="center"/>
    </xf>
    <xf numFmtId="0" fontId="87" fillId="63" borderId="59" xfId="0" applyFont="1" applyFill="1" applyBorder="1" applyAlignment="1">
      <alignment horizontal="center" vertical="center"/>
    </xf>
    <xf numFmtId="0" fontId="87" fillId="63" borderId="60" xfId="0" applyFont="1" applyFill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63" xfId="0" applyFont="1" applyBorder="1" applyAlignment="1">
      <alignment horizontal="center" vertical="center"/>
    </xf>
    <xf numFmtId="0" fontId="45" fillId="0" borderId="61" xfId="0" applyFont="1" applyBorder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67" fillId="18" borderId="37" xfId="0" applyFont="1" applyFill="1" applyBorder="1" applyAlignment="1">
      <alignment horizontal="center" vertical="center" wrapText="1"/>
    </xf>
    <xf numFmtId="0" fontId="67" fillId="18" borderId="63" xfId="0" applyFont="1" applyFill="1" applyBorder="1" applyAlignment="1">
      <alignment horizontal="center" vertical="center" wrapText="1"/>
    </xf>
    <xf numFmtId="0" fontId="68" fillId="18" borderId="37" xfId="0" applyFont="1" applyFill="1" applyBorder="1" applyAlignment="1">
      <alignment horizontal="center" vertical="center" wrapText="1"/>
    </xf>
    <xf numFmtId="0" fontId="49" fillId="37" borderId="58" xfId="0" applyFont="1" applyFill="1" applyBorder="1" applyAlignment="1">
      <alignment horizontal="center" wrapText="1"/>
    </xf>
    <xf numFmtId="0" fontId="49" fillId="37" borderId="59" xfId="0" applyFont="1" applyFill="1" applyBorder="1" applyAlignment="1">
      <alignment horizontal="center" wrapText="1"/>
    </xf>
    <xf numFmtId="0" fontId="49" fillId="37" borderId="60" xfId="0" applyFont="1" applyFill="1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48" fillId="36" borderId="58" xfId="0" applyFont="1" applyFill="1" applyBorder="1" applyAlignment="1">
      <alignment horizontal="center"/>
    </xf>
    <xf numFmtId="0" fontId="48" fillId="36" borderId="59" xfId="0" applyFont="1" applyFill="1" applyBorder="1" applyAlignment="1">
      <alignment horizontal="center"/>
    </xf>
    <xf numFmtId="0" fontId="48" fillId="36" borderId="60" xfId="0" applyFont="1" applyFill="1" applyBorder="1" applyAlignment="1">
      <alignment horizontal="center"/>
    </xf>
    <xf numFmtId="0" fontId="49" fillId="37" borderId="136" xfId="0" applyFont="1" applyFill="1" applyBorder="1" applyAlignment="1">
      <alignment horizontal="center" wrapText="1"/>
    </xf>
    <xf numFmtId="0" fontId="49" fillId="37" borderId="137" xfId="0" applyFont="1" applyFill="1" applyBorder="1" applyAlignment="1">
      <alignment horizontal="center" wrapText="1"/>
    </xf>
    <xf numFmtId="0" fontId="49" fillId="37" borderId="138" xfId="0" applyFont="1" applyFill="1" applyBorder="1" applyAlignment="1">
      <alignment horizontal="center" wrapText="1"/>
    </xf>
    <xf numFmtId="0" fontId="50" fillId="38" borderId="139" xfId="0" applyFont="1" applyFill="1" applyBorder="1" applyAlignment="1">
      <alignment wrapText="1"/>
    </xf>
    <xf numFmtId="0" fontId="50" fillId="38" borderId="143" xfId="0" applyFont="1" applyFill="1" applyBorder="1" applyAlignment="1">
      <alignment wrapText="1"/>
    </xf>
    <xf numFmtId="0" fontId="49" fillId="37" borderId="67" xfId="0" applyFont="1" applyFill="1" applyBorder="1" applyAlignment="1">
      <alignment horizontal="center" wrapText="1"/>
    </xf>
    <xf numFmtId="0" fontId="49" fillId="37" borderId="68" xfId="0" applyFont="1" applyFill="1" applyBorder="1" applyAlignment="1">
      <alignment horizontal="center" wrapText="1"/>
    </xf>
    <xf numFmtId="0" fontId="49" fillId="37" borderId="69" xfId="0" applyFont="1" applyFill="1" applyBorder="1" applyAlignment="1">
      <alignment horizontal="center" wrapText="1"/>
    </xf>
    <xf numFmtId="0" fontId="50" fillId="38" borderId="29" xfId="0" applyFont="1" applyFill="1" applyBorder="1" applyAlignment="1">
      <alignment wrapText="1"/>
    </xf>
    <xf numFmtId="0" fontId="50" fillId="38" borderId="24" xfId="0" applyFont="1" applyFill="1" applyBorder="1" applyAlignment="1">
      <alignment wrapText="1"/>
    </xf>
    <xf numFmtId="0" fontId="49" fillId="37" borderId="29" xfId="0" applyFont="1" applyFill="1" applyBorder="1" applyAlignment="1">
      <alignment horizontal="center" wrapText="1"/>
    </xf>
    <xf numFmtId="0" fontId="49" fillId="37" borderId="22" xfId="0" applyFont="1" applyFill="1" applyBorder="1" applyAlignment="1">
      <alignment horizontal="center" wrapText="1"/>
    </xf>
    <xf numFmtId="0" fontId="49" fillId="37" borderId="75" xfId="0" applyFont="1" applyFill="1" applyBorder="1" applyAlignment="1">
      <alignment horizontal="center" wrapText="1"/>
    </xf>
    <xf numFmtId="0" fontId="50" fillId="38" borderId="71" xfId="0" applyFont="1" applyFill="1" applyBorder="1" applyAlignment="1">
      <alignment wrapText="1"/>
    </xf>
    <xf numFmtId="0" fontId="50" fillId="38" borderId="74" xfId="0" applyFont="1" applyFill="1" applyBorder="1" applyAlignment="1">
      <alignment wrapText="1"/>
    </xf>
    <xf numFmtId="0" fontId="50" fillId="38" borderId="133" xfId="0" applyFont="1" applyFill="1" applyBorder="1" applyAlignment="1">
      <alignment wrapText="1"/>
    </xf>
    <xf numFmtId="0" fontId="50" fillId="38" borderId="134" xfId="0" applyFont="1" applyFill="1" applyBorder="1" applyAlignment="1">
      <alignment wrapText="1"/>
    </xf>
    <xf numFmtId="0" fontId="49" fillId="37" borderId="82" xfId="0" applyFont="1" applyFill="1" applyBorder="1" applyAlignment="1">
      <alignment horizontal="center" wrapText="1"/>
    </xf>
    <xf numFmtId="0" fontId="49" fillId="37" borderId="83" xfId="0" applyFont="1" applyFill="1" applyBorder="1" applyAlignment="1">
      <alignment horizontal="center" wrapText="1"/>
    </xf>
    <xf numFmtId="0" fontId="49" fillId="37" borderId="84" xfId="0" applyFont="1" applyFill="1" applyBorder="1" applyAlignment="1">
      <alignment horizontal="center" wrapText="1"/>
    </xf>
    <xf numFmtId="0" fontId="50" fillId="38" borderId="71" xfId="0" applyFont="1" applyFill="1" applyBorder="1" applyAlignment="1">
      <alignment horizontal="center" vertical="center" wrapText="1"/>
    </xf>
    <xf numFmtId="0" fontId="50" fillId="38" borderId="93" xfId="0" applyFont="1" applyFill="1" applyBorder="1" applyAlignment="1">
      <alignment horizontal="center" vertical="center" wrapText="1"/>
    </xf>
    <xf numFmtId="0" fontId="50" fillId="38" borderId="74" xfId="0" applyFont="1" applyFill="1" applyBorder="1" applyAlignment="1">
      <alignment horizontal="center" vertical="center" wrapText="1"/>
    </xf>
    <xf numFmtId="0" fontId="50" fillId="38" borderId="71" xfId="0" applyFont="1" applyFill="1" applyBorder="1" applyAlignment="1">
      <alignment vertical="center" wrapText="1"/>
    </xf>
    <xf numFmtId="0" fontId="50" fillId="38" borderId="74" xfId="0" applyFont="1" applyFill="1" applyBorder="1" applyAlignment="1">
      <alignment vertical="center" wrapText="1"/>
    </xf>
    <xf numFmtId="0" fontId="19" fillId="18" borderId="35" xfId="0" applyFont="1" applyFill="1" applyBorder="1" applyAlignment="1"/>
    <xf numFmtId="0" fontId="19" fillId="18" borderId="36" xfId="0" applyFont="1" applyFill="1" applyBorder="1" applyAlignment="1"/>
  </cellXfs>
  <cellStyles count="5">
    <cellStyle name="Hipervínculo" xfId="4" builtinId="8"/>
    <cellStyle name="Neutral" xfId="1" builtinId="28" customBuiltin="1"/>
    <cellStyle name="Normal" xfId="0" builtinId="0"/>
    <cellStyle name="Porcentaje" xfId="3" builtinId="5"/>
    <cellStyle name="Total" xfId="2" builtinId="25" customBuiltin="1"/>
  </cellStyles>
  <dxfs count="1708"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66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66CC"/>
        </patternFill>
      </fill>
    </dxf>
    <dxf>
      <fill>
        <patternFill patternType="solid">
          <fgColor indexed="64"/>
          <bgColor rgb="FFDBDBDB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DBDBDB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DBDBD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DBDBD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:mm"/>
      <fill>
        <patternFill patternType="solid">
          <fgColor indexed="64"/>
          <bgColor rgb="FFDBDBD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:mm"/>
      <fill>
        <patternFill patternType="solid">
          <fgColor indexed="64"/>
          <bgColor rgb="FFDBDBD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DBDBD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DBDBD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DBDBD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BDBD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rgb="FFDBDBD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DBDBDB"/>
        </patternFill>
      </fill>
    </dxf>
    <dxf>
      <protection locked="0" hidden="0"/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66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66CC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00FFFF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00FFFF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00FFFF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00FFFF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00FFFF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F8EED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8B2B2"/>
      <rgbColor rgb="00777777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DAB2"/>
      <rgbColor rgb="00F8EED8"/>
      <rgbColor rgb="0099CCFF"/>
      <rgbColor rgb="00FCF9EC"/>
      <rgbColor rgb="00EAEAEA"/>
      <rgbColor rgb="00FBF8EB"/>
      <rgbColor rgb="00C3D2E5"/>
      <rgbColor rgb="0033CCCC"/>
      <rgbColor rgb="0099CC00"/>
      <rgbColor rgb="00FFCC00"/>
      <rgbColor rgb="00FF9900"/>
      <rgbColor rgb="00FF6600"/>
      <rgbColor rgb="004B6B85"/>
      <rgbColor rgb="00757A8B"/>
      <rgbColor rgb="00003366"/>
      <rgbColor rgb="00339966"/>
      <rgbColor rgb="00003300"/>
      <rgbColor rgb="00333300"/>
      <rgbColor rgb="00993300"/>
      <rgbColor rgb="00DDDDDD"/>
      <rgbColor rgb="00333399"/>
      <rgbColor rgb="00333333"/>
    </indexedColors>
    <mruColors>
      <color rgb="FFFF9500"/>
      <color rgb="FFCC66FF"/>
      <color rgb="FFFFFFB0"/>
      <color rgb="FFFFCC00"/>
      <color rgb="FFFFEBEB"/>
      <color rgb="FFCCFFCC"/>
      <color rgb="FFF7B559"/>
      <color rgb="FF00FF00"/>
      <color rgb="FFFFE5A3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28575</xdr:colOff>
      <xdr:row>149</xdr:row>
      <xdr:rowOff>276225</xdr:rowOff>
    </xdr:from>
    <xdr:to>
      <xdr:col>37</xdr:col>
      <xdr:colOff>600075</xdr:colOff>
      <xdr:row>157</xdr:row>
      <xdr:rowOff>66675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B4F5E698-458B-CD52-5AD5-514603A24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31225" y="47367825"/>
          <a:ext cx="3581400" cy="2381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7C80B6-C777-4B3C-8C1E-EFA42DFB60AE}" name="Tabla1" displayName="Tabla1" ref="A1:K64" totalsRowShown="0" headerRowDxfId="178" dataDxfId="177">
  <tableColumns count="11">
    <tableColumn id="1" xr3:uid="{F1C157EF-DD09-4D1C-8E3C-0446402CF56F}" name="Mes" dataDxfId="176"/>
    <tableColumn id="2" xr3:uid="{15387B91-C6D2-4681-99D5-281AD2D9782B}" name="Día" dataDxfId="175"/>
    <tableColumn id="3" xr3:uid="{35F0AEE8-DB94-406C-8A3C-04FA6B95C2DA}" name="Fecha" dataDxfId="174"/>
    <tableColumn id="4" xr3:uid="{E3CB5761-A20B-4ABF-8A25-5A7AE7D0D2D0}" name="Técnico" dataDxfId="173"/>
    <tableColumn id="5" xr3:uid="{382C1759-4F43-4960-B184-E035CC581E38}" name="Grupo" dataDxfId="172"/>
    <tableColumn id="6" xr3:uid="{F678A017-20F8-46F8-999E-C11AF82DC802}" name="Hora Incio" dataDxfId="171"/>
    <tableColumn id="7" xr3:uid="{5C9B0A83-8CB5-4931-97D4-4E7287F032A6}" name="Hora Fin" dataDxfId="170"/>
    <tableColumn id="8" xr3:uid="{DAF27C8B-2B2C-4E19-BA81-9FBC0B8C1CA8}" name="Duración" dataDxfId="169"/>
    <tableColumn id="9" xr3:uid="{43576CAF-2B7D-4815-A62E-D5B0A5962C23}" name="Id Cambio" dataDxfId="168"/>
    <tableColumn id="10" xr3:uid="{F2F525CD-BBA5-4D8E-8C49-9EED8AE2C115}" name="Nombre cambio" dataDxfId="167"/>
    <tableColumn id="11" xr3:uid="{5E3DAFA3-C1D2-4C48-BF8F-F40EC8BA0C4B}" name="Observaciones / Resultados" dataDxfId="166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/../../../../../:x:/r/sites/NaaS/Shared%20Documents/Campus%20Services/02_Area%20Voice/01_Hist%C3%B3ricos%20Y%20Miscel%C3%A1nea/Organizaci%C3%B3n%20Departamento/Teletrabajo%20-%20D%C3%ADas%20equipo%20Voz%202024/TeletrabajoVoz.xlsx?d=w87a9c5a585dc48a3bf825b104678e689&amp;csf=1&amp;web=1&amp;e=K7PWbU" TargetMode="External"/><Relationship Id="rId1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13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3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7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12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2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1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6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11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5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10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4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9" Type="http://schemas.openxmlformats.org/officeDocument/2006/relationships/hyperlink" Target="../../../../../../:x:/r/sites/NaaS/Shared%20Documents/Campus%20Services/Documentaci%C3%B3n%20General/Vacaciones/CONTROL%20RECURSOS%20Y%20VACACIONES%202025.xlsx?d=waa0b10ed5440498f95cf4cb1b021290a&amp;csf=1&amp;web=1&amp;e=gGHfJj" TargetMode="External"/><Relationship Id="rId1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:x:/r/sites/NetworkGlobalPlatform/Shared%20Documents/General/Espa%C3%B1a/Interno/OLD/Cuadrante%20Spain%20Region%20v17%202026.xlsx?d=wd5418450a65d4cb7a13b052478cc7b33&amp;csf=1&amp;web=1&amp;e=RFk4ak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:x:/r/sites/NetworkGlobalPlatform/Shared%20Documents/General/Espa%C3%B1a/Interno/Cuadrante%20Spain%20Region%20v16%202025.xlsx?d=w17444e86bc44445a80ae1dbe054f3c01&amp;csf=1&amp;web=1&amp;e=uPyVH0" TargetMode="External"/><Relationship Id="rId2" Type="http://schemas.openxmlformats.org/officeDocument/2006/relationships/hyperlink" Target="../../../../../../../:x:/r/sites/NetworkGlobalPlatform/Shared%20Documents/General/Espa%C3%B1a/Interno/Cuadrante%20Spain%20Region%20v16%202025.xlsx?d=w17444e86bc44445a80ae1dbe054f3c01&amp;csf=1&amp;web=1&amp;e=uPyVH0" TargetMode="External"/><Relationship Id="rId1" Type="http://schemas.openxmlformats.org/officeDocument/2006/relationships/hyperlink" Target="../../../../../../../:x:/r/sites/NaaS/_layouts/15/Doc.aspx?sourcedoc=%7BAA0B10ED-5440-498F-95CF-4CB1B021290A%7D&amp;file=CONTROL%20RECURSOS%20Y%20VACACIONES%202025.xlsx&amp;action=default&amp;mobileredirect=true&amp;DefaultItemOpen=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dlprbecommsvoz@gruposantander.com" TargetMode="External"/><Relationship Id="rId1" Type="http://schemas.openxmlformats.org/officeDocument/2006/relationships/hyperlink" Target="mailto:comunicacionesrrff@produban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fernandomiguel.lourido@servexternos.gruposantander.es" TargetMode="External"/><Relationship Id="rId13" Type="http://schemas.openxmlformats.org/officeDocument/2006/relationships/hyperlink" Target="mailto:fjpuertas@servexternos.gruposantander.com" TargetMode="External"/><Relationship Id="rId3" Type="http://schemas.openxmlformats.org/officeDocument/2006/relationships/hyperlink" Target="mailto:daniel.portugues@gruposantander.com" TargetMode="External"/><Relationship Id="rId7" Type="http://schemas.openxmlformats.org/officeDocument/2006/relationships/hyperlink" Target="mailto:vicente.sanchezcanadilla@gruposantander.es" TargetMode="External"/><Relationship Id="rId12" Type="http://schemas.openxmlformats.org/officeDocument/2006/relationships/hyperlink" Target="mailto:alfonso.guzman@gruposantander.com" TargetMode="External"/><Relationship Id="rId17" Type="http://schemas.openxmlformats.org/officeDocument/2006/relationships/printerSettings" Target="../printerSettings/printerSettings11.bin"/><Relationship Id="rId2" Type="http://schemas.openxmlformats.org/officeDocument/2006/relationships/hyperlink" Target="mailto:israel.hurtado@gruposantander.com" TargetMode="External"/><Relationship Id="rId16" Type="http://schemas.openxmlformats.org/officeDocument/2006/relationships/hyperlink" Target="mailto:francisco.trigocasanueva@servexternos.gruposantander.es" TargetMode="External"/><Relationship Id="rId1" Type="http://schemas.openxmlformats.org/officeDocument/2006/relationships/hyperlink" Target="mailto:francisco.miralles@gruposantander.com" TargetMode="External"/><Relationship Id="rId6" Type="http://schemas.openxmlformats.org/officeDocument/2006/relationships/hyperlink" Target="mailto:alfonso.gomezcalzado@gruposantander.es" TargetMode="External"/><Relationship Id="rId11" Type="http://schemas.openxmlformats.org/officeDocument/2006/relationships/hyperlink" Target="mailto:katherine.llantoy@gruposantander.com" TargetMode="External"/><Relationship Id="rId5" Type="http://schemas.openxmlformats.org/officeDocument/2006/relationships/hyperlink" Target="mailto:franciscojavier.pastorportillo@gruposantander.es" TargetMode="External"/><Relationship Id="rId15" Type="http://schemas.openxmlformats.org/officeDocument/2006/relationships/hyperlink" Target="mailto:manuel.cabana@gruposantander.com" TargetMode="External"/><Relationship Id="rId10" Type="http://schemas.openxmlformats.org/officeDocument/2006/relationships/hyperlink" Target="mailto:j.zamorano@gruposantander.com" TargetMode="External"/><Relationship Id="rId4" Type="http://schemas.openxmlformats.org/officeDocument/2006/relationships/hyperlink" Target="mailto:jose.andres@gruposantander.com" TargetMode="External"/><Relationship Id="rId9" Type="http://schemas.openxmlformats.org/officeDocument/2006/relationships/hyperlink" Target="mailto:carlos.bourgeon@gruposantander.es" TargetMode="External"/><Relationship Id="rId14" Type="http://schemas.openxmlformats.org/officeDocument/2006/relationships/hyperlink" Target="mailto:eduardo.rodriguezizquierdo@gruposantander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fernando.martin@servexternos.gruposantander.com" TargetMode="External"/><Relationship Id="rId3" Type="http://schemas.openxmlformats.org/officeDocument/2006/relationships/hyperlink" Target="mailto:fernando.rubio@servexternos.gruposantander.com" TargetMode="External"/><Relationship Id="rId7" Type="http://schemas.openxmlformats.org/officeDocument/2006/relationships/hyperlink" Target="mailto:joselu.dejuan@servexternos.gruponsantander.com" TargetMode="External"/><Relationship Id="rId2" Type="http://schemas.openxmlformats.org/officeDocument/2006/relationships/hyperlink" Target="mailto:jose.cartas@servexternos.gruposantander.com" TargetMode="External"/><Relationship Id="rId1" Type="http://schemas.openxmlformats.org/officeDocument/2006/relationships/hyperlink" Target="mailto:fernando.langreo@servexternos.gruposantander.com" TargetMode="External"/><Relationship Id="rId6" Type="http://schemas.openxmlformats.org/officeDocument/2006/relationships/hyperlink" Target="mailto:liviu.lazar@servexternos.gruposantander.com" TargetMode="External"/><Relationship Id="rId5" Type="http://schemas.openxmlformats.org/officeDocument/2006/relationships/hyperlink" Target="mailto:josemiguel.perea@servexternos.gruposantander.com" TargetMode="External"/><Relationship Id="rId4" Type="http://schemas.openxmlformats.org/officeDocument/2006/relationships/hyperlink" Target="mailto:hector.felipe@servexternos.gruposantander.com" TargetMode="External"/><Relationship Id="rId9" Type="http://schemas.openxmlformats.org/officeDocument/2006/relationships/hyperlink" Target="mailto:mariano.grillo@servexternos.gruposantander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indexed="60"/>
  </sheetPr>
  <dimension ref="A1:AK157"/>
  <sheetViews>
    <sheetView showGridLines="0" showRowColHeaders="0" zoomScale="110" zoomScaleNormal="110" workbookViewId="0">
      <pane ySplit="1" topLeftCell="A148" activePane="bottomLeft" state="frozen"/>
      <selection pane="bottomLeft" activeCell="F32" sqref="F32"/>
    </sheetView>
  </sheetViews>
  <sheetFormatPr defaultColWidth="9.140625" defaultRowHeight="16.5"/>
  <cols>
    <col min="1" max="1" width="1.28515625" style="2" customWidth="1"/>
    <col min="2" max="2" width="24.28515625" style="19" customWidth="1"/>
    <col min="3" max="33" width="3.28515625" style="14" customWidth="1"/>
    <col min="34" max="34" width="3.28515625" style="20" customWidth="1"/>
    <col min="35" max="35" width="9.140625" style="14"/>
    <col min="36" max="16384" width="9.140625" style="2"/>
  </cols>
  <sheetData>
    <row r="1" spans="1:35" ht="34.5" customHeight="1">
      <c r="B1" s="895" t="s">
        <v>0</v>
      </c>
      <c r="C1" s="895"/>
      <c r="D1" s="895"/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895"/>
      <c r="P1" s="895"/>
      <c r="Q1" s="895"/>
      <c r="R1" s="895"/>
      <c r="S1" s="895"/>
      <c r="T1" s="895"/>
      <c r="U1" s="895"/>
      <c r="V1" s="895"/>
      <c r="W1" s="895"/>
      <c r="X1" s="895"/>
      <c r="Y1" s="895"/>
      <c r="Z1" s="895"/>
      <c r="AA1" s="895"/>
      <c r="AB1" s="895"/>
      <c r="AC1" s="895"/>
      <c r="AD1" s="895"/>
      <c r="AE1" s="895"/>
      <c r="AF1" s="895"/>
      <c r="AG1" s="895"/>
      <c r="AH1" s="895"/>
      <c r="AI1" s="3"/>
    </row>
    <row r="2" spans="1:35" ht="34.5" customHeight="1">
      <c r="B2" s="5">
        <v>43831</v>
      </c>
      <c r="C2" s="893"/>
      <c r="D2" s="894"/>
      <c r="E2" s="894"/>
      <c r="F2" s="894"/>
      <c r="G2" s="894"/>
      <c r="H2" s="894"/>
      <c r="I2" s="894"/>
      <c r="J2" s="894"/>
      <c r="K2" s="894"/>
      <c r="L2" s="894"/>
      <c r="M2" s="894"/>
      <c r="N2" s="894"/>
      <c r="O2" s="894"/>
      <c r="P2" s="894"/>
      <c r="Q2" s="894"/>
      <c r="R2" s="894"/>
      <c r="S2" s="894"/>
      <c r="T2" s="894"/>
      <c r="U2" s="894"/>
      <c r="V2" s="894"/>
      <c r="W2" s="894"/>
      <c r="X2" s="894"/>
      <c r="Y2" s="894"/>
      <c r="Z2" s="894"/>
      <c r="AA2" s="894"/>
      <c r="AB2" s="894"/>
      <c r="AC2" s="894"/>
      <c r="AD2" s="894"/>
      <c r="AE2" s="894"/>
      <c r="AF2" s="894"/>
      <c r="AG2" s="894"/>
      <c r="AH2" s="894"/>
      <c r="AI2" s="3"/>
    </row>
    <row r="3" spans="1:35" ht="34.5" customHeight="1">
      <c r="B3" s="9"/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1</v>
      </c>
      <c r="K3" s="10" t="s">
        <v>2</v>
      </c>
      <c r="L3" s="10" t="s">
        <v>3</v>
      </c>
      <c r="M3" s="10" t="s">
        <v>4</v>
      </c>
      <c r="N3" s="11" t="s">
        <v>5</v>
      </c>
      <c r="O3" s="10" t="s">
        <v>6</v>
      </c>
      <c r="P3" s="10" t="s">
        <v>7</v>
      </c>
      <c r="Q3" s="10" t="s">
        <v>1</v>
      </c>
      <c r="R3" s="10" t="s">
        <v>2</v>
      </c>
      <c r="S3" s="10" t="s">
        <v>3</v>
      </c>
      <c r="T3" s="10" t="s">
        <v>4</v>
      </c>
      <c r="U3" s="11" t="s">
        <v>5</v>
      </c>
      <c r="V3" s="10" t="s">
        <v>6</v>
      </c>
      <c r="W3" s="10" t="s">
        <v>7</v>
      </c>
      <c r="X3" s="10" t="s">
        <v>1</v>
      </c>
      <c r="Y3" s="10" t="s">
        <v>2</v>
      </c>
      <c r="Z3" s="10" t="s">
        <v>3</v>
      </c>
      <c r="AA3" s="10" t="s">
        <v>4</v>
      </c>
      <c r="AB3" s="13" t="s">
        <v>5</v>
      </c>
      <c r="AC3" s="10" t="s">
        <v>6</v>
      </c>
      <c r="AD3" s="10" t="s">
        <v>7</v>
      </c>
      <c r="AE3" s="10" t="s">
        <v>1</v>
      </c>
      <c r="AF3" s="10" t="s">
        <v>2</v>
      </c>
      <c r="AG3" s="10" t="s">
        <v>3</v>
      </c>
      <c r="AH3" s="2"/>
      <c r="AI3" s="3"/>
    </row>
    <row r="4" spans="1:35" ht="34.5" customHeight="1">
      <c r="B4" s="12" t="s">
        <v>8</v>
      </c>
      <c r="C4" s="8">
        <v>1</v>
      </c>
      <c r="D4" s="25">
        <v>2</v>
      </c>
      <c r="E4" s="25">
        <v>3</v>
      </c>
      <c r="F4" s="6">
        <v>4</v>
      </c>
      <c r="G4" s="6">
        <v>5</v>
      </c>
      <c r="H4" s="8">
        <v>6</v>
      </c>
      <c r="I4" s="7">
        <v>7</v>
      </c>
      <c r="J4" s="7">
        <v>8</v>
      </c>
      <c r="K4" s="25">
        <v>9</v>
      </c>
      <c r="L4" s="25">
        <v>10</v>
      </c>
      <c r="M4" s="6">
        <v>11</v>
      </c>
      <c r="N4" s="6">
        <v>12</v>
      </c>
      <c r="O4" s="7">
        <v>13</v>
      </c>
      <c r="P4" s="7">
        <v>14</v>
      </c>
      <c r="Q4" s="7">
        <v>15</v>
      </c>
      <c r="R4" s="25">
        <v>16</v>
      </c>
      <c r="S4" s="25">
        <v>17</v>
      </c>
      <c r="T4" s="6">
        <v>18</v>
      </c>
      <c r="U4" s="6">
        <v>19</v>
      </c>
      <c r="V4" s="7" t="s">
        <v>9</v>
      </c>
      <c r="W4" s="7">
        <v>21</v>
      </c>
      <c r="X4" s="7">
        <v>22</v>
      </c>
      <c r="Y4" s="25">
        <v>23</v>
      </c>
      <c r="Z4" s="25">
        <v>24</v>
      </c>
      <c r="AA4" s="6">
        <v>25</v>
      </c>
      <c r="AB4" s="6">
        <v>26</v>
      </c>
      <c r="AC4" s="7" t="s">
        <v>9</v>
      </c>
      <c r="AD4" s="7">
        <v>28</v>
      </c>
      <c r="AE4" s="7">
        <v>29</v>
      </c>
      <c r="AF4" s="7">
        <v>30</v>
      </c>
      <c r="AG4" s="7">
        <v>31</v>
      </c>
      <c r="AH4" s="21"/>
      <c r="AI4" s="3"/>
    </row>
    <row r="5" spans="1:35">
      <c r="B5" s="15" t="s">
        <v>10</v>
      </c>
      <c r="C5" s="8">
        <v>1</v>
      </c>
      <c r="D5" s="25" t="s">
        <v>9</v>
      </c>
      <c r="E5" s="25" t="s">
        <v>9</v>
      </c>
      <c r="F5" s="6">
        <v>4</v>
      </c>
      <c r="G5" s="6">
        <v>5</v>
      </c>
      <c r="H5" s="8">
        <v>6</v>
      </c>
      <c r="I5" s="25" t="s">
        <v>9</v>
      </c>
      <c r="J5" s="7">
        <v>8</v>
      </c>
      <c r="K5" s="25">
        <v>9</v>
      </c>
      <c r="L5" s="25">
        <v>10</v>
      </c>
      <c r="M5" s="6">
        <v>11</v>
      </c>
      <c r="N5" s="6">
        <v>12</v>
      </c>
      <c r="O5" s="7">
        <v>13</v>
      </c>
      <c r="P5" s="7">
        <v>14</v>
      </c>
      <c r="Q5" s="7">
        <v>15</v>
      </c>
      <c r="R5" s="25">
        <v>16</v>
      </c>
      <c r="S5" s="25">
        <v>17</v>
      </c>
      <c r="T5" s="6">
        <v>18</v>
      </c>
      <c r="U5" s="6">
        <v>19</v>
      </c>
      <c r="V5" s="7">
        <v>20</v>
      </c>
      <c r="W5" s="7">
        <v>21</v>
      </c>
      <c r="X5" s="7">
        <v>22</v>
      </c>
      <c r="Y5" s="25">
        <v>23</v>
      </c>
      <c r="Z5" s="25">
        <v>24</v>
      </c>
      <c r="AA5" s="6">
        <v>25</v>
      </c>
      <c r="AB5" s="6">
        <v>26</v>
      </c>
      <c r="AC5" s="7">
        <v>27</v>
      </c>
      <c r="AD5" s="7">
        <v>28</v>
      </c>
      <c r="AE5" s="7">
        <v>29</v>
      </c>
      <c r="AF5" s="7">
        <v>30</v>
      </c>
      <c r="AG5" s="7">
        <v>31</v>
      </c>
      <c r="AH5" s="21"/>
    </row>
    <row r="6" spans="1:35">
      <c r="B6" s="12" t="s">
        <v>11</v>
      </c>
      <c r="C6" s="8">
        <v>1</v>
      </c>
      <c r="D6" s="35" t="s">
        <v>12</v>
      </c>
      <c r="E6" s="35" t="s">
        <v>12</v>
      </c>
      <c r="F6" s="6">
        <v>4</v>
      </c>
      <c r="G6" s="6">
        <v>5</v>
      </c>
      <c r="H6" s="8">
        <v>6</v>
      </c>
      <c r="I6" s="35" t="s">
        <v>12</v>
      </c>
      <c r="J6" s="35" t="s">
        <v>12</v>
      </c>
      <c r="K6" s="35" t="s">
        <v>12</v>
      </c>
      <c r="L6" s="35" t="s">
        <v>13</v>
      </c>
      <c r="M6" s="6">
        <v>11</v>
      </c>
      <c r="N6" s="6">
        <v>12</v>
      </c>
      <c r="O6" s="7">
        <v>13</v>
      </c>
      <c r="P6" s="7">
        <v>14</v>
      </c>
      <c r="Q6" s="7" t="s">
        <v>14</v>
      </c>
      <c r="R6" s="25" t="s">
        <v>14</v>
      </c>
      <c r="S6" s="25" t="s">
        <v>14</v>
      </c>
      <c r="T6" s="25" t="s">
        <v>14</v>
      </c>
      <c r="U6" s="25" t="s">
        <v>14</v>
      </c>
      <c r="V6" s="7" t="s">
        <v>14</v>
      </c>
      <c r="W6" s="7" t="s">
        <v>14</v>
      </c>
      <c r="X6" s="7">
        <v>22</v>
      </c>
      <c r="Y6" s="25">
        <v>23</v>
      </c>
      <c r="Z6" s="25">
        <v>24</v>
      </c>
      <c r="AA6" s="6">
        <v>25</v>
      </c>
      <c r="AB6" s="6">
        <v>26</v>
      </c>
      <c r="AC6" s="7">
        <v>27</v>
      </c>
      <c r="AD6" s="7">
        <v>28</v>
      </c>
      <c r="AE6" s="7">
        <v>29</v>
      </c>
      <c r="AF6" s="7">
        <v>30</v>
      </c>
      <c r="AG6" s="7">
        <v>31</v>
      </c>
      <c r="AH6" s="21"/>
      <c r="AI6" s="2"/>
    </row>
    <row r="7" spans="1:35">
      <c r="B7" s="15" t="s">
        <v>15</v>
      </c>
      <c r="C7" s="8">
        <v>1</v>
      </c>
      <c r="D7" s="25" t="s">
        <v>9</v>
      </c>
      <c r="E7" s="25" t="s">
        <v>9</v>
      </c>
      <c r="F7" s="6">
        <v>4</v>
      </c>
      <c r="G7" s="6">
        <v>5</v>
      </c>
      <c r="H7" s="8">
        <v>6</v>
      </c>
      <c r="I7" s="7">
        <v>7</v>
      </c>
      <c r="J7" s="7" t="s">
        <v>14</v>
      </c>
      <c r="K7" s="7" t="s">
        <v>14</v>
      </c>
      <c r="L7" s="7" t="s">
        <v>14</v>
      </c>
      <c r="M7" s="6" t="s">
        <v>14</v>
      </c>
      <c r="N7" s="6" t="s">
        <v>14</v>
      </c>
      <c r="O7" s="7" t="s">
        <v>14</v>
      </c>
      <c r="P7" s="7" t="s">
        <v>14</v>
      </c>
      <c r="Q7" s="7">
        <v>15</v>
      </c>
      <c r="R7" s="25">
        <v>16</v>
      </c>
      <c r="S7" s="25">
        <v>17</v>
      </c>
      <c r="T7" s="6">
        <v>18</v>
      </c>
      <c r="U7" s="6">
        <v>19</v>
      </c>
      <c r="V7" s="7">
        <v>20</v>
      </c>
      <c r="W7" s="7">
        <v>21</v>
      </c>
      <c r="X7" s="7">
        <v>22</v>
      </c>
      <c r="Y7" s="25">
        <v>23</v>
      </c>
      <c r="Z7" s="25">
        <v>24</v>
      </c>
      <c r="AA7" s="6">
        <v>25</v>
      </c>
      <c r="AB7" s="6">
        <v>26</v>
      </c>
      <c r="AC7" s="7">
        <v>27</v>
      </c>
      <c r="AD7" s="7">
        <v>28</v>
      </c>
      <c r="AE7" s="7" t="s">
        <v>14</v>
      </c>
      <c r="AF7" s="7" t="s">
        <v>14</v>
      </c>
      <c r="AG7" s="7" t="s">
        <v>14</v>
      </c>
      <c r="AH7" s="21"/>
    </row>
    <row r="8" spans="1:35">
      <c r="B8" s="12" t="s">
        <v>16</v>
      </c>
      <c r="C8" s="8">
        <v>1</v>
      </c>
      <c r="D8" s="25">
        <v>2</v>
      </c>
      <c r="E8" s="25">
        <v>3</v>
      </c>
      <c r="F8" s="6">
        <v>4</v>
      </c>
      <c r="G8" s="6">
        <v>5</v>
      </c>
      <c r="H8" s="8">
        <v>6</v>
      </c>
      <c r="I8" s="7">
        <v>7</v>
      </c>
      <c r="J8" s="7">
        <v>8</v>
      </c>
      <c r="K8" s="25">
        <v>9</v>
      </c>
      <c r="L8" s="25">
        <v>10</v>
      </c>
      <c r="M8" s="6">
        <v>11</v>
      </c>
      <c r="N8" s="6">
        <v>12</v>
      </c>
      <c r="O8" s="7">
        <v>13</v>
      </c>
      <c r="P8" s="7">
        <v>14</v>
      </c>
      <c r="Q8" s="7">
        <v>15</v>
      </c>
      <c r="R8" s="25">
        <v>16</v>
      </c>
      <c r="S8" s="34" t="s">
        <v>17</v>
      </c>
      <c r="T8" s="6">
        <v>18</v>
      </c>
      <c r="U8" s="6">
        <v>19</v>
      </c>
      <c r="V8" s="7">
        <v>20</v>
      </c>
      <c r="W8" s="7">
        <v>21</v>
      </c>
      <c r="X8" s="7">
        <v>22</v>
      </c>
      <c r="Y8" s="25">
        <v>23</v>
      </c>
      <c r="Z8" s="25">
        <v>24</v>
      </c>
      <c r="AA8" s="6">
        <v>25</v>
      </c>
      <c r="AB8" s="6">
        <v>26</v>
      </c>
      <c r="AC8" s="7">
        <v>27</v>
      </c>
      <c r="AD8" s="7">
        <v>28</v>
      </c>
      <c r="AE8" s="7">
        <v>29</v>
      </c>
      <c r="AF8" s="7">
        <v>30</v>
      </c>
      <c r="AG8" s="34" t="s">
        <v>17</v>
      </c>
      <c r="AH8" s="21"/>
    </row>
    <row r="9" spans="1:35">
      <c r="B9" s="15" t="s">
        <v>18</v>
      </c>
      <c r="C9" s="8">
        <v>1</v>
      </c>
      <c r="D9" s="25">
        <v>2</v>
      </c>
      <c r="E9" s="25">
        <v>3</v>
      </c>
      <c r="F9" s="6">
        <v>4</v>
      </c>
      <c r="G9" s="6">
        <v>5</v>
      </c>
      <c r="H9" s="8">
        <v>6</v>
      </c>
      <c r="I9" s="7" t="s">
        <v>9</v>
      </c>
      <c r="J9" s="7">
        <v>8</v>
      </c>
      <c r="K9" s="25">
        <v>9</v>
      </c>
      <c r="L9" s="25">
        <v>10</v>
      </c>
      <c r="M9" s="6">
        <v>11</v>
      </c>
      <c r="N9" s="6">
        <v>12</v>
      </c>
      <c r="O9" s="7">
        <v>13</v>
      </c>
      <c r="P9" s="7">
        <v>14</v>
      </c>
      <c r="Q9" s="7">
        <v>15</v>
      </c>
      <c r="R9" s="25">
        <v>16</v>
      </c>
      <c r="S9" s="25">
        <v>17</v>
      </c>
      <c r="T9" s="6">
        <v>18</v>
      </c>
      <c r="U9" s="6">
        <v>19</v>
      </c>
      <c r="V9" s="7">
        <v>20</v>
      </c>
      <c r="W9" s="7">
        <v>21</v>
      </c>
      <c r="X9" s="7">
        <v>22</v>
      </c>
      <c r="Y9" s="25">
        <v>23</v>
      </c>
      <c r="Z9" s="25">
        <v>24</v>
      </c>
      <c r="AA9" s="6">
        <v>25</v>
      </c>
      <c r="AB9" s="6">
        <v>26</v>
      </c>
      <c r="AC9" s="7">
        <v>27</v>
      </c>
      <c r="AD9" s="7">
        <v>28</v>
      </c>
      <c r="AE9" s="7">
        <v>29</v>
      </c>
      <c r="AF9" s="7">
        <v>30</v>
      </c>
      <c r="AG9" s="7">
        <v>31</v>
      </c>
      <c r="AH9" s="21"/>
    </row>
    <row r="10" spans="1:35">
      <c r="B10" s="12" t="s">
        <v>19</v>
      </c>
      <c r="C10" s="8">
        <v>1</v>
      </c>
      <c r="D10" s="25" t="s">
        <v>9</v>
      </c>
      <c r="E10" s="25" t="s">
        <v>9</v>
      </c>
      <c r="F10" s="6">
        <v>4</v>
      </c>
      <c r="G10" s="6">
        <v>5</v>
      </c>
      <c r="H10" s="8">
        <v>6</v>
      </c>
      <c r="I10" s="7">
        <v>7</v>
      </c>
      <c r="J10" s="7">
        <v>8</v>
      </c>
      <c r="K10" s="25">
        <v>9</v>
      </c>
      <c r="L10" s="25">
        <v>10</v>
      </c>
      <c r="M10" s="6">
        <v>11</v>
      </c>
      <c r="N10" s="6">
        <v>12</v>
      </c>
      <c r="O10" s="7">
        <v>13</v>
      </c>
      <c r="P10" s="7">
        <v>14</v>
      </c>
      <c r="Q10" s="7">
        <v>15</v>
      </c>
      <c r="R10" s="25">
        <v>16</v>
      </c>
      <c r="S10" s="25">
        <v>17</v>
      </c>
      <c r="T10" s="6">
        <v>18</v>
      </c>
      <c r="U10" s="6">
        <v>19</v>
      </c>
      <c r="V10" s="7">
        <v>20</v>
      </c>
      <c r="W10" s="7">
        <v>21</v>
      </c>
      <c r="X10" s="7">
        <v>22</v>
      </c>
      <c r="Y10" s="25">
        <v>23</v>
      </c>
      <c r="Z10" s="25">
        <v>24</v>
      </c>
      <c r="AA10" s="6">
        <v>25</v>
      </c>
      <c r="AB10" s="6">
        <v>26</v>
      </c>
      <c r="AC10" s="7">
        <v>27</v>
      </c>
      <c r="AD10" s="7">
        <v>28</v>
      </c>
      <c r="AE10" s="7">
        <v>29</v>
      </c>
      <c r="AF10" s="7">
        <v>30</v>
      </c>
      <c r="AG10" s="7">
        <v>31</v>
      </c>
      <c r="AH10" s="21"/>
    </row>
    <row r="11" spans="1:35">
      <c r="B11" s="15" t="s">
        <v>20</v>
      </c>
      <c r="C11" s="8" t="s">
        <v>14</v>
      </c>
      <c r="D11" s="25" t="s">
        <v>14</v>
      </c>
      <c r="E11" s="25" t="s">
        <v>14</v>
      </c>
      <c r="F11" s="8" t="s">
        <v>14</v>
      </c>
      <c r="G11" s="25" t="s">
        <v>14</v>
      </c>
      <c r="H11" s="25" t="s">
        <v>14</v>
      </c>
      <c r="I11" s="7" t="s">
        <v>14</v>
      </c>
      <c r="J11" s="7">
        <v>8</v>
      </c>
      <c r="K11" s="25">
        <v>9</v>
      </c>
      <c r="L11" s="25">
        <v>10</v>
      </c>
      <c r="M11" s="6">
        <v>11</v>
      </c>
      <c r="N11" s="6">
        <v>12</v>
      </c>
      <c r="O11" s="7">
        <v>13</v>
      </c>
      <c r="P11" s="7">
        <v>14</v>
      </c>
      <c r="Q11" s="7">
        <v>15</v>
      </c>
      <c r="R11" s="25">
        <v>16</v>
      </c>
      <c r="S11" s="25">
        <v>17</v>
      </c>
      <c r="T11" s="6">
        <v>18</v>
      </c>
      <c r="U11" s="6">
        <v>19</v>
      </c>
      <c r="V11" s="7" t="s">
        <v>9</v>
      </c>
      <c r="W11" s="7" t="s">
        <v>9</v>
      </c>
      <c r="X11" s="7" t="s">
        <v>14</v>
      </c>
      <c r="Y11" s="25" t="s">
        <v>14</v>
      </c>
      <c r="Z11" s="25" t="s">
        <v>14</v>
      </c>
      <c r="AA11" s="25" t="s">
        <v>14</v>
      </c>
      <c r="AB11" s="25" t="s">
        <v>14</v>
      </c>
      <c r="AC11" s="7" t="s">
        <v>14</v>
      </c>
      <c r="AD11" s="7" t="s">
        <v>14</v>
      </c>
      <c r="AE11" s="7">
        <v>29</v>
      </c>
      <c r="AF11" s="7">
        <v>30</v>
      </c>
      <c r="AG11" s="7">
        <v>31</v>
      </c>
      <c r="AH11" s="21"/>
    </row>
    <row r="12" spans="1:35">
      <c r="B12" s="12" t="s">
        <v>21</v>
      </c>
      <c r="C12" s="8">
        <v>1</v>
      </c>
      <c r="D12" s="25" t="s">
        <v>9</v>
      </c>
      <c r="E12" s="25" t="s">
        <v>9</v>
      </c>
      <c r="F12" s="6">
        <v>4</v>
      </c>
      <c r="G12" s="6">
        <v>5</v>
      </c>
      <c r="H12" s="8">
        <v>6</v>
      </c>
      <c r="I12" s="7">
        <v>7</v>
      </c>
      <c r="J12" s="7">
        <v>8</v>
      </c>
      <c r="K12" s="25">
        <v>9</v>
      </c>
      <c r="L12" s="25">
        <v>10</v>
      </c>
      <c r="M12" s="6">
        <v>11</v>
      </c>
      <c r="N12" s="6">
        <v>12</v>
      </c>
      <c r="O12" s="7">
        <v>13</v>
      </c>
      <c r="P12" s="7">
        <v>14</v>
      </c>
      <c r="Q12" s="7">
        <v>15</v>
      </c>
      <c r="R12" s="25">
        <v>16</v>
      </c>
      <c r="S12" s="25">
        <v>17</v>
      </c>
      <c r="T12" s="6">
        <v>18</v>
      </c>
      <c r="U12" s="6">
        <v>19</v>
      </c>
      <c r="V12" s="7">
        <v>20</v>
      </c>
      <c r="W12" s="7">
        <v>21</v>
      </c>
      <c r="X12" s="7">
        <v>22</v>
      </c>
      <c r="Y12" s="25">
        <v>23</v>
      </c>
      <c r="Z12" s="34" t="s">
        <v>17</v>
      </c>
      <c r="AA12" s="6">
        <v>25</v>
      </c>
      <c r="AB12" s="6">
        <v>26</v>
      </c>
      <c r="AC12" s="7">
        <v>27</v>
      </c>
      <c r="AD12" s="7">
        <v>28</v>
      </c>
      <c r="AE12" s="7">
        <v>29</v>
      </c>
      <c r="AF12" s="7" t="s">
        <v>9</v>
      </c>
      <c r="AG12" s="7">
        <v>31</v>
      </c>
      <c r="AH12" s="21"/>
    </row>
    <row r="13" spans="1:35" ht="22.5">
      <c r="A13" s="16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</row>
    <row r="14" spans="1:35">
      <c r="B14" s="5">
        <v>43862</v>
      </c>
      <c r="C14" s="893"/>
      <c r="D14" s="894"/>
      <c r="E14" s="894"/>
      <c r="F14" s="894"/>
      <c r="G14" s="894"/>
      <c r="H14" s="894"/>
      <c r="I14" s="894"/>
      <c r="J14" s="894"/>
      <c r="K14" s="894"/>
      <c r="L14" s="894"/>
      <c r="M14" s="894"/>
      <c r="N14" s="894"/>
      <c r="O14" s="894"/>
      <c r="P14" s="894"/>
      <c r="Q14" s="894"/>
      <c r="R14" s="894"/>
      <c r="S14" s="894"/>
      <c r="T14" s="894"/>
      <c r="U14" s="894"/>
      <c r="V14" s="894"/>
      <c r="W14" s="894"/>
      <c r="X14" s="894"/>
      <c r="Y14" s="894"/>
      <c r="Z14" s="894"/>
      <c r="AA14" s="894"/>
      <c r="AB14" s="894"/>
      <c r="AC14" s="894"/>
      <c r="AD14" s="894"/>
      <c r="AE14" s="894"/>
      <c r="AF14" s="894"/>
      <c r="AG14" s="894"/>
      <c r="AH14" s="894"/>
    </row>
    <row r="15" spans="1:35" s="4" customFormat="1" ht="20.100000000000001" customHeight="1">
      <c r="A15" s="2"/>
      <c r="B15" s="9"/>
      <c r="C15" s="10" t="s">
        <v>4</v>
      </c>
      <c r="D15" s="10" t="s">
        <v>5</v>
      </c>
      <c r="E15" s="10" t="s">
        <v>6</v>
      </c>
      <c r="F15" s="10" t="s">
        <v>7</v>
      </c>
      <c r="G15" s="10" t="s">
        <v>1</v>
      </c>
      <c r="H15" s="10" t="s">
        <v>2</v>
      </c>
      <c r="I15" s="10" t="s">
        <v>3</v>
      </c>
      <c r="J15" s="10" t="s">
        <v>4</v>
      </c>
      <c r="K15" s="10" t="s">
        <v>5</v>
      </c>
      <c r="L15" s="10" t="s">
        <v>6</v>
      </c>
      <c r="M15" s="10" t="s">
        <v>7</v>
      </c>
      <c r="N15" s="10" t="s">
        <v>1</v>
      </c>
      <c r="O15" s="10" t="s">
        <v>2</v>
      </c>
      <c r="P15" s="10" t="s">
        <v>3</v>
      </c>
      <c r="Q15" s="10" t="s">
        <v>4</v>
      </c>
      <c r="R15" s="10" t="s">
        <v>5</v>
      </c>
      <c r="S15" s="10" t="s">
        <v>6</v>
      </c>
      <c r="T15" s="10" t="s">
        <v>7</v>
      </c>
      <c r="U15" s="10" t="s">
        <v>1</v>
      </c>
      <c r="V15" s="10" t="s">
        <v>2</v>
      </c>
      <c r="W15" s="10" t="s">
        <v>3</v>
      </c>
      <c r="X15" s="10" t="s">
        <v>4</v>
      </c>
      <c r="Y15" s="11" t="s">
        <v>5</v>
      </c>
      <c r="Z15" s="10" t="s">
        <v>6</v>
      </c>
      <c r="AA15" s="10" t="s">
        <v>7</v>
      </c>
      <c r="AB15" s="10" t="s">
        <v>1</v>
      </c>
      <c r="AC15" s="10" t="s">
        <v>2</v>
      </c>
      <c r="AD15" s="10" t="s">
        <v>3</v>
      </c>
      <c r="AE15" s="10" t="s">
        <v>4</v>
      </c>
      <c r="AF15" s="16"/>
      <c r="AG15" s="16"/>
      <c r="AH15" s="14"/>
    </row>
    <row r="16" spans="1:35" s="16" customFormat="1" ht="17.100000000000001" customHeight="1">
      <c r="A16" s="4"/>
      <c r="B16" s="12" t="s">
        <v>22</v>
      </c>
      <c r="C16" s="6">
        <v>1</v>
      </c>
      <c r="D16" s="6">
        <v>2</v>
      </c>
      <c r="E16" s="7">
        <v>3</v>
      </c>
      <c r="F16" s="7">
        <v>4</v>
      </c>
      <c r="G16" s="7">
        <v>5</v>
      </c>
      <c r="H16" s="7">
        <v>6</v>
      </c>
      <c r="I16" s="7">
        <v>7</v>
      </c>
      <c r="J16" s="6">
        <v>8</v>
      </c>
      <c r="K16" s="6">
        <v>9</v>
      </c>
      <c r="L16" s="7" t="s">
        <v>9</v>
      </c>
      <c r="M16" s="7" t="s">
        <v>9</v>
      </c>
      <c r="N16" s="7">
        <v>12</v>
      </c>
      <c r="O16" s="7">
        <v>13</v>
      </c>
      <c r="P16" s="7">
        <v>14</v>
      </c>
      <c r="Q16" s="6">
        <v>15</v>
      </c>
      <c r="R16" s="6">
        <v>16</v>
      </c>
      <c r="S16" s="7">
        <v>17</v>
      </c>
      <c r="T16" s="7">
        <v>18</v>
      </c>
      <c r="U16" s="7">
        <v>19</v>
      </c>
      <c r="V16" s="7">
        <v>20</v>
      </c>
      <c r="W16" s="7">
        <v>21</v>
      </c>
      <c r="X16" s="6">
        <v>22</v>
      </c>
      <c r="Y16" s="6">
        <v>23</v>
      </c>
      <c r="Z16" s="7">
        <v>24</v>
      </c>
      <c r="AA16" s="7">
        <v>25</v>
      </c>
      <c r="AB16" s="7">
        <v>26</v>
      </c>
      <c r="AC16" s="7">
        <v>27</v>
      </c>
      <c r="AD16" s="7">
        <v>28</v>
      </c>
      <c r="AE16" s="6">
        <v>29</v>
      </c>
      <c r="AF16" s="21"/>
      <c r="AG16" s="21"/>
      <c r="AH16" s="21"/>
    </row>
    <row r="17" spans="1:35" s="16" customFormat="1" ht="17.100000000000001" customHeight="1">
      <c r="B17" s="15" t="s">
        <v>23</v>
      </c>
      <c r="C17" s="6">
        <v>1</v>
      </c>
      <c r="D17" s="6">
        <v>2</v>
      </c>
      <c r="E17" s="7" t="s">
        <v>9</v>
      </c>
      <c r="F17" s="7">
        <v>4</v>
      </c>
      <c r="G17" s="7">
        <v>5</v>
      </c>
      <c r="H17" s="7">
        <v>6</v>
      </c>
      <c r="I17" s="7">
        <v>7</v>
      </c>
      <c r="J17" s="6">
        <v>8</v>
      </c>
      <c r="K17" s="6">
        <v>9</v>
      </c>
      <c r="L17" s="7">
        <v>10</v>
      </c>
      <c r="M17" s="7">
        <v>11</v>
      </c>
      <c r="N17" s="7">
        <v>12</v>
      </c>
      <c r="O17" s="7">
        <v>13</v>
      </c>
      <c r="P17" s="7">
        <v>14</v>
      </c>
      <c r="Q17" s="6">
        <v>15</v>
      </c>
      <c r="R17" s="6">
        <v>16</v>
      </c>
      <c r="S17" s="7">
        <v>17</v>
      </c>
      <c r="T17" s="7" t="s">
        <v>9</v>
      </c>
      <c r="U17" s="7">
        <v>19</v>
      </c>
      <c r="V17" s="7">
        <v>20</v>
      </c>
      <c r="W17" s="7">
        <v>21</v>
      </c>
      <c r="X17" s="6">
        <v>22</v>
      </c>
      <c r="Y17" s="6">
        <v>23</v>
      </c>
      <c r="Z17" s="7">
        <v>24</v>
      </c>
      <c r="AA17" s="7">
        <v>25</v>
      </c>
      <c r="AB17" s="7">
        <v>26</v>
      </c>
      <c r="AC17" s="7">
        <v>27</v>
      </c>
      <c r="AD17" s="7">
        <v>28</v>
      </c>
      <c r="AE17" s="6">
        <v>29</v>
      </c>
      <c r="AF17" s="21"/>
      <c r="AG17" s="21"/>
      <c r="AH17" s="21"/>
      <c r="AI17" s="17"/>
    </row>
    <row r="18" spans="1:35" s="16" customFormat="1" ht="17.100000000000001" customHeight="1">
      <c r="B18" s="12" t="s">
        <v>24</v>
      </c>
      <c r="C18" s="6">
        <v>1</v>
      </c>
      <c r="D18" s="6">
        <v>2</v>
      </c>
      <c r="E18" s="7">
        <v>3</v>
      </c>
      <c r="F18" s="7">
        <v>4</v>
      </c>
      <c r="G18" s="7" t="s">
        <v>14</v>
      </c>
      <c r="H18" s="7" t="s">
        <v>14</v>
      </c>
      <c r="I18" s="7" t="s">
        <v>14</v>
      </c>
      <c r="J18" s="7" t="s">
        <v>14</v>
      </c>
      <c r="K18" s="7" t="s">
        <v>14</v>
      </c>
      <c r="L18" s="7" t="s">
        <v>14</v>
      </c>
      <c r="M18" s="7" t="s">
        <v>14</v>
      </c>
      <c r="N18" s="7">
        <v>12</v>
      </c>
      <c r="O18" s="7">
        <v>13</v>
      </c>
      <c r="P18" s="7">
        <v>14</v>
      </c>
      <c r="Q18" s="6">
        <v>15</v>
      </c>
      <c r="R18" s="6">
        <v>16</v>
      </c>
      <c r="S18" s="7">
        <v>17</v>
      </c>
      <c r="T18" s="7">
        <v>18</v>
      </c>
      <c r="U18" s="7">
        <v>19</v>
      </c>
      <c r="V18" s="7">
        <v>20</v>
      </c>
      <c r="W18" s="7">
        <v>21</v>
      </c>
      <c r="X18" s="6">
        <v>22</v>
      </c>
      <c r="Y18" s="6">
        <v>23</v>
      </c>
      <c r="Z18" s="7">
        <v>24</v>
      </c>
      <c r="AA18" s="7">
        <v>25</v>
      </c>
      <c r="AB18" s="7" t="s">
        <v>14</v>
      </c>
      <c r="AC18" s="7" t="s">
        <v>14</v>
      </c>
      <c r="AD18" s="7" t="s">
        <v>14</v>
      </c>
      <c r="AE18" s="7" t="s">
        <v>14</v>
      </c>
      <c r="AF18" s="21"/>
      <c r="AG18" s="21"/>
      <c r="AH18" s="21"/>
      <c r="AI18" s="17"/>
    </row>
    <row r="19" spans="1:35" s="16" customFormat="1" ht="17.100000000000001" customHeight="1">
      <c r="B19" s="15" t="s">
        <v>15</v>
      </c>
      <c r="C19" s="7" t="s">
        <v>14</v>
      </c>
      <c r="D19" s="7" t="s">
        <v>14</v>
      </c>
      <c r="E19" s="7" t="s">
        <v>14</v>
      </c>
      <c r="F19" s="7" t="s">
        <v>14</v>
      </c>
      <c r="G19" s="7">
        <v>5</v>
      </c>
      <c r="H19" s="7">
        <v>6</v>
      </c>
      <c r="I19" s="7">
        <v>7</v>
      </c>
      <c r="J19" s="6">
        <v>8</v>
      </c>
      <c r="K19" s="6">
        <v>9</v>
      </c>
      <c r="L19" s="7">
        <v>10</v>
      </c>
      <c r="M19" s="7">
        <v>11</v>
      </c>
      <c r="N19" s="7">
        <v>12</v>
      </c>
      <c r="O19" s="7">
        <v>13</v>
      </c>
      <c r="P19" s="7">
        <v>14</v>
      </c>
      <c r="Q19" s="6">
        <v>15</v>
      </c>
      <c r="R19" s="6">
        <v>16</v>
      </c>
      <c r="S19" s="7">
        <v>17</v>
      </c>
      <c r="T19" s="7">
        <v>18</v>
      </c>
      <c r="U19" s="7" t="s">
        <v>14</v>
      </c>
      <c r="V19" s="7" t="s">
        <v>14</v>
      </c>
      <c r="W19" s="7" t="s">
        <v>14</v>
      </c>
      <c r="X19" s="7" t="s">
        <v>14</v>
      </c>
      <c r="Y19" s="7" t="s">
        <v>14</v>
      </c>
      <c r="Z19" s="7" t="s">
        <v>14</v>
      </c>
      <c r="AA19" s="7" t="s">
        <v>14</v>
      </c>
      <c r="AB19" s="7">
        <v>26</v>
      </c>
      <c r="AC19" s="7">
        <v>27</v>
      </c>
      <c r="AD19" s="7">
        <v>28</v>
      </c>
      <c r="AE19" s="6">
        <v>29</v>
      </c>
      <c r="AF19" s="21"/>
      <c r="AG19" s="21"/>
      <c r="AH19" s="21"/>
      <c r="AI19" s="17"/>
    </row>
    <row r="20" spans="1:35" s="16" customFormat="1" ht="17.100000000000001" customHeight="1">
      <c r="B20" s="12" t="s">
        <v>16</v>
      </c>
      <c r="C20" s="6">
        <v>1</v>
      </c>
      <c r="D20" s="6">
        <v>2</v>
      </c>
      <c r="E20" s="7">
        <v>3</v>
      </c>
      <c r="F20" s="7">
        <v>4</v>
      </c>
      <c r="G20" s="7">
        <v>5</v>
      </c>
      <c r="H20" s="7">
        <v>6</v>
      </c>
      <c r="I20" s="7">
        <v>7</v>
      </c>
      <c r="J20" s="6">
        <v>8</v>
      </c>
      <c r="K20" s="6">
        <v>9</v>
      </c>
      <c r="L20" s="7">
        <v>10</v>
      </c>
      <c r="M20" s="7">
        <v>11</v>
      </c>
      <c r="N20" s="7">
        <v>12</v>
      </c>
      <c r="O20" s="7">
        <v>13</v>
      </c>
      <c r="P20" s="34" t="s">
        <v>17</v>
      </c>
      <c r="Q20" s="6">
        <v>15</v>
      </c>
      <c r="R20" s="6">
        <v>16</v>
      </c>
      <c r="S20" s="7">
        <v>17</v>
      </c>
      <c r="T20" s="7">
        <v>18</v>
      </c>
      <c r="U20" s="7">
        <v>19</v>
      </c>
      <c r="V20" s="7">
        <v>20</v>
      </c>
      <c r="W20" s="7">
        <v>21</v>
      </c>
      <c r="X20" s="6">
        <v>22</v>
      </c>
      <c r="Y20" s="6">
        <v>23</v>
      </c>
      <c r="Z20" s="7">
        <v>24</v>
      </c>
      <c r="AA20" s="7">
        <v>25</v>
      </c>
      <c r="AB20" s="7">
        <v>26</v>
      </c>
      <c r="AC20" s="7">
        <v>27</v>
      </c>
      <c r="AD20" s="34" t="s">
        <v>17</v>
      </c>
      <c r="AE20" s="6">
        <v>29</v>
      </c>
      <c r="AF20" s="21"/>
      <c r="AG20" s="21"/>
      <c r="AH20" s="21"/>
      <c r="AI20" s="17"/>
    </row>
    <row r="21" spans="1:35" s="16" customFormat="1" ht="17.100000000000001" customHeight="1">
      <c r="B21" s="15" t="s">
        <v>18</v>
      </c>
      <c r="C21" s="6">
        <v>1</v>
      </c>
      <c r="D21" s="6">
        <v>2</v>
      </c>
      <c r="E21" s="7">
        <v>3</v>
      </c>
      <c r="F21" s="7">
        <v>4</v>
      </c>
      <c r="G21" s="7">
        <v>5</v>
      </c>
      <c r="H21" s="7">
        <v>6</v>
      </c>
      <c r="I21" s="7" t="s">
        <v>9</v>
      </c>
      <c r="J21" s="6">
        <v>8</v>
      </c>
      <c r="K21" s="6">
        <v>9</v>
      </c>
      <c r="L21" s="7">
        <v>10</v>
      </c>
      <c r="M21" s="7">
        <v>11</v>
      </c>
      <c r="N21" s="7">
        <v>12</v>
      </c>
      <c r="O21" s="7">
        <v>13</v>
      </c>
      <c r="P21" s="7">
        <v>14</v>
      </c>
      <c r="Q21" s="6">
        <v>15</v>
      </c>
      <c r="R21" s="6">
        <v>16</v>
      </c>
      <c r="S21" s="7">
        <v>17</v>
      </c>
      <c r="T21" s="7">
        <v>18</v>
      </c>
      <c r="U21" s="7">
        <v>19</v>
      </c>
      <c r="V21" s="7">
        <v>20</v>
      </c>
      <c r="W21" s="7">
        <v>21</v>
      </c>
      <c r="X21" s="6">
        <v>22</v>
      </c>
      <c r="Y21" s="6">
        <v>23</v>
      </c>
      <c r="Z21" s="7">
        <v>24</v>
      </c>
      <c r="AA21" s="7">
        <v>25</v>
      </c>
      <c r="AB21" s="7">
        <v>26</v>
      </c>
      <c r="AC21" s="7">
        <v>27</v>
      </c>
      <c r="AD21" s="7">
        <v>28</v>
      </c>
      <c r="AE21" s="6">
        <v>29</v>
      </c>
      <c r="AF21" s="21"/>
      <c r="AG21" s="21"/>
      <c r="AH21" s="21"/>
      <c r="AI21" s="17"/>
    </row>
    <row r="22" spans="1:35" s="16" customFormat="1" ht="17.100000000000001" customHeight="1">
      <c r="B22" s="12" t="s">
        <v>19</v>
      </c>
      <c r="C22" s="6">
        <v>1</v>
      </c>
      <c r="D22" s="6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6">
        <v>8</v>
      </c>
      <c r="K22" s="6">
        <v>9</v>
      </c>
      <c r="L22" s="7">
        <v>10</v>
      </c>
      <c r="M22" s="7">
        <v>11</v>
      </c>
      <c r="N22" s="7">
        <v>12</v>
      </c>
      <c r="O22" s="7">
        <v>13</v>
      </c>
      <c r="P22" s="7">
        <v>14</v>
      </c>
      <c r="Q22" s="6">
        <v>15</v>
      </c>
      <c r="R22" s="6">
        <v>16</v>
      </c>
      <c r="S22" s="7">
        <v>17</v>
      </c>
      <c r="T22" s="7">
        <v>18</v>
      </c>
      <c r="U22" s="7">
        <v>19</v>
      </c>
      <c r="V22" s="7">
        <v>20</v>
      </c>
      <c r="W22" s="7">
        <v>21</v>
      </c>
      <c r="X22" s="6">
        <v>22</v>
      </c>
      <c r="Y22" s="6">
        <v>23</v>
      </c>
      <c r="Z22" s="7">
        <v>24</v>
      </c>
      <c r="AA22" s="7">
        <v>25</v>
      </c>
      <c r="AB22" s="7">
        <v>26</v>
      </c>
      <c r="AC22" s="7">
        <v>27</v>
      </c>
      <c r="AD22" s="7">
        <v>28</v>
      </c>
      <c r="AE22" s="6">
        <v>29</v>
      </c>
      <c r="AF22" s="21"/>
      <c r="AG22" s="21"/>
      <c r="AH22" s="21"/>
      <c r="AI22" s="17"/>
    </row>
    <row r="23" spans="1:35" s="16" customFormat="1" ht="17.100000000000001" customHeight="1">
      <c r="B23" s="15" t="s">
        <v>20</v>
      </c>
      <c r="C23" s="6">
        <v>1</v>
      </c>
      <c r="D23" s="6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6">
        <v>8</v>
      </c>
      <c r="K23" s="6">
        <v>9</v>
      </c>
      <c r="L23" s="7">
        <v>10</v>
      </c>
      <c r="M23" s="7">
        <v>11</v>
      </c>
      <c r="N23" s="7" t="s">
        <v>14</v>
      </c>
      <c r="O23" s="7" t="s">
        <v>14</v>
      </c>
      <c r="P23" s="7" t="s">
        <v>14</v>
      </c>
      <c r="Q23" s="7" t="s">
        <v>14</v>
      </c>
      <c r="R23" s="7" t="s">
        <v>14</v>
      </c>
      <c r="S23" s="7" t="s">
        <v>14</v>
      </c>
      <c r="T23" s="7" t="s">
        <v>14</v>
      </c>
      <c r="U23" s="7">
        <v>19</v>
      </c>
      <c r="V23" s="7">
        <v>20</v>
      </c>
      <c r="W23" s="7">
        <v>21</v>
      </c>
      <c r="X23" s="6">
        <v>22</v>
      </c>
      <c r="Y23" s="6">
        <v>23</v>
      </c>
      <c r="Z23" s="7">
        <v>24</v>
      </c>
      <c r="AA23" s="7">
        <v>25</v>
      </c>
      <c r="AB23" s="7">
        <v>26</v>
      </c>
      <c r="AC23" s="7">
        <v>27</v>
      </c>
      <c r="AD23" s="7">
        <v>28</v>
      </c>
      <c r="AE23" s="6">
        <v>29</v>
      </c>
      <c r="AF23" s="21"/>
      <c r="AG23" s="21"/>
      <c r="AH23" s="21"/>
      <c r="AI23" s="17"/>
    </row>
    <row r="24" spans="1:35" s="16" customFormat="1" ht="17.100000000000001" customHeight="1">
      <c r="B24" s="12" t="s">
        <v>21</v>
      </c>
      <c r="C24" s="6">
        <v>1</v>
      </c>
      <c r="D24" s="6">
        <v>2</v>
      </c>
      <c r="E24" s="7">
        <v>3</v>
      </c>
      <c r="F24" s="7">
        <v>4</v>
      </c>
      <c r="G24" s="7">
        <v>5</v>
      </c>
      <c r="H24" s="7">
        <v>6</v>
      </c>
      <c r="I24" s="34" t="s">
        <v>17</v>
      </c>
      <c r="J24" s="6">
        <v>8</v>
      </c>
      <c r="K24" s="6">
        <v>9</v>
      </c>
      <c r="L24" s="7">
        <v>10</v>
      </c>
      <c r="M24" s="7">
        <v>11</v>
      </c>
      <c r="N24" s="7">
        <v>12</v>
      </c>
      <c r="O24" s="7">
        <v>13</v>
      </c>
      <c r="P24" s="7">
        <v>14</v>
      </c>
      <c r="Q24" s="6">
        <v>15</v>
      </c>
      <c r="R24" s="6">
        <v>16</v>
      </c>
      <c r="S24" s="7">
        <v>17</v>
      </c>
      <c r="T24" s="7">
        <v>18</v>
      </c>
      <c r="U24" s="7">
        <v>19</v>
      </c>
      <c r="V24" s="7">
        <v>20</v>
      </c>
      <c r="W24" s="34" t="s">
        <v>17</v>
      </c>
      <c r="X24" s="6">
        <v>22</v>
      </c>
      <c r="Y24" s="6">
        <v>23</v>
      </c>
      <c r="Z24" s="7">
        <v>24</v>
      </c>
      <c r="AA24" s="7">
        <v>25</v>
      </c>
      <c r="AB24" s="7">
        <v>26</v>
      </c>
      <c r="AC24" s="7">
        <v>27</v>
      </c>
      <c r="AD24" s="7">
        <v>28</v>
      </c>
      <c r="AE24" s="6">
        <v>29</v>
      </c>
      <c r="AF24" s="21"/>
      <c r="AG24" s="21"/>
      <c r="AH24" s="21"/>
      <c r="AI24" s="17"/>
    </row>
    <row r="25" spans="1:35" s="16" customFormat="1" ht="17.100000000000001" customHeight="1">
      <c r="B25" s="19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20"/>
      <c r="AI25" s="17"/>
    </row>
    <row r="26" spans="1:35">
      <c r="A26" s="16"/>
      <c r="B26" s="5">
        <v>43891</v>
      </c>
      <c r="C26" s="893"/>
      <c r="D26" s="894"/>
      <c r="E26" s="894"/>
      <c r="F26" s="894"/>
      <c r="G26" s="894"/>
      <c r="H26" s="894"/>
      <c r="I26" s="894"/>
      <c r="J26" s="894"/>
      <c r="K26" s="894"/>
      <c r="L26" s="894"/>
      <c r="M26" s="894"/>
      <c r="N26" s="894"/>
      <c r="O26" s="894"/>
      <c r="P26" s="894"/>
      <c r="Q26" s="894"/>
      <c r="R26" s="894"/>
      <c r="S26" s="894"/>
      <c r="T26" s="894"/>
      <c r="U26" s="894"/>
      <c r="V26" s="894"/>
      <c r="W26" s="894"/>
      <c r="X26" s="894"/>
      <c r="Y26" s="894"/>
      <c r="Z26" s="894"/>
      <c r="AA26" s="894"/>
      <c r="AB26" s="894"/>
      <c r="AC26" s="894"/>
      <c r="AD26" s="894"/>
      <c r="AE26" s="894"/>
      <c r="AF26" s="894"/>
      <c r="AG26" s="894"/>
      <c r="AH26" s="894"/>
    </row>
    <row r="27" spans="1:35" s="4" customFormat="1" ht="20.100000000000001" customHeight="1">
      <c r="A27" s="2"/>
      <c r="B27" s="9"/>
      <c r="C27" s="10" t="s">
        <v>5</v>
      </c>
      <c r="D27" s="10" t="s">
        <v>6</v>
      </c>
      <c r="E27" s="10" t="s">
        <v>7</v>
      </c>
      <c r="F27" s="10" t="s">
        <v>1</v>
      </c>
      <c r="G27" s="10" t="s">
        <v>2</v>
      </c>
      <c r="H27" s="10" t="s">
        <v>3</v>
      </c>
      <c r="I27" s="10" t="s">
        <v>4</v>
      </c>
      <c r="J27" s="10" t="s">
        <v>5</v>
      </c>
      <c r="K27" s="18" t="s">
        <v>6</v>
      </c>
      <c r="L27" s="18" t="s">
        <v>7</v>
      </c>
      <c r="M27" s="18" t="s">
        <v>1</v>
      </c>
      <c r="N27" s="18" t="s">
        <v>2</v>
      </c>
      <c r="O27" s="18" t="s">
        <v>3</v>
      </c>
      <c r="P27" s="18" t="s">
        <v>4</v>
      </c>
      <c r="Q27" s="18" t="s">
        <v>5</v>
      </c>
      <c r="R27" s="18" t="s">
        <v>6</v>
      </c>
      <c r="S27" s="18" t="s">
        <v>7</v>
      </c>
      <c r="T27" s="18" t="s">
        <v>1</v>
      </c>
      <c r="U27" s="18" t="s">
        <v>2</v>
      </c>
      <c r="V27" s="18" t="s">
        <v>3</v>
      </c>
      <c r="W27" s="10" t="s">
        <v>4</v>
      </c>
      <c r="X27" s="11" t="s">
        <v>5</v>
      </c>
      <c r="Y27" s="10" t="s">
        <v>6</v>
      </c>
      <c r="Z27" s="10" t="s">
        <v>7</v>
      </c>
      <c r="AA27" s="10" t="s">
        <v>1</v>
      </c>
      <c r="AB27" s="10" t="s">
        <v>2</v>
      </c>
      <c r="AC27" s="13" t="s">
        <v>3</v>
      </c>
      <c r="AD27" s="10" t="s">
        <v>4</v>
      </c>
      <c r="AE27" s="11" t="s">
        <v>5</v>
      </c>
      <c r="AF27" s="10" t="s">
        <v>6</v>
      </c>
      <c r="AG27" s="10" t="s">
        <v>7</v>
      </c>
      <c r="AH27" s="16"/>
    </row>
    <row r="28" spans="1:35" s="16" customFormat="1" ht="17.100000000000001" customHeight="1">
      <c r="A28" s="4"/>
      <c r="B28" s="12" t="s">
        <v>22</v>
      </c>
      <c r="C28" s="6">
        <v>1</v>
      </c>
      <c r="D28" s="7">
        <v>2</v>
      </c>
      <c r="E28" s="7">
        <v>3</v>
      </c>
      <c r="F28" s="7">
        <v>4</v>
      </c>
      <c r="G28" s="7">
        <v>5</v>
      </c>
      <c r="H28" s="7">
        <v>6</v>
      </c>
      <c r="I28" s="6">
        <v>7</v>
      </c>
      <c r="J28" s="6">
        <v>8</v>
      </c>
      <c r="K28" s="7">
        <v>9</v>
      </c>
      <c r="L28" s="7">
        <v>10</v>
      </c>
      <c r="M28" s="7">
        <v>11</v>
      </c>
      <c r="N28" s="7">
        <v>12</v>
      </c>
      <c r="O28" s="7">
        <v>13</v>
      </c>
      <c r="P28" s="6">
        <v>14</v>
      </c>
      <c r="Q28" s="6">
        <v>15</v>
      </c>
      <c r="R28" s="7">
        <v>16</v>
      </c>
      <c r="S28" s="7">
        <v>17</v>
      </c>
      <c r="T28" s="7">
        <v>18</v>
      </c>
      <c r="U28" s="25">
        <v>19</v>
      </c>
      <c r="V28" s="7">
        <v>20</v>
      </c>
      <c r="W28" s="6">
        <v>21</v>
      </c>
      <c r="X28" s="6">
        <v>22</v>
      </c>
      <c r="Y28" s="7">
        <v>23</v>
      </c>
      <c r="Z28" s="7">
        <v>24</v>
      </c>
      <c r="AA28" s="7">
        <v>25</v>
      </c>
      <c r="AB28" s="7">
        <v>26</v>
      </c>
      <c r="AC28" s="7">
        <v>27</v>
      </c>
      <c r="AD28" s="6">
        <v>28</v>
      </c>
      <c r="AE28" s="6">
        <v>29</v>
      </c>
      <c r="AF28" s="7">
        <v>30</v>
      </c>
      <c r="AG28" s="7">
        <v>31</v>
      </c>
      <c r="AH28" s="21"/>
    </row>
    <row r="29" spans="1:35" s="16" customFormat="1" ht="17.100000000000001" customHeight="1">
      <c r="B29" s="15" t="s">
        <v>23</v>
      </c>
      <c r="C29" s="6">
        <v>1</v>
      </c>
      <c r="D29" s="7">
        <v>2</v>
      </c>
      <c r="E29" s="7">
        <v>3</v>
      </c>
      <c r="F29" s="7">
        <v>4</v>
      </c>
      <c r="G29" s="7">
        <v>5</v>
      </c>
      <c r="H29" s="7">
        <v>6</v>
      </c>
      <c r="I29" s="6">
        <v>7</v>
      </c>
      <c r="J29" s="6">
        <v>8</v>
      </c>
      <c r="K29" s="7">
        <v>9</v>
      </c>
      <c r="L29" s="7">
        <v>10</v>
      </c>
      <c r="M29" s="7">
        <v>11</v>
      </c>
      <c r="N29" s="7">
        <v>12</v>
      </c>
      <c r="O29" s="7">
        <v>13</v>
      </c>
      <c r="P29" s="6">
        <v>14</v>
      </c>
      <c r="Q29" s="6">
        <v>15</v>
      </c>
      <c r="R29" s="7">
        <v>16</v>
      </c>
      <c r="S29" s="7">
        <v>17</v>
      </c>
      <c r="T29" s="7">
        <v>18</v>
      </c>
      <c r="U29" s="25">
        <v>19</v>
      </c>
      <c r="V29" s="7">
        <v>20</v>
      </c>
      <c r="W29" s="6">
        <v>21</v>
      </c>
      <c r="X29" s="6">
        <v>22</v>
      </c>
      <c r="Y29" s="7">
        <v>23</v>
      </c>
      <c r="Z29" s="7">
        <v>24</v>
      </c>
      <c r="AA29" s="7">
        <v>25</v>
      </c>
      <c r="AB29" s="7">
        <v>26</v>
      </c>
      <c r="AC29" s="7">
        <v>27</v>
      </c>
      <c r="AD29" s="6">
        <v>28</v>
      </c>
      <c r="AE29" s="6">
        <v>29</v>
      </c>
      <c r="AF29" s="7">
        <v>30</v>
      </c>
      <c r="AG29" s="7">
        <v>31</v>
      </c>
      <c r="AH29" s="21"/>
      <c r="AI29" s="17"/>
    </row>
    <row r="30" spans="1:35" s="16" customFormat="1" ht="17.100000000000001" customHeight="1">
      <c r="B30" s="12" t="s">
        <v>24</v>
      </c>
      <c r="C30" s="7" t="s">
        <v>14</v>
      </c>
      <c r="D30" s="7" t="s">
        <v>14</v>
      </c>
      <c r="E30" s="7" t="s">
        <v>14</v>
      </c>
      <c r="F30" s="7">
        <v>4</v>
      </c>
      <c r="G30" s="7">
        <v>5</v>
      </c>
      <c r="H30" s="7">
        <v>6</v>
      </c>
      <c r="I30" s="6">
        <v>7</v>
      </c>
      <c r="J30" s="6">
        <v>8</v>
      </c>
      <c r="K30" s="7">
        <v>9</v>
      </c>
      <c r="L30" s="7">
        <v>10</v>
      </c>
      <c r="M30" s="7">
        <v>11</v>
      </c>
      <c r="N30" s="7">
        <v>12</v>
      </c>
      <c r="O30" s="7">
        <v>13</v>
      </c>
      <c r="P30" s="6">
        <v>14</v>
      </c>
      <c r="Q30" s="6">
        <v>15</v>
      </c>
      <c r="R30" s="7">
        <v>16</v>
      </c>
      <c r="S30" s="7">
        <v>17</v>
      </c>
      <c r="T30" s="7" t="s">
        <v>14</v>
      </c>
      <c r="U30" s="7" t="s">
        <v>14</v>
      </c>
      <c r="V30" s="7" t="s">
        <v>14</v>
      </c>
      <c r="W30" s="7" t="s">
        <v>14</v>
      </c>
      <c r="X30" s="7" t="s">
        <v>14</v>
      </c>
      <c r="Y30" s="7" t="s">
        <v>14</v>
      </c>
      <c r="Z30" s="7" t="s">
        <v>14</v>
      </c>
      <c r="AA30" s="7">
        <v>25</v>
      </c>
      <c r="AB30" s="7">
        <v>26</v>
      </c>
      <c r="AC30" s="7">
        <v>27</v>
      </c>
      <c r="AD30" s="6">
        <v>28</v>
      </c>
      <c r="AE30" s="6">
        <v>29</v>
      </c>
      <c r="AF30" s="7">
        <v>30</v>
      </c>
      <c r="AG30" s="7">
        <v>31</v>
      </c>
      <c r="AH30" s="21"/>
      <c r="AI30" s="17"/>
    </row>
    <row r="31" spans="1:35" s="16" customFormat="1" ht="17.100000000000001" customHeight="1">
      <c r="B31" s="15" t="s">
        <v>15</v>
      </c>
      <c r="C31" s="6">
        <v>1</v>
      </c>
      <c r="D31" s="7">
        <v>2</v>
      </c>
      <c r="E31" s="7">
        <v>3</v>
      </c>
      <c r="F31" s="7">
        <v>4</v>
      </c>
      <c r="G31" s="7">
        <v>5</v>
      </c>
      <c r="H31" s="7">
        <v>6</v>
      </c>
      <c r="I31" s="6">
        <v>7</v>
      </c>
      <c r="J31" s="6">
        <v>8</v>
      </c>
      <c r="K31" s="7">
        <v>9</v>
      </c>
      <c r="L31" s="7">
        <v>10</v>
      </c>
      <c r="M31" s="7" t="s">
        <v>14</v>
      </c>
      <c r="N31" s="7" t="s">
        <v>14</v>
      </c>
      <c r="O31" s="7" t="s">
        <v>14</v>
      </c>
      <c r="P31" s="7" t="s">
        <v>14</v>
      </c>
      <c r="Q31" s="7" t="s">
        <v>14</v>
      </c>
      <c r="R31" s="7" t="s">
        <v>14</v>
      </c>
      <c r="S31" s="7" t="s">
        <v>14</v>
      </c>
      <c r="T31" s="7">
        <v>18</v>
      </c>
      <c r="U31" s="25">
        <v>19</v>
      </c>
      <c r="V31" s="7">
        <v>20</v>
      </c>
      <c r="W31" s="6">
        <v>21</v>
      </c>
      <c r="X31" s="6">
        <v>22</v>
      </c>
      <c r="Y31" s="7">
        <v>23</v>
      </c>
      <c r="Z31" s="7">
        <v>24</v>
      </c>
      <c r="AA31" s="7">
        <v>25</v>
      </c>
      <c r="AB31" s="7">
        <v>26</v>
      </c>
      <c r="AC31" s="7">
        <v>27</v>
      </c>
      <c r="AD31" s="6">
        <v>28</v>
      </c>
      <c r="AE31" s="6">
        <v>29</v>
      </c>
      <c r="AF31" s="7">
        <v>30</v>
      </c>
      <c r="AG31" s="7">
        <v>31</v>
      </c>
      <c r="AH31" s="21"/>
      <c r="AI31" s="17"/>
    </row>
    <row r="32" spans="1:35" s="16" customFormat="1" ht="17.100000000000001" customHeight="1">
      <c r="B32" s="12" t="s">
        <v>16</v>
      </c>
      <c r="C32" s="6">
        <v>1</v>
      </c>
      <c r="D32" s="7">
        <v>2</v>
      </c>
      <c r="E32" s="7">
        <v>3</v>
      </c>
      <c r="F32" s="7">
        <v>4</v>
      </c>
      <c r="G32" s="7">
        <v>5</v>
      </c>
      <c r="H32" s="7">
        <v>6</v>
      </c>
      <c r="I32" s="6">
        <v>7</v>
      </c>
      <c r="J32" s="6">
        <v>8</v>
      </c>
      <c r="K32" s="7">
        <v>9</v>
      </c>
      <c r="L32" s="7">
        <v>10</v>
      </c>
      <c r="M32" s="7">
        <v>11</v>
      </c>
      <c r="N32" s="7">
        <v>12</v>
      </c>
      <c r="O32" s="34" t="s">
        <v>17</v>
      </c>
      <c r="P32" s="6">
        <v>14</v>
      </c>
      <c r="Q32" s="6">
        <v>15</v>
      </c>
      <c r="R32" s="7">
        <v>16</v>
      </c>
      <c r="S32" s="7">
        <v>17</v>
      </c>
      <c r="T32" s="7">
        <v>18</v>
      </c>
      <c r="U32" s="25">
        <v>19</v>
      </c>
      <c r="V32" s="7">
        <v>20</v>
      </c>
      <c r="W32" s="6">
        <v>21</v>
      </c>
      <c r="X32" s="6">
        <v>22</v>
      </c>
      <c r="Y32" s="7">
        <v>23</v>
      </c>
      <c r="Z32" s="7">
        <v>24</v>
      </c>
      <c r="AA32" s="7">
        <v>25</v>
      </c>
      <c r="AB32" s="7">
        <v>26</v>
      </c>
      <c r="AC32" s="34" t="s">
        <v>17</v>
      </c>
      <c r="AD32" s="6">
        <v>28</v>
      </c>
      <c r="AE32" s="6">
        <v>29</v>
      </c>
      <c r="AF32" s="7">
        <v>30</v>
      </c>
      <c r="AG32" s="7">
        <v>31</v>
      </c>
      <c r="AH32" s="21"/>
      <c r="AI32" s="26"/>
    </row>
    <row r="33" spans="1:37" s="16" customFormat="1" ht="17.100000000000001" customHeight="1">
      <c r="B33" s="15" t="s">
        <v>18</v>
      </c>
      <c r="C33" s="6">
        <v>1</v>
      </c>
      <c r="D33" s="7">
        <v>2</v>
      </c>
      <c r="E33" s="7">
        <v>3</v>
      </c>
      <c r="F33" s="7">
        <v>4</v>
      </c>
      <c r="G33" s="7">
        <v>5</v>
      </c>
      <c r="H33" s="7">
        <v>6</v>
      </c>
      <c r="I33" s="6">
        <v>7</v>
      </c>
      <c r="J33" s="6">
        <v>8</v>
      </c>
      <c r="K33" s="7">
        <v>9</v>
      </c>
      <c r="L33" s="7">
        <v>10</v>
      </c>
      <c r="M33" s="7">
        <v>11</v>
      </c>
      <c r="N33" s="7">
        <v>12</v>
      </c>
      <c r="O33" s="7">
        <v>13</v>
      </c>
      <c r="P33" s="6">
        <v>14</v>
      </c>
      <c r="Q33" s="6">
        <v>15</v>
      </c>
      <c r="R33" s="7">
        <v>16</v>
      </c>
      <c r="S33" s="7">
        <v>17</v>
      </c>
      <c r="T33" s="7">
        <v>18</v>
      </c>
      <c r="U33" s="25">
        <v>19</v>
      </c>
      <c r="V33" s="7">
        <v>20</v>
      </c>
      <c r="W33" s="6">
        <v>21</v>
      </c>
      <c r="X33" s="6">
        <v>22</v>
      </c>
      <c r="Y33" s="7">
        <v>23</v>
      </c>
      <c r="Z33" s="7">
        <v>24</v>
      </c>
      <c r="AA33" s="7">
        <v>25</v>
      </c>
      <c r="AB33" s="7">
        <v>26</v>
      </c>
      <c r="AC33" s="7">
        <v>27</v>
      </c>
      <c r="AD33" s="6">
        <v>28</v>
      </c>
      <c r="AE33" s="6">
        <v>29</v>
      </c>
      <c r="AF33" s="7">
        <v>30</v>
      </c>
      <c r="AG33" s="7">
        <v>31</v>
      </c>
      <c r="AH33" s="21"/>
      <c r="AI33" s="17"/>
    </row>
    <row r="34" spans="1:37" s="16" customFormat="1" ht="17.100000000000001" customHeight="1">
      <c r="B34" s="12" t="s">
        <v>19</v>
      </c>
      <c r="C34" s="6">
        <v>1</v>
      </c>
      <c r="D34" s="7">
        <v>2</v>
      </c>
      <c r="E34" s="7">
        <v>3</v>
      </c>
      <c r="F34" s="7">
        <v>4</v>
      </c>
      <c r="G34" s="7">
        <v>5</v>
      </c>
      <c r="H34" s="7">
        <v>6</v>
      </c>
      <c r="I34" s="6">
        <v>7</v>
      </c>
      <c r="J34" s="6">
        <v>8</v>
      </c>
      <c r="K34" s="7">
        <v>9</v>
      </c>
      <c r="L34" s="7">
        <v>10</v>
      </c>
      <c r="M34" s="7">
        <v>11</v>
      </c>
      <c r="N34" s="7">
        <v>12</v>
      </c>
      <c r="O34" s="7">
        <v>13</v>
      </c>
      <c r="P34" s="6">
        <v>14</v>
      </c>
      <c r="Q34" s="6">
        <v>15</v>
      </c>
      <c r="R34" s="7">
        <v>16</v>
      </c>
      <c r="S34" s="7">
        <v>17</v>
      </c>
      <c r="T34" s="7">
        <v>18</v>
      </c>
      <c r="U34" s="25">
        <v>19</v>
      </c>
      <c r="V34" s="7">
        <v>20</v>
      </c>
      <c r="W34" s="6">
        <v>21</v>
      </c>
      <c r="X34" s="6">
        <v>22</v>
      </c>
      <c r="Y34" s="7">
        <v>23</v>
      </c>
      <c r="Z34" s="7">
        <v>24</v>
      </c>
      <c r="AA34" s="7">
        <v>25</v>
      </c>
      <c r="AB34" s="7">
        <v>26</v>
      </c>
      <c r="AC34" s="7">
        <v>27</v>
      </c>
      <c r="AD34" s="6">
        <v>28</v>
      </c>
      <c r="AE34" s="6">
        <v>29</v>
      </c>
      <c r="AF34" s="7">
        <v>30</v>
      </c>
      <c r="AG34" s="7">
        <v>31</v>
      </c>
      <c r="AH34" s="21"/>
      <c r="AI34" s="17"/>
    </row>
    <row r="35" spans="1:37" s="16" customFormat="1" ht="17.100000000000001" customHeight="1">
      <c r="B35" s="15" t="s">
        <v>20</v>
      </c>
      <c r="C35" s="6">
        <v>1</v>
      </c>
      <c r="D35" s="7">
        <v>2</v>
      </c>
      <c r="E35" s="7">
        <v>3</v>
      </c>
      <c r="F35" s="7" t="s">
        <v>14</v>
      </c>
      <c r="G35" s="7" t="s">
        <v>14</v>
      </c>
      <c r="H35" s="7" t="s">
        <v>14</v>
      </c>
      <c r="I35" s="7" t="s">
        <v>14</v>
      </c>
      <c r="J35" s="7" t="s">
        <v>14</v>
      </c>
      <c r="K35" s="7" t="s">
        <v>14</v>
      </c>
      <c r="L35" s="7" t="s">
        <v>14</v>
      </c>
      <c r="M35" s="7">
        <v>11</v>
      </c>
      <c r="N35" s="7">
        <v>12</v>
      </c>
      <c r="O35" s="7">
        <v>13</v>
      </c>
      <c r="P35" s="6">
        <v>14</v>
      </c>
      <c r="Q35" s="6">
        <v>15</v>
      </c>
      <c r="R35" s="7">
        <v>16</v>
      </c>
      <c r="S35" s="7">
        <v>17</v>
      </c>
      <c r="T35" s="7">
        <v>18</v>
      </c>
      <c r="U35" s="25">
        <v>19</v>
      </c>
      <c r="V35" s="7">
        <v>20</v>
      </c>
      <c r="W35" s="6">
        <v>21</v>
      </c>
      <c r="X35" s="6">
        <v>22</v>
      </c>
      <c r="Y35" s="7">
        <v>23</v>
      </c>
      <c r="Z35" s="7">
        <v>24</v>
      </c>
      <c r="AA35" s="7" t="s">
        <v>14</v>
      </c>
      <c r="AB35" s="7" t="s">
        <v>14</v>
      </c>
      <c r="AC35" s="7" t="s">
        <v>14</v>
      </c>
      <c r="AD35" s="7" t="s">
        <v>14</v>
      </c>
      <c r="AE35" s="7" t="s">
        <v>14</v>
      </c>
      <c r="AF35" s="7" t="s">
        <v>14</v>
      </c>
      <c r="AG35" s="7" t="s">
        <v>14</v>
      </c>
      <c r="AH35" s="21"/>
      <c r="AI35" s="17"/>
    </row>
    <row r="36" spans="1:37" s="16" customFormat="1" ht="17.100000000000001" customHeight="1">
      <c r="B36" s="12" t="s">
        <v>21</v>
      </c>
      <c r="C36" s="6">
        <v>1</v>
      </c>
      <c r="D36" s="7">
        <v>2</v>
      </c>
      <c r="E36" s="7">
        <v>3</v>
      </c>
      <c r="F36" s="7">
        <v>4</v>
      </c>
      <c r="G36" s="7">
        <v>5</v>
      </c>
      <c r="H36" s="34" t="s">
        <v>17</v>
      </c>
      <c r="I36" s="6">
        <v>7</v>
      </c>
      <c r="J36" s="6">
        <v>8</v>
      </c>
      <c r="K36" s="7">
        <v>9</v>
      </c>
      <c r="L36" s="7">
        <v>10</v>
      </c>
      <c r="M36" s="7">
        <v>11</v>
      </c>
      <c r="N36" s="7">
        <v>12</v>
      </c>
      <c r="O36" s="7">
        <v>13</v>
      </c>
      <c r="P36" s="6">
        <v>14</v>
      </c>
      <c r="Q36" s="6">
        <v>15</v>
      </c>
      <c r="R36" s="7">
        <v>16</v>
      </c>
      <c r="S36" s="7">
        <v>17</v>
      </c>
      <c r="T36" s="7">
        <v>18</v>
      </c>
      <c r="U36" s="25">
        <v>19</v>
      </c>
      <c r="V36" s="34" t="s">
        <v>17</v>
      </c>
      <c r="W36" s="6">
        <v>21</v>
      </c>
      <c r="X36" s="6">
        <v>22</v>
      </c>
      <c r="Y36" s="7">
        <v>23</v>
      </c>
      <c r="Z36" s="7">
        <v>24</v>
      </c>
      <c r="AA36" s="7">
        <v>25</v>
      </c>
      <c r="AB36" s="7">
        <v>26</v>
      </c>
      <c r="AC36" s="7">
        <v>27</v>
      </c>
      <c r="AD36" s="6">
        <v>28</v>
      </c>
      <c r="AE36" s="6">
        <v>29</v>
      </c>
      <c r="AF36" s="7">
        <v>30</v>
      </c>
      <c r="AG36" s="7">
        <v>31</v>
      </c>
      <c r="AH36" s="21"/>
      <c r="AI36" s="17"/>
    </row>
    <row r="37" spans="1:37">
      <c r="A37" s="16"/>
    </row>
    <row r="38" spans="1:37">
      <c r="B38" s="5">
        <v>43922</v>
      </c>
      <c r="C38" s="893"/>
      <c r="D38" s="894"/>
      <c r="E38" s="894"/>
      <c r="F38" s="894"/>
      <c r="G38" s="894"/>
      <c r="H38" s="894"/>
      <c r="I38" s="894"/>
      <c r="J38" s="894"/>
      <c r="K38" s="894"/>
      <c r="L38" s="894"/>
      <c r="M38" s="894"/>
      <c r="N38" s="894"/>
      <c r="O38" s="894"/>
      <c r="P38" s="894"/>
      <c r="Q38" s="894"/>
      <c r="R38" s="894"/>
      <c r="S38" s="894"/>
      <c r="T38" s="894"/>
      <c r="U38" s="894"/>
      <c r="V38" s="894"/>
      <c r="W38" s="894"/>
      <c r="X38" s="894"/>
      <c r="Y38" s="894"/>
      <c r="Z38" s="894"/>
      <c r="AA38" s="894"/>
      <c r="AB38" s="894"/>
      <c r="AC38" s="894"/>
      <c r="AD38" s="894"/>
      <c r="AE38" s="894"/>
      <c r="AF38" s="894"/>
      <c r="AG38" s="894"/>
      <c r="AH38" s="894"/>
      <c r="AI38" s="4"/>
      <c r="AJ38" s="4"/>
      <c r="AK38" s="4"/>
    </row>
    <row r="39" spans="1:37">
      <c r="B39" s="9"/>
      <c r="C39" s="18" t="s">
        <v>1</v>
      </c>
      <c r="D39" s="18" t="s">
        <v>2</v>
      </c>
      <c r="E39" s="18" t="s">
        <v>3</v>
      </c>
      <c r="F39" s="18" t="s">
        <v>4</v>
      </c>
      <c r="G39" s="18" t="s">
        <v>5</v>
      </c>
      <c r="H39" s="18" t="s">
        <v>6</v>
      </c>
      <c r="I39" s="18" t="s">
        <v>7</v>
      </c>
      <c r="J39" s="18" t="s">
        <v>1</v>
      </c>
      <c r="K39" s="18" t="s">
        <v>2</v>
      </c>
      <c r="L39" s="18" t="s">
        <v>3</v>
      </c>
      <c r="M39" s="18" t="s">
        <v>4</v>
      </c>
      <c r="N39" s="18" t="s">
        <v>5</v>
      </c>
      <c r="O39" s="10" t="s">
        <v>6</v>
      </c>
      <c r="P39" s="10" t="s">
        <v>7</v>
      </c>
      <c r="Q39" s="10" t="s">
        <v>1</v>
      </c>
      <c r="R39" s="10" t="s">
        <v>2</v>
      </c>
      <c r="S39" s="10" t="s">
        <v>3</v>
      </c>
      <c r="T39" s="10" t="s">
        <v>4</v>
      </c>
      <c r="U39" s="11" t="s">
        <v>5</v>
      </c>
      <c r="V39" s="10" t="s">
        <v>6</v>
      </c>
      <c r="W39" s="10" t="s">
        <v>7</v>
      </c>
      <c r="X39" s="10" t="s">
        <v>1</v>
      </c>
      <c r="Y39" s="10" t="s">
        <v>2</v>
      </c>
      <c r="Z39" s="10" t="s">
        <v>3</v>
      </c>
      <c r="AA39" s="10" t="s">
        <v>4</v>
      </c>
      <c r="AB39" s="11" t="s">
        <v>5</v>
      </c>
      <c r="AC39" s="10" t="s">
        <v>6</v>
      </c>
      <c r="AD39" s="10" t="s">
        <v>7</v>
      </c>
      <c r="AE39" s="18" t="s">
        <v>1</v>
      </c>
      <c r="AF39" s="18" t="s">
        <v>2</v>
      </c>
      <c r="AG39" s="16"/>
      <c r="AH39" s="16"/>
      <c r="AI39" s="2"/>
    </row>
    <row r="40" spans="1:37">
      <c r="B40" s="27" t="s">
        <v>8</v>
      </c>
      <c r="C40" s="7">
        <v>1</v>
      </c>
      <c r="D40" s="7">
        <v>2</v>
      </c>
      <c r="E40" s="7">
        <v>3</v>
      </c>
      <c r="F40" s="6">
        <v>4</v>
      </c>
      <c r="G40" s="6">
        <v>5</v>
      </c>
      <c r="H40" s="7">
        <v>6</v>
      </c>
      <c r="I40" s="7">
        <v>7</v>
      </c>
      <c r="J40" s="7">
        <v>8</v>
      </c>
      <c r="K40" s="8">
        <v>9</v>
      </c>
      <c r="L40" s="8">
        <v>10</v>
      </c>
      <c r="M40" s="6">
        <v>11</v>
      </c>
      <c r="N40" s="6">
        <v>12</v>
      </c>
      <c r="O40" s="7">
        <v>13</v>
      </c>
      <c r="P40" s="7">
        <v>14</v>
      </c>
      <c r="Q40" s="7">
        <v>15</v>
      </c>
      <c r="R40" s="7">
        <v>16</v>
      </c>
      <c r="S40" s="7">
        <v>17</v>
      </c>
      <c r="T40" s="6">
        <v>18</v>
      </c>
      <c r="U40" s="6">
        <v>19</v>
      </c>
      <c r="V40" s="7">
        <v>20</v>
      </c>
      <c r="W40" s="7">
        <v>21</v>
      </c>
      <c r="X40" s="7">
        <v>22</v>
      </c>
      <c r="Y40" s="7">
        <v>23</v>
      </c>
      <c r="Z40" s="7">
        <v>24</v>
      </c>
      <c r="AA40" s="6">
        <v>25</v>
      </c>
      <c r="AB40" s="6">
        <v>26</v>
      </c>
      <c r="AC40" s="7">
        <v>27</v>
      </c>
      <c r="AD40" s="7">
        <v>28</v>
      </c>
      <c r="AE40" s="7" t="s">
        <v>9</v>
      </c>
      <c r="AF40" s="7" t="s">
        <v>9</v>
      </c>
      <c r="AG40" s="21"/>
      <c r="AH40" s="21"/>
      <c r="AI40" s="2"/>
    </row>
    <row r="41" spans="1:37">
      <c r="B41" s="28" t="s">
        <v>10</v>
      </c>
      <c r="C41" s="7">
        <v>1</v>
      </c>
      <c r="D41" s="7">
        <v>2</v>
      </c>
      <c r="E41" s="7">
        <v>3</v>
      </c>
      <c r="F41" s="6">
        <v>4</v>
      </c>
      <c r="G41" s="6">
        <v>5</v>
      </c>
      <c r="H41" s="7">
        <v>6</v>
      </c>
      <c r="I41" s="7">
        <v>7</v>
      </c>
      <c r="J41" s="7">
        <v>8</v>
      </c>
      <c r="K41" s="8">
        <v>9</v>
      </c>
      <c r="L41" s="8">
        <v>10</v>
      </c>
      <c r="M41" s="6">
        <v>11</v>
      </c>
      <c r="N41" s="6">
        <v>12</v>
      </c>
      <c r="O41" s="7">
        <v>13</v>
      </c>
      <c r="P41" s="7">
        <v>14</v>
      </c>
      <c r="Q41" s="7">
        <v>15</v>
      </c>
      <c r="R41" s="7">
        <v>16</v>
      </c>
      <c r="S41" s="7">
        <v>17</v>
      </c>
      <c r="T41" s="6">
        <v>18</v>
      </c>
      <c r="U41" s="6">
        <v>19</v>
      </c>
      <c r="V41" s="7">
        <v>20</v>
      </c>
      <c r="W41" s="7">
        <v>21</v>
      </c>
      <c r="X41" s="7">
        <v>22</v>
      </c>
      <c r="Y41" s="7">
        <v>23</v>
      </c>
      <c r="Z41" s="7">
        <v>24</v>
      </c>
      <c r="AA41" s="6">
        <v>25</v>
      </c>
      <c r="AB41" s="6">
        <v>26</v>
      </c>
      <c r="AC41" s="7">
        <v>27</v>
      </c>
      <c r="AD41" s="7">
        <v>28</v>
      </c>
      <c r="AE41" s="7">
        <v>29</v>
      </c>
      <c r="AF41" s="7">
        <v>30</v>
      </c>
      <c r="AG41" s="21"/>
      <c r="AH41" s="21"/>
      <c r="AI41" s="2"/>
    </row>
    <row r="42" spans="1:37">
      <c r="B42" s="27" t="s">
        <v>11</v>
      </c>
      <c r="C42" s="7" t="s">
        <v>14</v>
      </c>
      <c r="D42" s="7" t="s">
        <v>14</v>
      </c>
      <c r="E42" s="7" t="s">
        <v>14</v>
      </c>
      <c r="F42" s="6" t="s">
        <v>14</v>
      </c>
      <c r="G42" s="6" t="s">
        <v>14</v>
      </c>
      <c r="H42" s="7" t="s">
        <v>14</v>
      </c>
      <c r="I42" s="7" t="s">
        <v>14</v>
      </c>
      <c r="J42" s="7">
        <v>8</v>
      </c>
      <c r="K42" s="8">
        <v>9</v>
      </c>
      <c r="L42" s="8">
        <v>10</v>
      </c>
      <c r="M42" s="6">
        <v>11</v>
      </c>
      <c r="N42" s="6">
        <v>12</v>
      </c>
      <c r="O42" s="7">
        <v>13</v>
      </c>
      <c r="P42" s="7">
        <v>14</v>
      </c>
      <c r="Q42" s="7">
        <v>15</v>
      </c>
      <c r="R42" s="7">
        <v>16</v>
      </c>
      <c r="S42" s="7">
        <v>17</v>
      </c>
      <c r="T42" s="6">
        <v>18</v>
      </c>
      <c r="U42" s="6">
        <v>19</v>
      </c>
      <c r="V42" s="7">
        <v>20</v>
      </c>
      <c r="W42" s="7">
        <v>21</v>
      </c>
      <c r="X42" s="7" t="s">
        <v>14</v>
      </c>
      <c r="Y42" s="7" t="s">
        <v>14</v>
      </c>
      <c r="Z42" s="7" t="s">
        <v>14</v>
      </c>
      <c r="AA42" s="6" t="s">
        <v>14</v>
      </c>
      <c r="AB42" s="6" t="s">
        <v>14</v>
      </c>
      <c r="AC42" s="7" t="s">
        <v>14</v>
      </c>
      <c r="AD42" s="7" t="s">
        <v>14</v>
      </c>
      <c r="AE42" s="7">
        <v>29</v>
      </c>
      <c r="AF42" s="7">
        <v>30</v>
      </c>
      <c r="AG42" s="21"/>
      <c r="AH42" s="21"/>
      <c r="AI42" s="2"/>
    </row>
    <row r="43" spans="1:37">
      <c r="B43" s="28" t="s">
        <v>15</v>
      </c>
      <c r="C43" s="7">
        <v>1</v>
      </c>
      <c r="D43" s="7">
        <v>2</v>
      </c>
      <c r="E43" s="7">
        <v>3</v>
      </c>
      <c r="F43" s="6">
        <v>4</v>
      </c>
      <c r="G43" s="6">
        <v>5</v>
      </c>
      <c r="H43" s="7">
        <v>6</v>
      </c>
      <c r="I43" s="7">
        <v>7</v>
      </c>
      <c r="J43" s="7" t="s">
        <v>14</v>
      </c>
      <c r="K43" s="8" t="s">
        <v>14</v>
      </c>
      <c r="L43" s="8" t="s">
        <v>14</v>
      </c>
      <c r="M43" s="6" t="s">
        <v>14</v>
      </c>
      <c r="N43" s="6" t="s">
        <v>14</v>
      </c>
      <c r="O43" s="7" t="s">
        <v>14</v>
      </c>
      <c r="P43" s="7" t="s">
        <v>14</v>
      </c>
      <c r="Q43" s="7">
        <v>15</v>
      </c>
      <c r="R43" s="7">
        <v>16</v>
      </c>
      <c r="S43" s="7">
        <v>17</v>
      </c>
      <c r="T43" s="6">
        <v>18</v>
      </c>
      <c r="U43" s="6">
        <v>19</v>
      </c>
      <c r="V43" s="7">
        <v>20</v>
      </c>
      <c r="W43" s="7">
        <v>21</v>
      </c>
      <c r="X43" s="7">
        <v>22</v>
      </c>
      <c r="Y43" s="7">
        <v>23</v>
      </c>
      <c r="Z43" s="7">
        <v>24</v>
      </c>
      <c r="AA43" s="6">
        <v>25</v>
      </c>
      <c r="AB43" s="6">
        <v>26</v>
      </c>
      <c r="AC43" s="7">
        <v>27</v>
      </c>
      <c r="AD43" s="7">
        <v>28</v>
      </c>
      <c r="AE43" s="7">
        <v>29</v>
      </c>
      <c r="AF43" s="7">
        <v>30</v>
      </c>
      <c r="AG43" s="21"/>
      <c r="AH43" s="21"/>
      <c r="AI43" s="2"/>
    </row>
    <row r="44" spans="1:37">
      <c r="B44" s="27" t="s">
        <v>16</v>
      </c>
      <c r="C44" s="7">
        <v>1</v>
      </c>
      <c r="D44" s="7">
        <v>2</v>
      </c>
      <c r="E44" s="7">
        <v>3</v>
      </c>
      <c r="F44" s="6">
        <v>4</v>
      </c>
      <c r="G44" s="6">
        <v>5</v>
      </c>
      <c r="H44" s="7">
        <v>6</v>
      </c>
      <c r="I44" s="7">
        <v>7</v>
      </c>
      <c r="J44" s="7">
        <v>8</v>
      </c>
      <c r="K44" s="8">
        <v>9</v>
      </c>
      <c r="L44" s="8">
        <v>10</v>
      </c>
      <c r="M44" s="6">
        <v>11</v>
      </c>
      <c r="N44" s="6">
        <v>12</v>
      </c>
      <c r="O44" s="7">
        <v>13</v>
      </c>
      <c r="P44" s="7">
        <v>14</v>
      </c>
      <c r="Q44" s="7">
        <v>15</v>
      </c>
      <c r="R44" s="7">
        <v>16</v>
      </c>
      <c r="S44" s="34" t="s">
        <v>17</v>
      </c>
      <c r="T44" s="6">
        <v>18</v>
      </c>
      <c r="U44" s="6">
        <v>19</v>
      </c>
      <c r="V44" s="7">
        <v>20</v>
      </c>
      <c r="W44" s="7">
        <v>21</v>
      </c>
      <c r="X44" s="7">
        <v>22</v>
      </c>
      <c r="Y44" s="7">
        <v>23</v>
      </c>
      <c r="Z44" s="7">
        <v>24</v>
      </c>
      <c r="AA44" s="6">
        <v>25</v>
      </c>
      <c r="AB44" s="6">
        <v>26</v>
      </c>
      <c r="AC44" s="7">
        <v>27</v>
      </c>
      <c r="AD44" s="7">
        <v>28</v>
      </c>
      <c r="AE44" s="7">
        <v>29</v>
      </c>
      <c r="AF44" s="7" t="s">
        <v>9</v>
      </c>
      <c r="AG44" s="21"/>
      <c r="AH44" s="21"/>
      <c r="AI44" s="2"/>
    </row>
    <row r="45" spans="1:37">
      <c r="B45" s="28" t="s">
        <v>18</v>
      </c>
      <c r="C45" s="7">
        <v>1</v>
      </c>
      <c r="D45" s="7">
        <v>2</v>
      </c>
      <c r="E45" s="7">
        <v>3</v>
      </c>
      <c r="F45" s="6">
        <v>4</v>
      </c>
      <c r="G45" s="6">
        <v>5</v>
      </c>
      <c r="H45" s="7">
        <v>6</v>
      </c>
      <c r="I45" s="7">
        <v>7</v>
      </c>
      <c r="J45" s="7">
        <v>8</v>
      </c>
      <c r="K45" s="8">
        <v>9</v>
      </c>
      <c r="L45" s="8">
        <v>10</v>
      </c>
      <c r="M45" s="6">
        <v>11</v>
      </c>
      <c r="N45" s="6">
        <v>12</v>
      </c>
      <c r="O45" s="7">
        <v>13</v>
      </c>
      <c r="P45" s="7">
        <v>14</v>
      </c>
      <c r="Q45" s="7">
        <v>15</v>
      </c>
      <c r="R45" s="7">
        <v>16</v>
      </c>
      <c r="S45" s="7">
        <v>17</v>
      </c>
      <c r="T45" s="6">
        <v>18</v>
      </c>
      <c r="U45" s="6">
        <v>19</v>
      </c>
      <c r="V45" s="7">
        <v>20</v>
      </c>
      <c r="W45" s="7">
        <v>21</v>
      </c>
      <c r="X45" s="7">
        <v>22</v>
      </c>
      <c r="Y45" s="7">
        <v>23</v>
      </c>
      <c r="Z45" s="7">
        <v>24</v>
      </c>
      <c r="AA45" s="6">
        <v>25</v>
      </c>
      <c r="AB45" s="6">
        <v>26</v>
      </c>
      <c r="AC45" s="7">
        <v>27</v>
      </c>
      <c r="AD45" s="7">
        <v>28</v>
      </c>
      <c r="AE45" s="7">
        <v>29</v>
      </c>
      <c r="AF45" s="7">
        <v>30</v>
      </c>
      <c r="AG45" s="21"/>
      <c r="AH45" s="21"/>
      <c r="AI45" s="2"/>
    </row>
    <row r="46" spans="1:37">
      <c r="B46" s="27" t="s">
        <v>19</v>
      </c>
      <c r="C46" s="7">
        <v>1</v>
      </c>
      <c r="D46" s="7">
        <v>2</v>
      </c>
      <c r="E46" s="7">
        <v>3</v>
      </c>
      <c r="F46" s="6">
        <v>4</v>
      </c>
      <c r="G46" s="6">
        <v>5</v>
      </c>
      <c r="H46" s="7" t="s">
        <v>9</v>
      </c>
      <c r="I46" s="7" t="s">
        <v>9</v>
      </c>
      <c r="J46" s="7" t="s">
        <v>9</v>
      </c>
      <c r="K46" s="8">
        <v>9</v>
      </c>
      <c r="L46" s="8">
        <v>10</v>
      </c>
      <c r="M46" s="6">
        <v>11</v>
      </c>
      <c r="N46" s="6">
        <v>12</v>
      </c>
      <c r="O46" s="7">
        <v>13</v>
      </c>
      <c r="P46" s="7">
        <v>14</v>
      </c>
      <c r="Q46" s="7">
        <v>15</v>
      </c>
      <c r="R46" s="7">
        <v>16</v>
      </c>
      <c r="S46" s="7">
        <v>17</v>
      </c>
      <c r="T46" s="6">
        <v>18</v>
      </c>
      <c r="U46" s="6">
        <v>19</v>
      </c>
      <c r="V46" s="7">
        <v>20</v>
      </c>
      <c r="W46" s="7">
        <v>21</v>
      </c>
      <c r="X46" s="7">
        <v>22</v>
      </c>
      <c r="Y46" s="7">
        <v>23</v>
      </c>
      <c r="Z46" s="7">
        <v>24</v>
      </c>
      <c r="AA46" s="6">
        <v>25</v>
      </c>
      <c r="AB46" s="6">
        <v>26</v>
      </c>
      <c r="AC46" s="7">
        <v>27</v>
      </c>
      <c r="AD46" s="7">
        <v>28</v>
      </c>
      <c r="AE46" s="7">
        <v>29</v>
      </c>
      <c r="AF46" s="7">
        <v>30</v>
      </c>
      <c r="AG46" s="21"/>
      <c r="AH46" s="21"/>
      <c r="AI46" s="2"/>
    </row>
    <row r="47" spans="1:37">
      <c r="B47" s="28" t="s">
        <v>20</v>
      </c>
      <c r="C47" s="7">
        <v>1</v>
      </c>
      <c r="D47" s="7">
        <v>2</v>
      </c>
      <c r="E47" s="7">
        <v>3</v>
      </c>
      <c r="F47" s="6">
        <v>4</v>
      </c>
      <c r="G47" s="6">
        <v>5</v>
      </c>
      <c r="H47" s="7">
        <v>6</v>
      </c>
      <c r="I47" s="7">
        <v>7</v>
      </c>
      <c r="J47" s="7">
        <v>8</v>
      </c>
      <c r="K47" s="8">
        <v>9</v>
      </c>
      <c r="L47" s="8">
        <v>10</v>
      </c>
      <c r="M47" s="6">
        <v>11</v>
      </c>
      <c r="N47" s="6">
        <v>12</v>
      </c>
      <c r="O47" s="7">
        <v>13</v>
      </c>
      <c r="P47" s="7">
        <v>14</v>
      </c>
      <c r="Q47" s="7" t="s">
        <v>14</v>
      </c>
      <c r="R47" s="7" t="s">
        <v>14</v>
      </c>
      <c r="S47" s="7" t="s">
        <v>14</v>
      </c>
      <c r="T47" s="6" t="s">
        <v>14</v>
      </c>
      <c r="U47" s="6" t="s">
        <v>14</v>
      </c>
      <c r="V47" s="7" t="s">
        <v>14</v>
      </c>
      <c r="W47" s="7" t="s">
        <v>14</v>
      </c>
      <c r="X47" s="7">
        <v>22</v>
      </c>
      <c r="Y47" s="7">
        <v>23</v>
      </c>
      <c r="Z47" s="7">
        <v>24</v>
      </c>
      <c r="AA47" s="6">
        <v>25</v>
      </c>
      <c r="AB47" s="6">
        <v>26</v>
      </c>
      <c r="AC47" s="7">
        <v>27</v>
      </c>
      <c r="AD47" s="7">
        <v>28</v>
      </c>
      <c r="AE47" s="7" t="s">
        <v>14</v>
      </c>
      <c r="AF47" s="7" t="s">
        <v>14</v>
      </c>
      <c r="AG47" s="21"/>
      <c r="AH47" s="21"/>
      <c r="AI47" s="2"/>
    </row>
    <row r="48" spans="1:37">
      <c r="B48" s="27" t="s">
        <v>21</v>
      </c>
      <c r="C48" s="7">
        <v>1</v>
      </c>
      <c r="D48" s="7">
        <v>2</v>
      </c>
      <c r="E48" s="34" t="s">
        <v>17</v>
      </c>
      <c r="F48" s="6">
        <v>4</v>
      </c>
      <c r="G48" s="6">
        <v>5</v>
      </c>
      <c r="H48" s="7">
        <v>6</v>
      </c>
      <c r="I48" s="7">
        <v>7</v>
      </c>
      <c r="J48" s="7">
        <v>8</v>
      </c>
      <c r="K48" s="8">
        <v>9</v>
      </c>
      <c r="L48" s="8">
        <v>10</v>
      </c>
      <c r="M48" s="6">
        <v>11</v>
      </c>
      <c r="N48" s="6">
        <v>12</v>
      </c>
      <c r="O48" s="7">
        <v>13</v>
      </c>
      <c r="P48" s="7">
        <v>14</v>
      </c>
      <c r="Q48" s="7">
        <v>15</v>
      </c>
      <c r="R48" s="7">
        <v>16</v>
      </c>
      <c r="S48" s="7">
        <v>17</v>
      </c>
      <c r="T48" s="6">
        <v>18</v>
      </c>
      <c r="U48" s="6">
        <v>19</v>
      </c>
      <c r="V48" s="7">
        <v>20</v>
      </c>
      <c r="W48" s="7">
        <v>21</v>
      </c>
      <c r="X48" s="7">
        <v>22</v>
      </c>
      <c r="Y48" s="7">
        <v>23</v>
      </c>
      <c r="Z48" s="34" t="s">
        <v>17</v>
      </c>
      <c r="AA48" s="6">
        <v>25</v>
      </c>
      <c r="AB48" s="6">
        <v>26</v>
      </c>
      <c r="AC48" s="7">
        <v>27</v>
      </c>
      <c r="AD48" s="7">
        <v>28</v>
      </c>
      <c r="AE48" s="7">
        <v>29</v>
      </c>
      <c r="AF48" s="7">
        <v>30</v>
      </c>
      <c r="AG48" s="21"/>
      <c r="AH48" s="21"/>
    </row>
    <row r="49" spans="2:37"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Q49" s="29"/>
    </row>
    <row r="50" spans="2:37"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AI50" s="4"/>
      <c r="AJ50" s="4"/>
      <c r="AK50" s="4"/>
    </row>
    <row r="51" spans="2:37">
      <c r="B51" s="5">
        <v>43952</v>
      </c>
      <c r="C51" s="1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4"/>
      <c r="AJ51" s="4"/>
      <c r="AK51" s="4"/>
    </row>
    <row r="52" spans="2:37">
      <c r="B52" s="9"/>
      <c r="C52" s="10" t="s">
        <v>3</v>
      </c>
      <c r="D52" s="10" t="s">
        <v>4</v>
      </c>
      <c r="E52" s="10" t="s">
        <v>5</v>
      </c>
      <c r="F52" s="10" t="s">
        <v>6</v>
      </c>
      <c r="G52" s="10" t="s">
        <v>7</v>
      </c>
      <c r="H52" s="10" t="s">
        <v>1</v>
      </c>
      <c r="I52" s="10" t="s">
        <v>2</v>
      </c>
      <c r="J52" s="10" t="s">
        <v>3</v>
      </c>
      <c r="K52" s="10" t="s">
        <v>4</v>
      </c>
      <c r="L52" s="10" t="s">
        <v>5</v>
      </c>
      <c r="M52" s="10" t="s">
        <v>6</v>
      </c>
      <c r="N52" s="10" t="s">
        <v>7</v>
      </c>
      <c r="O52" s="10" t="s">
        <v>1</v>
      </c>
      <c r="P52" s="10" t="s">
        <v>2</v>
      </c>
      <c r="Q52" s="10" t="s">
        <v>3</v>
      </c>
      <c r="R52" s="10" t="s">
        <v>4</v>
      </c>
      <c r="S52" s="11" t="s">
        <v>5</v>
      </c>
      <c r="T52" s="10" t="s">
        <v>6</v>
      </c>
      <c r="U52" s="10" t="s">
        <v>7</v>
      </c>
      <c r="V52" s="10" t="s">
        <v>1</v>
      </c>
      <c r="W52" s="10" t="s">
        <v>2</v>
      </c>
      <c r="X52" s="10" t="s">
        <v>3</v>
      </c>
      <c r="Y52" s="10" t="s">
        <v>4</v>
      </c>
      <c r="Z52" s="10" t="s">
        <v>5</v>
      </c>
      <c r="AA52" s="10" t="s">
        <v>6</v>
      </c>
      <c r="AB52" s="10" t="s">
        <v>7</v>
      </c>
      <c r="AC52" s="13" t="s">
        <v>1</v>
      </c>
      <c r="AD52" s="10" t="s">
        <v>2</v>
      </c>
      <c r="AE52" s="10" t="s">
        <v>3</v>
      </c>
      <c r="AF52" s="10" t="s">
        <v>4</v>
      </c>
      <c r="AG52" s="10" t="s">
        <v>5</v>
      </c>
      <c r="AH52" s="2"/>
      <c r="AI52" s="2"/>
    </row>
    <row r="53" spans="2:37">
      <c r="B53" s="12" t="s">
        <v>8</v>
      </c>
      <c r="C53" s="8">
        <v>1</v>
      </c>
      <c r="D53" s="8">
        <v>2</v>
      </c>
      <c r="E53" s="6">
        <v>3</v>
      </c>
      <c r="F53" s="7">
        <v>4</v>
      </c>
      <c r="G53" s="7">
        <v>5</v>
      </c>
      <c r="H53" s="7">
        <v>6</v>
      </c>
      <c r="I53" s="7">
        <v>7</v>
      </c>
      <c r="J53" s="7">
        <v>8</v>
      </c>
      <c r="K53" s="6">
        <v>9</v>
      </c>
      <c r="L53" s="6">
        <v>10</v>
      </c>
      <c r="M53" s="7">
        <v>11</v>
      </c>
      <c r="N53" s="7">
        <v>12</v>
      </c>
      <c r="O53" s="7">
        <v>13</v>
      </c>
      <c r="P53" s="7">
        <v>14</v>
      </c>
      <c r="Q53" s="8">
        <v>15</v>
      </c>
      <c r="R53" s="6">
        <v>16</v>
      </c>
      <c r="S53" s="6">
        <v>17</v>
      </c>
      <c r="T53" s="7" t="s">
        <v>9</v>
      </c>
      <c r="U53" s="7">
        <v>19</v>
      </c>
      <c r="V53" s="7">
        <v>20</v>
      </c>
      <c r="W53" s="7">
        <v>21</v>
      </c>
      <c r="X53" s="7">
        <v>22</v>
      </c>
      <c r="Y53" s="6">
        <v>23</v>
      </c>
      <c r="Z53" s="6">
        <v>24</v>
      </c>
      <c r="AA53" s="7">
        <v>25</v>
      </c>
      <c r="AB53" s="7">
        <v>26</v>
      </c>
      <c r="AC53" s="7">
        <v>27</v>
      </c>
      <c r="AD53" s="7">
        <v>28</v>
      </c>
      <c r="AE53" s="7">
        <v>29</v>
      </c>
      <c r="AF53" s="6">
        <v>30</v>
      </c>
      <c r="AG53" s="6">
        <v>31</v>
      </c>
      <c r="AH53" s="21"/>
      <c r="AI53" s="2"/>
    </row>
    <row r="54" spans="2:37">
      <c r="B54" s="15" t="s">
        <v>10</v>
      </c>
      <c r="C54" s="8">
        <v>1</v>
      </c>
      <c r="D54" s="8">
        <v>2</v>
      </c>
      <c r="E54" s="6">
        <v>3</v>
      </c>
      <c r="F54" s="7">
        <v>4</v>
      </c>
      <c r="G54" s="7">
        <v>5</v>
      </c>
      <c r="H54" s="7">
        <v>6</v>
      </c>
      <c r="I54" s="7">
        <v>7</v>
      </c>
      <c r="J54" s="7">
        <v>8</v>
      </c>
      <c r="K54" s="6">
        <v>9</v>
      </c>
      <c r="L54" s="6">
        <v>10</v>
      </c>
      <c r="M54" s="7">
        <v>11</v>
      </c>
      <c r="N54" s="7">
        <v>12</v>
      </c>
      <c r="O54" s="7">
        <v>13</v>
      </c>
      <c r="P54" s="7">
        <v>14</v>
      </c>
      <c r="Q54" s="8">
        <v>15</v>
      </c>
      <c r="R54" s="6">
        <v>16</v>
      </c>
      <c r="S54" s="6">
        <v>17</v>
      </c>
      <c r="T54" s="7">
        <v>18</v>
      </c>
      <c r="U54" s="7">
        <v>19</v>
      </c>
      <c r="V54" s="7">
        <v>20</v>
      </c>
      <c r="W54" s="7">
        <v>21</v>
      </c>
      <c r="X54" s="7">
        <v>22</v>
      </c>
      <c r="Y54" s="6">
        <v>23</v>
      </c>
      <c r="Z54" s="6">
        <v>24</v>
      </c>
      <c r="AA54" s="7">
        <v>25</v>
      </c>
      <c r="AB54" s="7">
        <v>26</v>
      </c>
      <c r="AC54" s="7">
        <v>27</v>
      </c>
      <c r="AD54" s="7">
        <v>28</v>
      </c>
      <c r="AE54" s="7">
        <v>29</v>
      </c>
      <c r="AF54" s="6">
        <v>30</v>
      </c>
      <c r="AG54" s="6">
        <v>31</v>
      </c>
      <c r="AH54" s="21"/>
      <c r="AI54" s="2"/>
    </row>
    <row r="55" spans="2:37">
      <c r="B55" s="12" t="s">
        <v>11</v>
      </c>
      <c r="C55" s="8">
        <v>1</v>
      </c>
      <c r="D55" s="8">
        <v>2</v>
      </c>
      <c r="E55" s="6">
        <v>3</v>
      </c>
      <c r="F55" s="7">
        <v>4</v>
      </c>
      <c r="G55" s="7">
        <v>5</v>
      </c>
      <c r="H55" s="7">
        <v>6</v>
      </c>
      <c r="I55" s="7">
        <v>7</v>
      </c>
      <c r="J55" s="7">
        <v>8</v>
      </c>
      <c r="K55" s="6">
        <v>9</v>
      </c>
      <c r="L55" s="6">
        <v>10</v>
      </c>
      <c r="M55" s="7">
        <v>11</v>
      </c>
      <c r="N55" s="7">
        <v>12</v>
      </c>
      <c r="O55" s="7" t="s">
        <v>14</v>
      </c>
      <c r="P55" s="7" t="s">
        <v>14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>
        <v>20</v>
      </c>
      <c r="W55" s="7">
        <v>21</v>
      </c>
      <c r="X55" s="7">
        <v>22</v>
      </c>
      <c r="Y55" s="6">
        <v>23</v>
      </c>
      <c r="Z55" s="6">
        <v>24</v>
      </c>
      <c r="AA55" s="7">
        <v>25</v>
      </c>
      <c r="AB55" s="7">
        <v>26</v>
      </c>
      <c r="AC55" s="7">
        <v>27</v>
      </c>
      <c r="AD55" s="7">
        <v>28</v>
      </c>
      <c r="AE55" s="7">
        <v>29</v>
      </c>
      <c r="AF55" s="6">
        <v>30</v>
      </c>
      <c r="AG55" s="6">
        <v>31</v>
      </c>
      <c r="AH55" s="21"/>
      <c r="AI55" s="2"/>
    </row>
    <row r="56" spans="2:37">
      <c r="B56" s="15" t="s">
        <v>15</v>
      </c>
      <c r="C56" s="8">
        <v>1</v>
      </c>
      <c r="D56" s="8">
        <v>2</v>
      </c>
      <c r="E56" s="6">
        <v>3</v>
      </c>
      <c r="F56" s="7">
        <v>4</v>
      </c>
      <c r="G56" s="7">
        <v>5</v>
      </c>
      <c r="H56" s="7" t="s">
        <v>14</v>
      </c>
      <c r="I56" s="7" t="s">
        <v>14</v>
      </c>
      <c r="J56" s="7" t="s">
        <v>14</v>
      </c>
      <c r="K56" s="7" t="s">
        <v>14</v>
      </c>
      <c r="L56" s="7" t="s">
        <v>14</v>
      </c>
      <c r="M56" s="7" t="s">
        <v>14</v>
      </c>
      <c r="N56" s="7" t="s">
        <v>14</v>
      </c>
      <c r="O56" s="7">
        <v>13</v>
      </c>
      <c r="P56" s="7">
        <v>14</v>
      </c>
      <c r="Q56" s="8">
        <v>15</v>
      </c>
      <c r="R56" s="6">
        <v>16</v>
      </c>
      <c r="S56" s="6">
        <v>17</v>
      </c>
      <c r="T56" s="7">
        <v>18</v>
      </c>
      <c r="U56" s="7">
        <v>19</v>
      </c>
      <c r="V56" s="7">
        <v>20</v>
      </c>
      <c r="W56" s="7">
        <v>21</v>
      </c>
      <c r="X56" s="7">
        <v>22</v>
      </c>
      <c r="Y56" s="6">
        <v>23</v>
      </c>
      <c r="Z56" s="6">
        <v>24</v>
      </c>
      <c r="AA56" s="7">
        <v>25</v>
      </c>
      <c r="AB56" s="7">
        <v>26</v>
      </c>
      <c r="AC56" s="7" t="s">
        <v>14</v>
      </c>
      <c r="AD56" s="7" t="s">
        <v>14</v>
      </c>
      <c r="AE56" s="7" t="s">
        <v>14</v>
      </c>
      <c r="AF56" s="7" t="s">
        <v>14</v>
      </c>
      <c r="AG56" s="7" t="s">
        <v>14</v>
      </c>
      <c r="AH56" s="21"/>
      <c r="AI56" s="2"/>
    </row>
    <row r="57" spans="2:37">
      <c r="B57" s="12" t="s">
        <v>16</v>
      </c>
      <c r="C57" s="8">
        <v>1</v>
      </c>
      <c r="D57" s="8">
        <v>2</v>
      </c>
      <c r="E57" s="6">
        <v>3</v>
      </c>
      <c r="F57" s="7">
        <v>4</v>
      </c>
      <c r="G57" s="7">
        <v>5</v>
      </c>
      <c r="H57" s="7">
        <v>6</v>
      </c>
      <c r="I57" s="7">
        <v>7</v>
      </c>
      <c r="J57" s="34" t="s">
        <v>17</v>
      </c>
      <c r="K57" s="6">
        <v>9</v>
      </c>
      <c r="L57" s="6">
        <v>10</v>
      </c>
      <c r="M57" s="7">
        <v>11</v>
      </c>
      <c r="N57" s="7">
        <v>12</v>
      </c>
      <c r="O57" s="7">
        <v>13</v>
      </c>
      <c r="P57" s="7">
        <v>14</v>
      </c>
      <c r="Q57" s="8">
        <v>15</v>
      </c>
      <c r="R57" s="6">
        <v>16</v>
      </c>
      <c r="S57" s="6">
        <v>17</v>
      </c>
      <c r="T57" s="7">
        <v>18</v>
      </c>
      <c r="U57" s="7">
        <v>19</v>
      </c>
      <c r="V57" s="7">
        <v>20</v>
      </c>
      <c r="W57" s="7">
        <v>21</v>
      </c>
      <c r="X57" s="7">
        <v>22</v>
      </c>
      <c r="Y57" s="6">
        <v>23</v>
      </c>
      <c r="Z57" s="6">
        <v>24</v>
      </c>
      <c r="AA57" s="7">
        <v>25</v>
      </c>
      <c r="AB57" s="7">
        <v>26</v>
      </c>
      <c r="AC57" s="7">
        <v>27</v>
      </c>
      <c r="AD57" s="7">
        <v>28</v>
      </c>
      <c r="AE57" s="34" t="s">
        <v>17</v>
      </c>
      <c r="AF57" s="6">
        <v>30</v>
      </c>
      <c r="AG57" s="6">
        <v>31</v>
      </c>
      <c r="AH57" s="21"/>
      <c r="AI57" s="2"/>
    </row>
    <row r="58" spans="2:37">
      <c r="B58" s="15" t="s">
        <v>18</v>
      </c>
      <c r="C58" s="8">
        <v>1</v>
      </c>
      <c r="D58" s="8">
        <v>2</v>
      </c>
      <c r="E58" s="6">
        <v>3</v>
      </c>
      <c r="F58" s="7">
        <v>4</v>
      </c>
      <c r="G58" s="7">
        <v>5</v>
      </c>
      <c r="H58" s="7">
        <v>6</v>
      </c>
      <c r="I58" s="7">
        <v>7</v>
      </c>
      <c r="J58" s="7">
        <v>8</v>
      </c>
      <c r="K58" s="6">
        <v>9</v>
      </c>
      <c r="L58" s="6">
        <v>10</v>
      </c>
      <c r="M58" s="7">
        <v>11</v>
      </c>
      <c r="N58" s="7">
        <v>12</v>
      </c>
      <c r="O58" s="7">
        <v>13</v>
      </c>
      <c r="P58" s="7">
        <v>14</v>
      </c>
      <c r="Q58" s="8">
        <v>15</v>
      </c>
      <c r="R58" s="6">
        <v>16</v>
      </c>
      <c r="S58" s="6">
        <v>17</v>
      </c>
      <c r="T58" s="7">
        <v>18</v>
      </c>
      <c r="U58" s="7">
        <v>19</v>
      </c>
      <c r="V58" s="7">
        <v>20</v>
      </c>
      <c r="W58" s="7">
        <v>21</v>
      </c>
      <c r="X58" s="7">
        <v>22</v>
      </c>
      <c r="Y58" s="6">
        <v>23</v>
      </c>
      <c r="Z58" s="6">
        <v>24</v>
      </c>
      <c r="AA58" s="7">
        <v>25</v>
      </c>
      <c r="AB58" s="7">
        <v>26</v>
      </c>
      <c r="AC58" s="7">
        <v>27</v>
      </c>
      <c r="AD58" s="7">
        <v>28</v>
      </c>
      <c r="AE58" s="7">
        <v>29</v>
      </c>
      <c r="AF58" s="6">
        <v>30</v>
      </c>
      <c r="AG58" s="6">
        <v>31</v>
      </c>
      <c r="AH58" s="21"/>
      <c r="AI58" s="2"/>
    </row>
    <row r="59" spans="2:37">
      <c r="B59" s="12" t="s">
        <v>19</v>
      </c>
      <c r="C59" s="8">
        <v>1</v>
      </c>
      <c r="D59" s="8">
        <v>2</v>
      </c>
      <c r="E59" s="6">
        <v>3</v>
      </c>
      <c r="F59" s="7">
        <v>4</v>
      </c>
      <c r="G59" s="7">
        <v>5</v>
      </c>
      <c r="H59" s="7">
        <v>6</v>
      </c>
      <c r="I59" s="7">
        <v>7</v>
      </c>
      <c r="J59" s="7">
        <v>8</v>
      </c>
      <c r="K59" s="6">
        <v>9</v>
      </c>
      <c r="L59" s="6">
        <v>10</v>
      </c>
      <c r="M59" s="7">
        <v>11</v>
      </c>
      <c r="N59" s="7">
        <v>12</v>
      </c>
      <c r="O59" s="7">
        <v>13</v>
      </c>
      <c r="P59" s="7">
        <v>14</v>
      </c>
      <c r="Q59" s="8">
        <v>15</v>
      </c>
      <c r="R59" s="6">
        <v>16</v>
      </c>
      <c r="S59" s="6">
        <v>17</v>
      </c>
      <c r="T59" s="7">
        <v>18</v>
      </c>
      <c r="U59" s="7">
        <v>19</v>
      </c>
      <c r="V59" s="7">
        <v>20</v>
      </c>
      <c r="W59" s="7">
        <v>21</v>
      </c>
      <c r="X59" s="7">
        <v>22</v>
      </c>
      <c r="Y59" s="6">
        <v>23</v>
      </c>
      <c r="Z59" s="6">
        <v>24</v>
      </c>
      <c r="AA59" s="7">
        <v>25</v>
      </c>
      <c r="AB59" s="7">
        <v>26</v>
      </c>
      <c r="AC59" s="7">
        <v>27</v>
      </c>
      <c r="AD59" s="7">
        <v>28</v>
      </c>
      <c r="AE59" s="7">
        <v>29</v>
      </c>
      <c r="AF59" s="6">
        <v>30</v>
      </c>
      <c r="AG59" s="6">
        <v>31</v>
      </c>
      <c r="AH59" s="21"/>
      <c r="AI59" s="2"/>
    </row>
    <row r="60" spans="2:37">
      <c r="B60" s="15" t="s">
        <v>20</v>
      </c>
      <c r="C60" s="7" t="s">
        <v>14</v>
      </c>
      <c r="D60" s="7" t="s">
        <v>14</v>
      </c>
      <c r="E60" s="7" t="s">
        <v>14</v>
      </c>
      <c r="F60" s="7" t="s">
        <v>14</v>
      </c>
      <c r="G60" s="7" t="s">
        <v>14</v>
      </c>
      <c r="H60" s="7">
        <v>6</v>
      </c>
      <c r="I60" s="7">
        <v>7</v>
      </c>
      <c r="J60" s="7">
        <v>8</v>
      </c>
      <c r="K60" s="6">
        <v>9</v>
      </c>
      <c r="L60" s="6">
        <v>10</v>
      </c>
      <c r="M60" s="7">
        <v>11</v>
      </c>
      <c r="N60" s="7">
        <v>12</v>
      </c>
      <c r="O60" s="7">
        <v>13</v>
      </c>
      <c r="P60" s="7">
        <v>14</v>
      </c>
      <c r="Q60" s="8">
        <v>15</v>
      </c>
      <c r="R60" s="6">
        <v>16</v>
      </c>
      <c r="S60" s="6">
        <v>17</v>
      </c>
      <c r="T60" s="7">
        <v>18</v>
      </c>
      <c r="U60" s="7">
        <v>19</v>
      </c>
      <c r="V60" s="7" t="s">
        <v>14</v>
      </c>
      <c r="W60" s="7" t="s">
        <v>14</v>
      </c>
      <c r="X60" s="7" t="s">
        <v>14</v>
      </c>
      <c r="Y60" s="7" t="s">
        <v>14</v>
      </c>
      <c r="Z60" s="7" t="s">
        <v>14</v>
      </c>
      <c r="AA60" s="7" t="s">
        <v>14</v>
      </c>
      <c r="AB60" s="7" t="s">
        <v>14</v>
      </c>
      <c r="AC60" s="7">
        <v>27</v>
      </c>
      <c r="AD60" s="7">
        <v>28</v>
      </c>
      <c r="AE60" s="7">
        <v>29</v>
      </c>
      <c r="AF60" s="6">
        <v>30</v>
      </c>
      <c r="AG60" s="6">
        <v>31</v>
      </c>
      <c r="AH60" s="21"/>
      <c r="AI60" s="2"/>
    </row>
    <row r="61" spans="2:37">
      <c r="B61" s="12" t="s">
        <v>21</v>
      </c>
      <c r="C61" s="8">
        <v>1</v>
      </c>
      <c r="D61" s="8">
        <v>2</v>
      </c>
      <c r="E61" s="6">
        <v>3</v>
      </c>
      <c r="F61" s="7">
        <v>4</v>
      </c>
      <c r="G61" s="7">
        <v>5</v>
      </c>
      <c r="H61" s="7">
        <v>6</v>
      </c>
      <c r="I61" s="7">
        <v>7</v>
      </c>
      <c r="J61" s="7">
        <v>8</v>
      </c>
      <c r="K61" s="6">
        <v>9</v>
      </c>
      <c r="L61" s="6">
        <v>10</v>
      </c>
      <c r="M61" s="7">
        <v>11</v>
      </c>
      <c r="N61" s="7">
        <v>12</v>
      </c>
      <c r="O61" s="7">
        <v>13</v>
      </c>
      <c r="P61" s="7">
        <v>14</v>
      </c>
      <c r="Q61" s="8">
        <v>15</v>
      </c>
      <c r="R61" s="6">
        <v>16</v>
      </c>
      <c r="S61" s="6">
        <v>17</v>
      </c>
      <c r="T61" s="7">
        <v>18</v>
      </c>
      <c r="U61" s="7">
        <v>19</v>
      </c>
      <c r="V61" s="7">
        <v>20</v>
      </c>
      <c r="W61" s="7">
        <v>21</v>
      </c>
      <c r="X61" s="34" t="s">
        <v>17</v>
      </c>
      <c r="Y61" s="6">
        <v>23</v>
      </c>
      <c r="Z61" s="6">
        <v>24</v>
      </c>
      <c r="AA61" s="7">
        <v>25</v>
      </c>
      <c r="AB61" s="7">
        <v>26</v>
      </c>
      <c r="AC61" s="7">
        <v>27</v>
      </c>
      <c r="AD61" s="7">
        <v>28</v>
      </c>
      <c r="AE61" s="7">
        <v>29</v>
      </c>
      <c r="AF61" s="6">
        <v>30</v>
      </c>
      <c r="AG61" s="6">
        <v>31</v>
      </c>
      <c r="AH61" s="21"/>
    </row>
    <row r="63" spans="2:37">
      <c r="B63" s="5">
        <v>43983</v>
      </c>
      <c r="C63" s="1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4"/>
      <c r="AJ63" s="4"/>
      <c r="AK63" s="4"/>
    </row>
    <row r="64" spans="2:37">
      <c r="B64" s="9"/>
      <c r="C64" s="10" t="s">
        <v>6</v>
      </c>
      <c r="D64" s="10" t="s">
        <v>7</v>
      </c>
      <c r="E64" s="10" t="s">
        <v>1</v>
      </c>
      <c r="F64" s="10" t="s">
        <v>2</v>
      </c>
      <c r="G64" s="10" t="s">
        <v>3</v>
      </c>
      <c r="H64" s="10" t="s">
        <v>4</v>
      </c>
      <c r="I64" s="10" t="s">
        <v>5</v>
      </c>
      <c r="J64" s="10" t="s">
        <v>6</v>
      </c>
      <c r="K64" s="10" t="s">
        <v>7</v>
      </c>
      <c r="L64" s="10" t="s">
        <v>1</v>
      </c>
      <c r="M64" s="10" t="s">
        <v>2</v>
      </c>
      <c r="N64" s="10" t="s">
        <v>3</v>
      </c>
      <c r="O64" s="10" t="s">
        <v>4</v>
      </c>
      <c r="P64" s="11" t="s">
        <v>5</v>
      </c>
      <c r="Q64" s="10" t="s">
        <v>6</v>
      </c>
      <c r="R64" s="10" t="s">
        <v>7</v>
      </c>
      <c r="S64" s="10" t="s">
        <v>1</v>
      </c>
      <c r="T64" s="10" t="s">
        <v>2</v>
      </c>
      <c r="U64" s="10" t="s">
        <v>3</v>
      </c>
      <c r="V64" s="10" t="s">
        <v>4</v>
      </c>
      <c r="W64" s="10" t="s">
        <v>5</v>
      </c>
      <c r="X64" s="10" t="s">
        <v>6</v>
      </c>
      <c r="Y64" s="10" t="s">
        <v>7</v>
      </c>
      <c r="Z64" s="10" t="s">
        <v>1</v>
      </c>
      <c r="AA64" s="10" t="s">
        <v>2</v>
      </c>
      <c r="AB64" s="13" t="s">
        <v>3</v>
      </c>
      <c r="AC64" s="10" t="s">
        <v>4</v>
      </c>
      <c r="AD64" s="10" t="s">
        <v>5</v>
      </c>
      <c r="AE64" s="10" t="s">
        <v>6</v>
      </c>
      <c r="AF64" s="10" t="s">
        <v>7</v>
      </c>
      <c r="AG64" s="2"/>
      <c r="AH64" s="2"/>
      <c r="AI64" s="2"/>
    </row>
    <row r="65" spans="2:36">
      <c r="B65" s="12" t="s">
        <v>8</v>
      </c>
      <c r="C65" s="7">
        <v>1</v>
      </c>
      <c r="D65" s="7">
        <v>2</v>
      </c>
      <c r="E65" s="7">
        <v>3</v>
      </c>
      <c r="F65" s="7">
        <v>4</v>
      </c>
      <c r="G65" s="7">
        <v>5</v>
      </c>
      <c r="H65" s="6">
        <v>6</v>
      </c>
      <c r="I65" s="6">
        <v>7</v>
      </c>
      <c r="J65" s="7">
        <v>8</v>
      </c>
      <c r="K65" s="7">
        <v>9</v>
      </c>
      <c r="L65" s="7">
        <v>10</v>
      </c>
      <c r="M65" s="7">
        <v>11</v>
      </c>
      <c r="N65" s="7">
        <v>12</v>
      </c>
      <c r="O65" s="6">
        <v>13</v>
      </c>
      <c r="P65" s="6">
        <v>14</v>
      </c>
      <c r="Q65" s="7">
        <v>15</v>
      </c>
      <c r="R65" s="7">
        <v>16</v>
      </c>
      <c r="S65" s="7">
        <v>17</v>
      </c>
      <c r="T65" s="7">
        <v>18</v>
      </c>
      <c r="U65" s="7">
        <v>19</v>
      </c>
      <c r="V65" s="6">
        <v>20</v>
      </c>
      <c r="W65" s="6">
        <v>21</v>
      </c>
      <c r="X65" s="7">
        <v>22</v>
      </c>
      <c r="Y65" s="7">
        <v>23</v>
      </c>
      <c r="Z65" s="7">
        <v>24</v>
      </c>
      <c r="AA65" s="7">
        <v>25</v>
      </c>
      <c r="AB65" s="7">
        <v>26</v>
      </c>
      <c r="AC65" s="6">
        <v>27</v>
      </c>
      <c r="AD65" s="6">
        <v>28</v>
      </c>
      <c r="AE65" s="7" t="s">
        <v>9</v>
      </c>
      <c r="AF65" s="7" t="s">
        <v>9</v>
      </c>
      <c r="AG65" s="21"/>
      <c r="AH65" s="21"/>
      <c r="AI65" s="2"/>
    </row>
    <row r="66" spans="2:36">
      <c r="B66" s="15" t="s">
        <v>10</v>
      </c>
      <c r="C66" s="7">
        <v>1</v>
      </c>
      <c r="D66" s="7">
        <v>2</v>
      </c>
      <c r="E66" s="7">
        <v>3</v>
      </c>
      <c r="F66" s="7">
        <v>4</v>
      </c>
      <c r="G66" s="7">
        <v>5</v>
      </c>
      <c r="H66" s="6">
        <v>6</v>
      </c>
      <c r="I66" s="6">
        <v>7</v>
      </c>
      <c r="J66" s="7">
        <v>8</v>
      </c>
      <c r="K66" s="7">
        <v>9</v>
      </c>
      <c r="L66" s="7">
        <v>10</v>
      </c>
      <c r="M66" s="7">
        <v>11</v>
      </c>
      <c r="N66" s="7">
        <v>12</v>
      </c>
      <c r="O66" s="6">
        <v>13</v>
      </c>
      <c r="P66" s="6">
        <v>14</v>
      </c>
      <c r="Q66" s="7" t="s">
        <v>9</v>
      </c>
      <c r="R66" s="7">
        <v>16</v>
      </c>
      <c r="S66" s="7">
        <v>17</v>
      </c>
      <c r="T66" s="7">
        <v>18</v>
      </c>
      <c r="U66" s="7">
        <v>19</v>
      </c>
      <c r="V66" s="6">
        <v>20</v>
      </c>
      <c r="W66" s="6">
        <v>21</v>
      </c>
      <c r="X66" s="7">
        <v>22</v>
      </c>
      <c r="Y66" s="7">
        <v>23</v>
      </c>
      <c r="Z66" s="7">
        <v>24</v>
      </c>
      <c r="AA66" s="7">
        <v>25</v>
      </c>
      <c r="AB66" s="7">
        <v>26</v>
      </c>
      <c r="AC66" s="6">
        <v>27</v>
      </c>
      <c r="AD66" s="6">
        <v>28</v>
      </c>
      <c r="AE66" s="7">
        <v>29</v>
      </c>
      <c r="AF66" s="7">
        <v>30</v>
      </c>
      <c r="AG66" s="21"/>
      <c r="AH66" s="21"/>
      <c r="AI66" s="2"/>
    </row>
    <row r="67" spans="2:36">
      <c r="B67" s="12" t="s">
        <v>11</v>
      </c>
      <c r="C67" s="7">
        <v>1</v>
      </c>
      <c r="D67" s="7">
        <v>2</v>
      </c>
      <c r="E67" s="7" t="s">
        <v>14</v>
      </c>
      <c r="F67" s="7" t="s">
        <v>14</v>
      </c>
      <c r="G67" s="7" t="s">
        <v>14</v>
      </c>
      <c r="H67" s="7" t="s">
        <v>14</v>
      </c>
      <c r="I67" s="7" t="s">
        <v>14</v>
      </c>
      <c r="J67" s="7" t="s">
        <v>14</v>
      </c>
      <c r="K67" s="7" t="s">
        <v>14</v>
      </c>
      <c r="L67" s="7">
        <v>10</v>
      </c>
      <c r="M67" s="7">
        <v>11</v>
      </c>
      <c r="N67" s="7">
        <v>12</v>
      </c>
      <c r="O67" s="6">
        <v>13</v>
      </c>
      <c r="P67" s="6">
        <v>14</v>
      </c>
      <c r="Q67" s="7">
        <v>15</v>
      </c>
      <c r="R67" s="7">
        <v>16</v>
      </c>
      <c r="S67" s="7">
        <v>17</v>
      </c>
      <c r="T67" s="7">
        <v>18</v>
      </c>
      <c r="U67" s="7">
        <v>19</v>
      </c>
      <c r="V67" s="6">
        <v>20</v>
      </c>
      <c r="W67" s="6">
        <v>21</v>
      </c>
      <c r="X67" s="7">
        <v>22</v>
      </c>
      <c r="Y67" s="7">
        <v>23</v>
      </c>
      <c r="Z67" s="7" t="s">
        <v>14</v>
      </c>
      <c r="AA67" s="7" t="s">
        <v>14</v>
      </c>
      <c r="AB67" s="7" t="s">
        <v>14</v>
      </c>
      <c r="AC67" s="7" t="s">
        <v>14</v>
      </c>
      <c r="AD67" s="7" t="s">
        <v>14</v>
      </c>
      <c r="AE67" s="7" t="s">
        <v>14</v>
      </c>
      <c r="AF67" s="7" t="s">
        <v>14</v>
      </c>
      <c r="AG67" s="21"/>
      <c r="AH67" s="21"/>
      <c r="AI67" s="2"/>
    </row>
    <row r="68" spans="2:36">
      <c r="B68" s="15" t="s">
        <v>15</v>
      </c>
      <c r="C68" s="7" t="s">
        <v>14</v>
      </c>
      <c r="D68" s="7" t="s">
        <v>14</v>
      </c>
      <c r="E68" s="7">
        <v>3</v>
      </c>
      <c r="F68" s="7">
        <v>4</v>
      </c>
      <c r="G68" s="7">
        <v>5</v>
      </c>
      <c r="H68" s="6">
        <v>6</v>
      </c>
      <c r="I68" s="6">
        <v>7</v>
      </c>
      <c r="J68" s="7">
        <v>8</v>
      </c>
      <c r="K68" s="7">
        <v>9</v>
      </c>
      <c r="L68" s="7">
        <v>10</v>
      </c>
      <c r="M68" s="7">
        <v>11</v>
      </c>
      <c r="N68" s="7">
        <v>12</v>
      </c>
      <c r="O68" s="6">
        <v>13</v>
      </c>
      <c r="P68" s="6">
        <v>14</v>
      </c>
      <c r="Q68" s="7">
        <v>15</v>
      </c>
      <c r="R68" s="7">
        <v>16</v>
      </c>
      <c r="S68" s="7" t="s">
        <v>14</v>
      </c>
      <c r="T68" s="7" t="s">
        <v>14</v>
      </c>
      <c r="U68" s="7" t="s">
        <v>14</v>
      </c>
      <c r="V68" s="7" t="s">
        <v>14</v>
      </c>
      <c r="W68" s="7" t="s">
        <v>14</v>
      </c>
      <c r="X68" s="7" t="s">
        <v>14</v>
      </c>
      <c r="Y68" s="7" t="s">
        <v>14</v>
      </c>
      <c r="Z68" s="7">
        <v>24</v>
      </c>
      <c r="AA68" s="7">
        <v>25</v>
      </c>
      <c r="AB68" s="7">
        <v>26</v>
      </c>
      <c r="AC68" s="6">
        <v>27</v>
      </c>
      <c r="AD68" s="6">
        <v>28</v>
      </c>
      <c r="AE68" s="7">
        <v>29</v>
      </c>
      <c r="AF68" s="7">
        <v>30</v>
      </c>
      <c r="AG68" s="21"/>
      <c r="AH68" s="21"/>
      <c r="AI68" s="2"/>
    </row>
    <row r="69" spans="2:36">
      <c r="B69" s="12" t="s">
        <v>16</v>
      </c>
      <c r="C69" s="7">
        <v>1</v>
      </c>
      <c r="D69" s="7">
        <v>2</v>
      </c>
      <c r="E69" s="7">
        <v>3</v>
      </c>
      <c r="F69" s="7">
        <v>4</v>
      </c>
      <c r="G69" s="7">
        <v>5</v>
      </c>
      <c r="H69" s="6">
        <v>6</v>
      </c>
      <c r="I69" s="6">
        <v>7</v>
      </c>
      <c r="J69" s="7">
        <v>8</v>
      </c>
      <c r="K69" s="7">
        <v>9</v>
      </c>
      <c r="L69" s="7">
        <v>10</v>
      </c>
      <c r="M69" s="7">
        <v>11</v>
      </c>
      <c r="N69" s="34" t="s">
        <v>17</v>
      </c>
      <c r="O69" s="6">
        <v>13</v>
      </c>
      <c r="P69" s="6">
        <v>14</v>
      </c>
      <c r="Q69" s="7">
        <v>15</v>
      </c>
      <c r="R69" s="7">
        <v>16</v>
      </c>
      <c r="S69" s="7">
        <v>17</v>
      </c>
      <c r="T69" s="7">
        <v>18</v>
      </c>
      <c r="U69" s="7">
        <v>19</v>
      </c>
      <c r="V69" s="6">
        <v>20</v>
      </c>
      <c r="W69" s="6">
        <v>21</v>
      </c>
      <c r="X69" s="7">
        <v>22</v>
      </c>
      <c r="Y69" s="7">
        <v>23</v>
      </c>
      <c r="Z69" s="7">
        <v>24</v>
      </c>
      <c r="AA69" s="7">
        <v>25</v>
      </c>
      <c r="AB69" s="34" t="s">
        <v>17</v>
      </c>
      <c r="AC69" s="6">
        <v>27</v>
      </c>
      <c r="AD69" s="6">
        <v>28</v>
      </c>
      <c r="AE69" s="7">
        <v>29</v>
      </c>
      <c r="AF69" s="7">
        <v>30</v>
      </c>
      <c r="AG69" s="21"/>
      <c r="AH69" s="21"/>
      <c r="AI69" s="2"/>
    </row>
    <row r="70" spans="2:36">
      <c r="B70" s="15" t="s">
        <v>18</v>
      </c>
      <c r="C70" s="7">
        <v>1</v>
      </c>
      <c r="D70" s="7">
        <v>2</v>
      </c>
      <c r="E70" s="7">
        <v>3</v>
      </c>
      <c r="F70" s="7">
        <v>4</v>
      </c>
      <c r="G70" s="7">
        <v>5</v>
      </c>
      <c r="H70" s="6">
        <v>6</v>
      </c>
      <c r="I70" s="6">
        <v>7</v>
      </c>
      <c r="J70" s="7">
        <v>8</v>
      </c>
      <c r="K70" s="7">
        <v>9</v>
      </c>
      <c r="L70" s="7">
        <v>10</v>
      </c>
      <c r="M70" s="7">
        <v>11</v>
      </c>
      <c r="N70" s="7">
        <v>12</v>
      </c>
      <c r="O70" s="6">
        <v>13</v>
      </c>
      <c r="P70" s="6">
        <v>14</v>
      </c>
      <c r="Q70" s="7">
        <v>15</v>
      </c>
      <c r="R70" s="7">
        <v>16</v>
      </c>
      <c r="S70" s="7">
        <v>17</v>
      </c>
      <c r="T70" s="7">
        <v>18</v>
      </c>
      <c r="U70" s="7">
        <v>19</v>
      </c>
      <c r="V70" s="6">
        <v>20</v>
      </c>
      <c r="W70" s="6">
        <v>21</v>
      </c>
      <c r="X70" s="7">
        <v>22</v>
      </c>
      <c r="Y70" s="7">
        <v>23</v>
      </c>
      <c r="Z70" s="7">
        <v>24</v>
      </c>
      <c r="AA70" s="7">
        <v>25</v>
      </c>
      <c r="AB70" s="7">
        <v>26</v>
      </c>
      <c r="AC70" s="6">
        <v>27</v>
      </c>
      <c r="AD70" s="6">
        <v>28</v>
      </c>
      <c r="AE70" s="7">
        <v>29</v>
      </c>
      <c r="AF70" s="7">
        <v>30</v>
      </c>
      <c r="AG70" s="21"/>
      <c r="AH70" s="21"/>
      <c r="AI70" s="2"/>
    </row>
    <row r="71" spans="2:36">
      <c r="B71" s="12" t="s">
        <v>19</v>
      </c>
      <c r="C71" s="7">
        <v>1</v>
      </c>
      <c r="D71" s="7">
        <v>2</v>
      </c>
      <c r="E71" s="7">
        <v>3</v>
      </c>
      <c r="F71" s="7">
        <v>4</v>
      </c>
      <c r="G71" s="7">
        <v>5</v>
      </c>
      <c r="H71" s="6">
        <v>6</v>
      </c>
      <c r="I71" s="6">
        <v>7</v>
      </c>
      <c r="J71" s="7">
        <v>8</v>
      </c>
      <c r="K71" s="7">
        <v>9</v>
      </c>
      <c r="L71" s="7">
        <v>10</v>
      </c>
      <c r="M71" s="7">
        <v>11</v>
      </c>
      <c r="N71" s="7">
        <v>12</v>
      </c>
      <c r="O71" s="6">
        <v>13</v>
      </c>
      <c r="P71" s="6">
        <v>14</v>
      </c>
      <c r="Q71" s="7">
        <v>15</v>
      </c>
      <c r="R71" s="7">
        <v>16</v>
      </c>
      <c r="S71" s="7">
        <v>17</v>
      </c>
      <c r="T71" s="7">
        <v>18</v>
      </c>
      <c r="U71" s="7">
        <v>19</v>
      </c>
      <c r="V71" s="6">
        <v>20</v>
      </c>
      <c r="W71" s="6">
        <v>21</v>
      </c>
      <c r="X71" s="7">
        <v>22</v>
      </c>
      <c r="Y71" s="7">
        <v>23</v>
      </c>
      <c r="Z71" s="7">
        <v>24</v>
      </c>
      <c r="AA71" s="7">
        <v>25</v>
      </c>
      <c r="AB71" s="7">
        <v>26</v>
      </c>
      <c r="AC71" s="6">
        <v>27</v>
      </c>
      <c r="AD71" s="6">
        <v>28</v>
      </c>
      <c r="AE71" s="7">
        <v>29</v>
      </c>
      <c r="AF71" s="7">
        <v>30</v>
      </c>
      <c r="AG71" s="21"/>
      <c r="AH71" s="21"/>
      <c r="AI71" s="2"/>
    </row>
    <row r="72" spans="2:36">
      <c r="B72" s="15" t="s">
        <v>20</v>
      </c>
      <c r="C72" s="7">
        <v>1</v>
      </c>
      <c r="D72" s="7">
        <v>2</v>
      </c>
      <c r="E72" s="7">
        <v>3</v>
      </c>
      <c r="F72" s="7">
        <v>4</v>
      </c>
      <c r="G72" s="7">
        <v>5</v>
      </c>
      <c r="H72" s="6">
        <v>6</v>
      </c>
      <c r="I72" s="6">
        <v>7</v>
      </c>
      <c r="J72" s="7">
        <v>8</v>
      </c>
      <c r="K72" s="7">
        <v>9</v>
      </c>
      <c r="L72" s="7" t="s">
        <v>14</v>
      </c>
      <c r="M72" s="7" t="s">
        <v>14</v>
      </c>
      <c r="N72" s="7" t="s">
        <v>14</v>
      </c>
      <c r="O72" s="7" t="s">
        <v>14</v>
      </c>
      <c r="P72" s="7" t="s">
        <v>14</v>
      </c>
      <c r="Q72" s="7" t="s">
        <v>14</v>
      </c>
      <c r="R72" s="7" t="s">
        <v>14</v>
      </c>
      <c r="S72" s="7">
        <v>17</v>
      </c>
      <c r="T72" s="7">
        <v>18</v>
      </c>
      <c r="U72" s="7">
        <v>19</v>
      </c>
      <c r="V72" s="6">
        <v>20</v>
      </c>
      <c r="W72" s="6">
        <v>21</v>
      </c>
      <c r="X72" s="7">
        <v>22</v>
      </c>
      <c r="Y72" s="7">
        <v>23</v>
      </c>
      <c r="Z72" s="7">
        <v>24</v>
      </c>
      <c r="AA72" s="7">
        <v>25</v>
      </c>
      <c r="AB72" s="7">
        <v>26</v>
      </c>
      <c r="AC72" s="6">
        <v>27</v>
      </c>
      <c r="AD72" s="6">
        <v>28</v>
      </c>
      <c r="AE72" s="7">
        <v>29</v>
      </c>
      <c r="AF72" s="7">
        <v>30</v>
      </c>
      <c r="AG72" s="21"/>
      <c r="AH72" s="21"/>
      <c r="AI72" s="2"/>
    </row>
    <row r="73" spans="2:36">
      <c r="B73" s="12" t="s">
        <v>21</v>
      </c>
      <c r="C73" s="7">
        <v>1</v>
      </c>
      <c r="D73" s="7">
        <v>2</v>
      </c>
      <c r="E73" s="7">
        <v>3</v>
      </c>
      <c r="F73" s="7">
        <v>4</v>
      </c>
      <c r="G73" s="34" t="s">
        <v>17</v>
      </c>
      <c r="H73" s="6">
        <v>6</v>
      </c>
      <c r="I73" s="6">
        <v>7</v>
      </c>
      <c r="J73" s="7">
        <v>8</v>
      </c>
      <c r="K73" s="7">
        <v>9</v>
      </c>
      <c r="L73" s="7">
        <v>10</v>
      </c>
      <c r="M73" s="7">
        <v>11</v>
      </c>
      <c r="N73" s="7">
        <v>12</v>
      </c>
      <c r="O73" s="6">
        <v>13</v>
      </c>
      <c r="P73" s="6">
        <v>14</v>
      </c>
      <c r="Q73" s="7">
        <v>15</v>
      </c>
      <c r="R73" s="7">
        <v>16</v>
      </c>
      <c r="S73" s="7">
        <v>17</v>
      </c>
      <c r="T73" s="7">
        <v>18</v>
      </c>
      <c r="U73" s="34" t="s">
        <v>17</v>
      </c>
      <c r="V73" s="6">
        <v>20</v>
      </c>
      <c r="W73" s="6">
        <v>21</v>
      </c>
      <c r="X73" s="7">
        <v>22</v>
      </c>
      <c r="Y73" s="7">
        <v>23</v>
      </c>
      <c r="Z73" s="7">
        <v>24</v>
      </c>
      <c r="AA73" s="7">
        <v>25</v>
      </c>
      <c r="AB73" s="7">
        <v>26</v>
      </c>
      <c r="AC73" s="6">
        <v>27</v>
      </c>
      <c r="AD73" s="6">
        <v>28</v>
      </c>
      <c r="AE73" s="7">
        <v>29</v>
      </c>
      <c r="AF73" s="7">
        <v>30</v>
      </c>
      <c r="AG73" s="21"/>
      <c r="AH73" s="21"/>
    </row>
    <row r="74" spans="2:36">
      <c r="AH74" s="14"/>
    </row>
    <row r="75" spans="2:36">
      <c r="B75" s="5">
        <v>44013</v>
      </c>
      <c r="C75" s="1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4"/>
      <c r="AJ75" s="4"/>
    </row>
    <row r="76" spans="2:36">
      <c r="B76" s="9"/>
      <c r="C76" s="10" t="s">
        <v>1</v>
      </c>
      <c r="D76" s="10" t="s">
        <v>2</v>
      </c>
      <c r="E76" s="10" t="s">
        <v>3</v>
      </c>
      <c r="F76" s="10" t="s">
        <v>4</v>
      </c>
      <c r="G76" s="10" t="s">
        <v>5</v>
      </c>
      <c r="H76" s="10" t="s">
        <v>6</v>
      </c>
      <c r="I76" s="10" t="s">
        <v>7</v>
      </c>
      <c r="J76" s="10" t="s">
        <v>1</v>
      </c>
      <c r="K76" s="10" t="s">
        <v>2</v>
      </c>
      <c r="L76" s="10" t="s">
        <v>3</v>
      </c>
      <c r="M76" s="10" t="s">
        <v>4</v>
      </c>
      <c r="N76" s="11" t="s">
        <v>5</v>
      </c>
      <c r="O76" s="10" t="s">
        <v>6</v>
      </c>
      <c r="P76" s="10" t="s">
        <v>7</v>
      </c>
      <c r="Q76" s="10" t="s">
        <v>1</v>
      </c>
      <c r="R76" s="10" t="s">
        <v>2</v>
      </c>
      <c r="S76" s="10" t="s">
        <v>3</v>
      </c>
      <c r="T76" s="10" t="s">
        <v>4</v>
      </c>
      <c r="U76" s="10" t="s">
        <v>5</v>
      </c>
      <c r="V76" s="10" t="s">
        <v>6</v>
      </c>
      <c r="W76" s="10" t="s">
        <v>7</v>
      </c>
      <c r="X76" s="10" t="s">
        <v>1</v>
      </c>
      <c r="Y76" s="10" t="s">
        <v>2</v>
      </c>
      <c r="Z76" s="10" t="s">
        <v>3</v>
      </c>
      <c r="AA76" s="10" t="s">
        <v>4</v>
      </c>
      <c r="AB76" s="10" t="s">
        <v>5</v>
      </c>
      <c r="AC76" s="13" t="s">
        <v>6</v>
      </c>
      <c r="AD76" s="10" t="s">
        <v>7</v>
      </c>
      <c r="AE76" s="10" t="s">
        <v>1</v>
      </c>
      <c r="AF76" s="10" t="s">
        <v>2</v>
      </c>
      <c r="AG76" s="10" t="s">
        <v>3</v>
      </c>
      <c r="AH76" s="2"/>
      <c r="AI76" s="2"/>
    </row>
    <row r="77" spans="2:36">
      <c r="B77" s="12" t="s">
        <v>8</v>
      </c>
      <c r="C77" s="7" t="s">
        <v>9</v>
      </c>
      <c r="D77" s="7" t="s">
        <v>9</v>
      </c>
      <c r="E77" s="7" t="s">
        <v>9</v>
      </c>
      <c r="F77" s="6">
        <v>4</v>
      </c>
      <c r="G77" s="6">
        <v>5</v>
      </c>
      <c r="H77" s="7">
        <v>6</v>
      </c>
      <c r="I77" s="7">
        <v>7</v>
      </c>
      <c r="J77" s="7">
        <v>8</v>
      </c>
      <c r="K77" s="7">
        <v>9</v>
      </c>
      <c r="L77" s="7">
        <v>10</v>
      </c>
      <c r="M77" s="6">
        <v>11</v>
      </c>
      <c r="N77" s="6">
        <v>12</v>
      </c>
      <c r="O77" s="7">
        <v>13</v>
      </c>
      <c r="P77" s="7">
        <v>14</v>
      </c>
      <c r="Q77" s="7">
        <v>15</v>
      </c>
      <c r="R77" s="7">
        <v>16</v>
      </c>
      <c r="S77" s="7">
        <v>17</v>
      </c>
      <c r="T77" s="6">
        <v>18</v>
      </c>
      <c r="U77" s="6">
        <v>19</v>
      </c>
      <c r="V77" s="7">
        <v>20</v>
      </c>
      <c r="W77" s="7">
        <v>21</v>
      </c>
      <c r="X77" s="7">
        <v>22</v>
      </c>
      <c r="Y77" s="7">
        <v>23</v>
      </c>
      <c r="Z77" s="7">
        <v>24</v>
      </c>
      <c r="AA77" s="8">
        <v>25</v>
      </c>
      <c r="AB77" s="6">
        <v>26</v>
      </c>
      <c r="AC77" s="7">
        <v>27</v>
      </c>
      <c r="AD77" s="7">
        <v>28</v>
      </c>
      <c r="AE77" s="7">
        <v>29</v>
      </c>
      <c r="AF77" s="7">
        <v>30</v>
      </c>
      <c r="AG77" s="7">
        <v>31</v>
      </c>
      <c r="AH77" s="21"/>
      <c r="AI77" s="2"/>
    </row>
    <row r="78" spans="2:36">
      <c r="B78" s="15" t="s">
        <v>10</v>
      </c>
      <c r="C78" s="7">
        <v>1</v>
      </c>
      <c r="D78" s="7">
        <v>2</v>
      </c>
      <c r="E78" s="7">
        <v>3</v>
      </c>
      <c r="F78" s="6">
        <v>4</v>
      </c>
      <c r="G78" s="6">
        <v>5</v>
      </c>
      <c r="H78" s="7">
        <v>6</v>
      </c>
      <c r="I78" s="7">
        <v>7</v>
      </c>
      <c r="J78" s="7">
        <v>8</v>
      </c>
      <c r="K78" s="7">
        <v>9</v>
      </c>
      <c r="L78" s="7">
        <v>10</v>
      </c>
      <c r="M78" s="6">
        <v>11</v>
      </c>
      <c r="N78" s="6">
        <v>12</v>
      </c>
      <c r="O78" s="7">
        <v>13</v>
      </c>
      <c r="P78" s="7">
        <v>14</v>
      </c>
      <c r="Q78" s="7">
        <v>15</v>
      </c>
      <c r="R78" s="7">
        <v>16</v>
      </c>
      <c r="S78" s="7">
        <v>17</v>
      </c>
      <c r="T78" s="6">
        <v>18</v>
      </c>
      <c r="U78" s="6">
        <v>19</v>
      </c>
      <c r="V78" s="7">
        <v>20</v>
      </c>
      <c r="W78" s="7">
        <v>21</v>
      </c>
      <c r="X78" s="7">
        <v>22</v>
      </c>
      <c r="Y78" s="7">
        <v>23</v>
      </c>
      <c r="Z78" s="7">
        <v>24</v>
      </c>
      <c r="AA78" s="8">
        <v>25</v>
      </c>
      <c r="AB78" s="6">
        <v>26</v>
      </c>
      <c r="AC78" s="7">
        <v>27</v>
      </c>
      <c r="AD78" s="7">
        <v>28</v>
      </c>
      <c r="AE78" s="7">
        <v>29</v>
      </c>
      <c r="AF78" s="7">
        <v>30</v>
      </c>
      <c r="AG78" s="7">
        <v>31</v>
      </c>
      <c r="AH78" s="21"/>
      <c r="AI78" s="2"/>
    </row>
    <row r="79" spans="2:36">
      <c r="B79" s="12" t="s">
        <v>11</v>
      </c>
      <c r="C79" s="7">
        <v>1</v>
      </c>
      <c r="D79" s="7">
        <v>2</v>
      </c>
      <c r="E79" s="7">
        <v>3</v>
      </c>
      <c r="F79" s="6">
        <v>4</v>
      </c>
      <c r="G79" s="6">
        <v>5</v>
      </c>
      <c r="H79" s="7" t="s">
        <v>9</v>
      </c>
      <c r="I79" s="7" t="s">
        <v>9</v>
      </c>
      <c r="J79" s="7" t="s">
        <v>9</v>
      </c>
      <c r="K79" s="7" t="s">
        <v>9</v>
      </c>
      <c r="L79" s="7" t="s">
        <v>9</v>
      </c>
      <c r="M79" s="6">
        <v>11</v>
      </c>
      <c r="N79" s="6">
        <v>12</v>
      </c>
      <c r="O79" s="7" t="s">
        <v>9</v>
      </c>
      <c r="P79" s="7" t="s">
        <v>9</v>
      </c>
      <c r="Q79" s="7" t="s">
        <v>9</v>
      </c>
      <c r="R79" s="7" t="s">
        <v>9</v>
      </c>
      <c r="S79" s="7" t="s">
        <v>9</v>
      </c>
      <c r="T79" s="6">
        <v>18</v>
      </c>
      <c r="U79" s="6">
        <v>19</v>
      </c>
      <c r="V79" s="7" t="s">
        <v>9</v>
      </c>
      <c r="W79" s="7" t="s">
        <v>9</v>
      </c>
      <c r="X79" s="7" t="s">
        <v>9</v>
      </c>
      <c r="Y79" s="7" t="s">
        <v>9</v>
      </c>
      <c r="Z79" s="7" t="s">
        <v>9</v>
      </c>
      <c r="AA79" s="8">
        <v>25</v>
      </c>
      <c r="AB79" s="6">
        <v>26</v>
      </c>
      <c r="AC79" s="7">
        <v>27</v>
      </c>
      <c r="AD79" s="7">
        <v>28</v>
      </c>
      <c r="AE79" s="7" t="s">
        <v>14</v>
      </c>
      <c r="AF79" s="7" t="s">
        <v>14</v>
      </c>
      <c r="AG79" s="7" t="s">
        <v>14</v>
      </c>
      <c r="AH79" s="21"/>
      <c r="AI79" s="2"/>
    </row>
    <row r="80" spans="2:36">
      <c r="B80" s="15" t="s">
        <v>15</v>
      </c>
      <c r="C80" s="7">
        <v>1</v>
      </c>
      <c r="D80" s="7">
        <v>2</v>
      </c>
      <c r="E80" s="7">
        <v>3</v>
      </c>
      <c r="F80" s="6">
        <v>4</v>
      </c>
      <c r="G80" s="6">
        <v>5</v>
      </c>
      <c r="H80" s="36" t="s">
        <v>25</v>
      </c>
      <c r="I80" s="7">
        <v>7</v>
      </c>
      <c r="J80" s="36" t="s">
        <v>26</v>
      </c>
      <c r="K80" s="7" t="s">
        <v>14</v>
      </c>
      <c r="L80" s="7" t="s">
        <v>14</v>
      </c>
      <c r="M80" s="7" t="s">
        <v>14</v>
      </c>
      <c r="N80" s="7" t="s">
        <v>14</v>
      </c>
      <c r="O80" s="7" t="s">
        <v>14</v>
      </c>
      <c r="P80" s="7" t="s">
        <v>14</v>
      </c>
      <c r="Q80" s="7">
        <v>15</v>
      </c>
      <c r="R80" s="7">
        <v>16</v>
      </c>
      <c r="S80" s="7" t="s">
        <v>14</v>
      </c>
      <c r="T80" s="7" t="s">
        <v>14</v>
      </c>
      <c r="U80" s="7" t="s">
        <v>14</v>
      </c>
      <c r="V80" s="7">
        <v>20</v>
      </c>
      <c r="W80" s="7">
        <v>21</v>
      </c>
      <c r="X80" s="7" t="s">
        <v>14</v>
      </c>
      <c r="Y80" s="7" t="s">
        <v>14</v>
      </c>
      <c r="Z80" s="7">
        <v>10</v>
      </c>
      <c r="AA80" s="8">
        <v>25</v>
      </c>
      <c r="AB80" s="6">
        <v>26</v>
      </c>
      <c r="AC80" s="7" t="s">
        <v>14</v>
      </c>
      <c r="AD80" s="7" t="s">
        <v>14</v>
      </c>
      <c r="AE80" s="7">
        <v>29</v>
      </c>
      <c r="AF80" s="7">
        <v>30</v>
      </c>
      <c r="AG80" s="7">
        <v>31</v>
      </c>
      <c r="AH80" s="21"/>
      <c r="AI80" s="2"/>
    </row>
    <row r="81" spans="2:36">
      <c r="B81" s="12" t="s">
        <v>16</v>
      </c>
      <c r="C81" s="7">
        <v>1</v>
      </c>
      <c r="D81" s="7">
        <v>2</v>
      </c>
      <c r="E81" s="7">
        <v>3</v>
      </c>
      <c r="F81" s="6">
        <v>4</v>
      </c>
      <c r="G81" s="6">
        <v>5</v>
      </c>
      <c r="H81" s="34" t="s">
        <v>17</v>
      </c>
      <c r="I81" s="34" t="s">
        <v>17</v>
      </c>
      <c r="J81" s="34" t="s">
        <v>17</v>
      </c>
      <c r="K81" s="34" t="s">
        <v>17</v>
      </c>
      <c r="L81" s="34" t="s">
        <v>17</v>
      </c>
      <c r="M81" s="6">
        <v>11</v>
      </c>
      <c r="N81" s="6">
        <v>12</v>
      </c>
      <c r="O81" s="7">
        <v>13</v>
      </c>
      <c r="P81" s="7">
        <v>14</v>
      </c>
      <c r="Q81" s="7">
        <v>15</v>
      </c>
      <c r="R81" s="7">
        <v>16</v>
      </c>
      <c r="S81" s="7">
        <v>17</v>
      </c>
      <c r="T81" s="6">
        <v>18</v>
      </c>
      <c r="U81" s="6">
        <v>19</v>
      </c>
      <c r="V81" s="7">
        <v>20</v>
      </c>
      <c r="W81" s="7">
        <v>21</v>
      </c>
      <c r="X81" s="7">
        <v>22</v>
      </c>
      <c r="Y81" s="7">
        <v>23</v>
      </c>
      <c r="Z81" s="7">
        <v>24</v>
      </c>
      <c r="AA81" s="8">
        <v>25</v>
      </c>
      <c r="AB81" s="6">
        <v>26</v>
      </c>
      <c r="AC81" s="7">
        <v>27</v>
      </c>
      <c r="AD81" s="7">
        <v>28</v>
      </c>
      <c r="AE81" s="7">
        <v>29</v>
      </c>
      <c r="AF81" s="7">
        <v>30</v>
      </c>
      <c r="AG81" s="7">
        <v>31</v>
      </c>
      <c r="AH81" s="21"/>
      <c r="AI81" s="2"/>
    </row>
    <row r="82" spans="2:36">
      <c r="B82" s="15" t="s">
        <v>18</v>
      </c>
      <c r="C82" s="7">
        <v>1</v>
      </c>
      <c r="D82" s="7">
        <v>2</v>
      </c>
      <c r="E82" s="7">
        <v>3</v>
      </c>
      <c r="F82" s="6">
        <v>4</v>
      </c>
      <c r="G82" s="6">
        <v>5</v>
      </c>
      <c r="H82" s="7">
        <v>6</v>
      </c>
      <c r="I82" s="7">
        <v>7</v>
      </c>
      <c r="J82" s="7">
        <v>8</v>
      </c>
      <c r="K82" s="7">
        <v>9</v>
      </c>
      <c r="L82" s="7">
        <v>10</v>
      </c>
      <c r="M82" s="6">
        <v>11</v>
      </c>
      <c r="N82" s="6">
        <v>12</v>
      </c>
      <c r="O82" s="35" t="s">
        <v>12</v>
      </c>
      <c r="P82" s="35" t="s">
        <v>12</v>
      </c>
      <c r="Q82" s="35" t="s">
        <v>12</v>
      </c>
      <c r="R82" s="35" t="s">
        <v>12</v>
      </c>
      <c r="S82" s="35" t="s">
        <v>12</v>
      </c>
      <c r="T82" s="6">
        <v>18</v>
      </c>
      <c r="U82" s="6">
        <v>19</v>
      </c>
      <c r="V82" s="35" t="s">
        <v>12</v>
      </c>
      <c r="W82" s="35" t="s">
        <v>12</v>
      </c>
      <c r="X82" s="35" t="s">
        <v>12</v>
      </c>
      <c r="Y82" s="35" t="s">
        <v>12</v>
      </c>
      <c r="Z82" s="35" t="s">
        <v>12</v>
      </c>
      <c r="AA82" s="8">
        <v>25</v>
      </c>
      <c r="AB82" s="6">
        <v>26</v>
      </c>
      <c r="AC82" s="35" t="s">
        <v>12</v>
      </c>
      <c r="AD82" s="35" t="s">
        <v>12</v>
      </c>
      <c r="AE82" s="35" t="s">
        <v>12</v>
      </c>
      <c r="AF82" s="35" t="s">
        <v>12</v>
      </c>
      <c r="AG82" s="35" t="s">
        <v>12</v>
      </c>
      <c r="AH82" s="21"/>
      <c r="AI82" s="2"/>
    </row>
    <row r="83" spans="2:36">
      <c r="B83" s="12" t="s">
        <v>19</v>
      </c>
      <c r="C83" s="7">
        <v>1</v>
      </c>
      <c r="D83" s="7">
        <v>2</v>
      </c>
      <c r="E83" s="7">
        <v>3</v>
      </c>
      <c r="F83" s="6">
        <v>4</v>
      </c>
      <c r="G83" s="6">
        <v>5</v>
      </c>
      <c r="H83" s="7">
        <v>6</v>
      </c>
      <c r="I83" s="7">
        <v>7</v>
      </c>
      <c r="J83" s="7">
        <v>8</v>
      </c>
      <c r="K83" s="7">
        <v>9</v>
      </c>
      <c r="L83" s="7">
        <v>10</v>
      </c>
      <c r="M83" s="6">
        <v>11</v>
      </c>
      <c r="N83" s="6">
        <v>12</v>
      </c>
      <c r="O83" s="7" t="s">
        <v>9</v>
      </c>
      <c r="P83" s="7" t="s">
        <v>9</v>
      </c>
      <c r="Q83" s="7" t="s">
        <v>9</v>
      </c>
      <c r="R83" s="7" t="s">
        <v>9</v>
      </c>
      <c r="S83" s="7" t="s">
        <v>9</v>
      </c>
      <c r="T83" s="6">
        <v>18</v>
      </c>
      <c r="U83" s="6">
        <v>19</v>
      </c>
      <c r="V83" s="7" t="s">
        <v>9</v>
      </c>
      <c r="W83" s="7" t="s">
        <v>9</v>
      </c>
      <c r="X83" s="7" t="s">
        <v>9</v>
      </c>
      <c r="Y83" s="7" t="s">
        <v>9</v>
      </c>
      <c r="Z83" s="7" t="s">
        <v>9</v>
      </c>
      <c r="AA83" s="8">
        <v>25</v>
      </c>
      <c r="AB83" s="6">
        <v>26</v>
      </c>
      <c r="AC83" s="7" t="s">
        <v>9</v>
      </c>
      <c r="AD83" s="7" t="s">
        <v>9</v>
      </c>
      <c r="AE83" s="7" t="s">
        <v>9</v>
      </c>
      <c r="AF83" s="7" t="s">
        <v>9</v>
      </c>
      <c r="AG83" s="7" t="s">
        <v>9</v>
      </c>
      <c r="AH83" s="21"/>
      <c r="AI83" s="2"/>
    </row>
    <row r="84" spans="2:36">
      <c r="B84" s="15" t="s">
        <v>20</v>
      </c>
      <c r="C84" s="7" t="s">
        <v>14</v>
      </c>
      <c r="D84" s="7" t="s">
        <v>14</v>
      </c>
      <c r="E84" s="36" t="s">
        <v>26</v>
      </c>
      <c r="F84" s="36" t="s">
        <v>26</v>
      </c>
      <c r="G84" s="7" t="s">
        <v>14</v>
      </c>
      <c r="H84" s="7" t="s">
        <v>14</v>
      </c>
      <c r="I84" s="7" t="s">
        <v>14</v>
      </c>
      <c r="J84" s="36" t="s">
        <v>25</v>
      </c>
      <c r="K84" s="7">
        <v>9</v>
      </c>
      <c r="L84" s="7">
        <v>10</v>
      </c>
      <c r="M84" s="36" t="s">
        <v>25</v>
      </c>
      <c r="N84" s="6">
        <v>12</v>
      </c>
      <c r="O84" s="36" t="s">
        <v>25</v>
      </c>
      <c r="P84" s="7">
        <v>14</v>
      </c>
      <c r="Q84" s="7" t="s">
        <v>14</v>
      </c>
      <c r="R84" s="36" t="s">
        <v>26</v>
      </c>
      <c r="S84" s="7">
        <v>17</v>
      </c>
      <c r="T84" s="6">
        <v>18</v>
      </c>
      <c r="U84" s="6">
        <v>19</v>
      </c>
      <c r="V84" s="7" t="s">
        <v>14</v>
      </c>
      <c r="W84" s="7" t="s">
        <v>14</v>
      </c>
      <c r="X84" s="36" t="s">
        <v>25</v>
      </c>
      <c r="Y84" s="7">
        <v>23</v>
      </c>
      <c r="Z84" s="7" t="s">
        <v>14</v>
      </c>
      <c r="AA84" s="7" t="s">
        <v>14</v>
      </c>
      <c r="AB84" s="7" t="s">
        <v>14</v>
      </c>
      <c r="AC84" s="7" t="s">
        <v>9</v>
      </c>
      <c r="AD84" s="7" t="s">
        <v>9</v>
      </c>
      <c r="AE84" s="7" t="s">
        <v>9</v>
      </c>
      <c r="AF84" s="7" t="s">
        <v>9</v>
      </c>
      <c r="AG84" s="7" t="s">
        <v>9</v>
      </c>
      <c r="AH84" s="21"/>
      <c r="AI84" s="2"/>
    </row>
    <row r="85" spans="2:36">
      <c r="B85" s="12" t="s">
        <v>21</v>
      </c>
      <c r="C85" s="34" t="s">
        <v>17</v>
      </c>
      <c r="D85" s="34" t="s">
        <v>17</v>
      </c>
      <c r="E85" s="34" t="s">
        <v>17</v>
      </c>
      <c r="F85" s="6">
        <v>4</v>
      </c>
      <c r="G85" s="6">
        <v>5</v>
      </c>
      <c r="H85" s="7">
        <v>6</v>
      </c>
      <c r="I85" s="7">
        <v>7</v>
      </c>
      <c r="J85" s="7">
        <v>8</v>
      </c>
      <c r="K85" s="7">
        <v>9</v>
      </c>
      <c r="L85" s="7">
        <v>10</v>
      </c>
      <c r="M85" s="6">
        <v>11</v>
      </c>
      <c r="N85" s="6">
        <v>12</v>
      </c>
      <c r="O85" s="7" t="s">
        <v>9</v>
      </c>
      <c r="P85" s="7" t="s">
        <v>9</v>
      </c>
      <c r="Q85" s="7" t="s">
        <v>9</v>
      </c>
      <c r="R85" s="7" t="s">
        <v>9</v>
      </c>
      <c r="S85" s="7" t="s">
        <v>9</v>
      </c>
      <c r="T85" s="6">
        <v>18</v>
      </c>
      <c r="U85" s="6">
        <v>19</v>
      </c>
      <c r="V85" s="7" t="s">
        <v>9</v>
      </c>
      <c r="W85" s="7" t="s">
        <v>9</v>
      </c>
      <c r="X85" s="7" t="s">
        <v>9</v>
      </c>
      <c r="Y85" s="7" t="s">
        <v>9</v>
      </c>
      <c r="Z85" s="7" t="s">
        <v>9</v>
      </c>
      <c r="AA85" s="8">
        <v>25</v>
      </c>
      <c r="AB85" s="6">
        <v>26</v>
      </c>
      <c r="AC85" s="34" t="s">
        <v>17</v>
      </c>
      <c r="AD85" s="34" t="s">
        <v>17</v>
      </c>
      <c r="AE85" s="34" t="s">
        <v>17</v>
      </c>
      <c r="AF85" s="34" t="s">
        <v>17</v>
      </c>
      <c r="AG85" s="34" t="s">
        <v>17</v>
      </c>
      <c r="AH85" s="21"/>
    </row>
    <row r="86" spans="2:36">
      <c r="T86" s="31"/>
      <c r="U86" s="32"/>
      <c r="V86" s="33"/>
      <c r="W86" s="32"/>
      <c r="X86" s="32"/>
      <c r="Y86" s="32"/>
    </row>
    <row r="87" spans="2:36">
      <c r="B87" s="5">
        <v>44044</v>
      </c>
      <c r="C87" s="1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4"/>
      <c r="AJ87" s="4"/>
    </row>
    <row r="88" spans="2:36">
      <c r="B88" s="9"/>
      <c r="C88" s="10" t="s">
        <v>4</v>
      </c>
      <c r="D88" s="10" t="s">
        <v>5</v>
      </c>
      <c r="E88" s="10" t="s">
        <v>6</v>
      </c>
      <c r="F88" s="10" t="s">
        <v>7</v>
      </c>
      <c r="G88" s="10" t="s">
        <v>1</v>
      </c>
      <c r="H88" s="10" t="s">
        <v>2</v>
      </c>
      <c r="I88" s="10" t="s">
        <v>3</v>
      </c>
      <c r="J88" s="10" t="s">
        <v>4</v>
      </c>
      <c r="K88" s="11" t="s">
        <v>5</v>
      </c>
      <c r="L88" s="10" t="s">
        <v>6</v>
      </c>
      <c r="M88" s="10" t="s">
        <v>7</v>
      </c>
      <c r="N88" s="10" t="s">
        <v>1</v>
      </c>
      <c r="O88" s="10" t="s">
        <v>2</v>
      </c>
      <c r="P88" s="10" t="s">
        <v>3</v>
      </c>
      <c r="Q88" s="10" t="s">
        <v>4</v>
      </c>
      <c r="R88" s="10" t="s">
        <v>5</v>
      </c>
      <c r="S88" s="10" t="s">
        <v>6</v>
      </c>
      <c r="T88" s="10" t="s">
        <v>7</v>
      </c>
      <c r="U88" s="10" t="s">
        <v>1</v>
      </c>
      <c r="V88" s="10" t="s">
        <v>2</v>
      </c>
      <c r="W88" s="10" t="s">
        <v>3</v>
      </c>
      <c r="X88" s="10" t="s">
        <v>4</v>
      </c>
      <c r="Y88" s="11" t="s">
        <v>5</v>
      </c>
      <c r="Z88" s="10" t="s">
        <v>6</v>
      </c>
      <c r="AA88" s="10" t="s">
        <v>7</v>
      </c>
      <c r="AB88" s="10" t="s">
        <v>1</v>
      </c>
      <c r="AC88" s="13" t="s">
        <v>2</v>
      </c>
      <c r="AD88" s="10" t="s">
        <v>3</v>
      </c>
      <c r="AE88" s="10" t="s">
        <v>4</v>
      </c>
      <c r="AF88" s="10" t="s">
        <v>5</v>
      </c>
      <c r="AG88" s="10" t="s">
        <v>6</v>
      </c>
      <c r="AH88" s="2"/>
      <c r="AI88" s="2"/>
    </row>
    <row r="89" spans="2:36">
      <c r="B89" s="12" t="s">
        <v>8</v>
      </c>
      <c r="C89" s="6">
        <v>1</v>
      </c>
      <c r="D89" s="6">
        <v>2</v>
      </c>
      <c r="E89" s="7">
        <v>3</v>
      </c>
      <c r="F89" s="7">
        <v>4</v>
      </c>
      <c r="G89" s="7">
        <v>5</v>
      </c>
      <c r="H89" s="7">
        <v>6</v>
      </c>
      <c r="I89" s="7">
        <v>7</v>
      </c>
      <c r="J89" s="6">
        <v>8</v>
      </c>
      <c r="K89" s="6">
        <v>9</v>
      </c>
      <c r="L89" s="7">
        <v>10</v>
      </c>
      <c r="M89" s="7">
        <v>11</v>
      </c>
      <c r="N89" s="7">
        <v>12</v>
      </c>
      <c r="O89" s="7">
        <v>13</v>
      </c>
      <c r="P89" s="7">
        <v>14</v>
      </c>
      <c r="Q89" s="8">
        <v>15</v>
      </c>
      <c r="R89" s="6">
        <v>16</v>
      </c>
      <c r="S89" s="7">
        <v>17</v>
      </c>
      <c r="T89" s="7">
        <v>18</v>
      </c>
      <c r="U89" s="7">
        <v>19</v>
      </c>
      <c r="V89" s="7">
        <v>20</v>
      </c>
      <c r="W89" s="7">
        <v>21</v>
      </c>
      <c r="X89" s="6">
        <v>22</v>
      </c>
      <c r="Y89" s="6">
        <v>23</v>
      </c>
      <c r="Z89" s="7">
        <v>24</v>
      </c>
      <c r="AA89" s="7">
        <v>25</v>
      </c>
      <c r="AB89" s="7">
        <v>26</v>
      </c>
      <c r="AC89" s="7">
        <v>27</v>
      </c>
      <c r="AD89" s="7">
        <v>28</v>
      </c>
      <c r="AE89" s="6">
        <v>29</v>
      </c>
      <c r="AF89" s="6">
        <v>30</v>
      </c>
      <c r="AG89" s="7">
        <v>31</v>
      </c>
      <c r="AH89" s="21"/>
      <c r="AI89" s="2"/>
    </row>
    <row r="90" spans="2:36">
      <c r="B90" s="15" t="s">
        <v>10</v>
      </c>
      <c r="C90" s="6">
        <v>1</v>
      </c>
      <c r="D90" s="6">
        <v>2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  <c r="J90" s="6">
        <v>8</v>
      </c>
      <c r="K90" s="6">
        <v>9</v>
      </c>
      <c r="L90" s="7" t="s">
        <v>9</v>
      </c>
      <c r="M90" s="7" t="s">
        <v>9</v>
      </c>
      <c r="N90" s="7" t="s">
        <v>9</v>
      </c>
      <c r="O90" s="7" t="s">
        <v>9</v>
      </c>
      <c r="P90" s="7" t="s">
        <v>9</v>
      </c>
      <c r="Q90" s="8">
        <v>15</v>
      </c>
      <c r="R90" s="6">
        <v>16</v>
      </c>
      <c r="S90" s="7">
        <v>17</v>
      </c>
      <c r="T90" s="7">
        <v>18</v>
      </c>
      <c r="U90" s="7">
        <v>19</v>
      </c>
      <c r="V90" s="7">
        <v>20</v>
      </c>
      <c r="W90" s="7">
        <v>21</v>
      </c>
      <c r="X90" s="6">
        <v>22</v>
      </c>
      <c r="Y90" s="6">
        <v>23</v>
      </c>
      <c r="Z90" s="7">
        <v>24</v>
      </c>
      <c r="AA90" s="7">
        <v>25</v>
      </c>
      <c r="AB90" s="7">
        <v>26</v>
      </c>
      <c r="AC90" s="7">
        <v>27</v>
      </c>
      <c r="AD90" s="7">
        <v>28</v>
      </c>
      <c r="AE90" s="6">
        <v>29</v>
      </c>
      <c r="AF90" s="6">
        <v>30</v>
      </c>
      <c r="AG90" s="7">
        <v>31</v>
      </c>
      <c r="AH90" s="21"/>
      <c r="AI90" s="2"/>
    </row>
    <row r="91" spans="2:36">
      <c r="B91" s="12" t="s">
        <v>11</v>
      </c>
      <c r="C91" s="6" t="s">
        <v>14</v>
      </c>
      <c r="D91" s="6" t="s">
        <v>14</v>
      </c>
      <c r="E91" s="7" t="s">
        <v>14</v>
      </c>
      <c r="F91" s="7" t="s">
        <v>14</v>
      </c>
      <c r="G91" s="7">
        <v>5</v>
      </c>
      <c r="H91" s="7">
        <v>6</v>
      </c>
      <c r="I91" s="7">
        <v>7</v>
      </c>
      <c r="J91" s="6">
        <v>8</v>
      </c>
      <c r="K91" s="6">
        <v>9</v>
      </c>
      <c r="L91" s="7">
        <v>10</v>
      </c>
      <c r="M91" s="7">
        <v>11</v>
      </c>
      <c r="N91" s="7" t="s">
        <v>14</v>
      </c>
      <c r="O91" s="7" t="s">
        <v>14</v>
      </c>
      <c r="P91" s="7" t="s">
        <v>14</v>
      </c>
      <c r="Q91" s="7" t="s">
        <v>14</v>
      </c>
      <c r="R91" s="7" t="s">
        <v>14</v>
      </c>
      <c r="S91" s="7" t="s">
        <v>14</v>
      </c>
      <c r="T91" s="7" t="s">
        <v>14</v>
      </c>
      <c r="U91" s="7">
        <v>19</v>
      </c>
      <c r="V91" s="7">
        <v>20</v>
      </c>
      <c r="W91" s="7">
        <v>21</v>
      </c>
      <c r="X91" s="6">
        <v>22</v>
      </c>
      <c r="Y91" s="6">
        <v>23</v>
      </c>
      <c r="Z91" s="7">
        <v>24</v>
      </c>
      <c r="AA91" s="7">
        <v>25</v>
      </c>
      <c r="AB91" s="7" t="s">
        <v>14</v>
      </c>
      <c r="AC91" s="7" t="s">
        <v>14</v>
      </c>
      <c r="AD91" s="7" t="s">
        <v>14</v>
      </c>
      <c r="AE91" s="6" t="s">
        <v>14</v>
      </c>
      <c r="AF91" s="6" t="s">
        <v>14</v>
      </c>
      <c r="AG91" s="7" t="s">
        <v>14</v>
      </c>
      <c r="AH91" s="21"/>
      <c r="AI91" s="2"/>
    </row>
    <row r="92" spans="2:36">
      <c r="B92" s="15" t="s">
        <v>15</v>
      </c>
      <c r="C92" s="6">
        <v>1</v>
      </c>
      <c r="D92" s="6">
        <v>2</v>
      </c>
      <c r="E92" s="7">
        <v>3</v>
      </c>
      <c r="F92" s="7">
        <v>4</v>
      </c>
      <c r="G92" s="7" t="s">
        <v>14</v>
      </c>
      <c r="H92" s="7" t="s">
        <v>14</v>
      </c>
      <c r="I92" s="7" t="s">
        <v>14</v>
      </c>
      <c r="J92" s="7" t="s">
        <v>14</v>
      </c>
      <c r="K92" s="7" t="s">
        <v>14</v>
      </c>
      <c r="L92" s="7" t="s">
        <v>14</v>
      </c>
      <c r="M92" s="7" t="s">
        <v>14</v>
      </c>
      <c r="N92" s="7">
        <v>12</v>
      </c>
      <c r="O92" s="7">
        <v>13</v>
      </c>
      <c r="P92" s="7">
        <v>14</v>
      </c>
      <c r="Q92" s="8">
        <v>15</v>
      </c>
      <c r="R92" s="6">
        <v>16</v>
      </c>
      <c r="S92" s="7" t="s">
        <v>9</v>
      </c>
      <c r="T92" s="7" t="s">
        <v>9</v>
      </c>
      <c r="U92" s="7" t="s">
        <v>9</v>
      </c>
      <c r="V92" s="7" t="s">
        <v>9</v>
      </c>
      <c r="W92" s="7" t="s">
        <v>9</v>
      </c>
      <c r="X92" s="6">
        <v>22</v>
      </c>
      <c r="Y92" s="6">
        <v>23</v>
      </c>
      <c r="Z92" s="7" t="s">
        <v>9</v>
      </c>
      <c r="AA92" s="7" t="s">
        <v>9</v>
      </c>
      <c r="AB92" s="7" t="s">
        <v>9</v>
      </c>
      <c r="AC92" s="7" t="s">
        <v>9</v>
      </c>
      <c r="AD92" s="7" t="s">
        <v>9</v>
      </c>
      <c r="AE92" s="6">
        <v>29</v>
      </c>
      <c r="AF92" s="6">
        <v>30</v>
      </c>
      <c r="AG92" s="7" t="s">
        <v>9</v>
      </c>
      <c r="AH92" s="21"/>
      <c r="AI92" s="2"/>
    </row>
    <row r="93" spans="2:36">
      <c r="B93" s="12" t="s">
        <v>16</v>
      </c>
      <c r="C93" s="6">
        <v>1</v>
      </c>
      <c r="D93" s="6">
        <v>2</v>
      </c>
      <c r="E93" s="7">
        <v>3</v>
      </c>
      <c r="F93" s="34" t="s">
        <v>17</v>
      </c>
      <c r="G93" s="34" t="s">
        <v>17</v>
      </c>
      <c r="H93" s="34" t="s">
        <v>17</v>
      </c>
      <c r="I93" s="34" t="s">
        <v>17</v>
      </c>
      <c r="J93" s="6">
        <v>8</v>
      </c>
      <c r="K93" s="6">
        <v>9</v>
      </c>
      <c r="L93" s="7">
        <v>10</v>
      </c>
      <c r="M93" s="7">
        <v>11</v>
      </c>
      <c r="N93" s="7">
        <v>12</v>
      </c>
      <c r="O93" s="7">
        <v>13</v>
      </c>
      <c r="P93" s="7">
        <v>14</v>
      </c>
      <c r="Q93" s="8">
        <v>15</v>
      </c>
      <c r="R93" s="6">
        <v>16</v>
      </c>
      <c r="S93" s="7">
        <v>17</v>
      </c>
      <c r="T93" s="7">
        <v>18</v>
      </c>
      <c r="U93" s="7">
        <v>19</v>
      </c>
      <c r="V93" s="34" t="s">
        <v>17</v>
      </c>
      <c r="W93" s="34" t="s">
        <v>17</v>
      </c>
      <c r="X93" s="6">
        <v>22</v>
      </c>
      <c r="Y93" s="6">
        <v>23</v>
      </c>
      <c r="Z93" s="7">
        <v>24</v>
      </c>
      <c r="AA93" s="7">
        <v>25</v>
      </c>
      <c r="AB93" s="7">
        <v>26</v>
      </c>
      <c r="AC93" s="34" t="s">
        <v>17</v>
      </c>
      <c r="AD93" s="34" t="s">
        <v>17</v>
      </c>
      <c r="AE93" s="6">
        <v>29</v>
      </c>
      <c r="AF93" s="6">
        <v>30</v>
      </c>
      <c r="AG93" s="7">
        <v>31</v>
      </c>
      <c r="AH93" s="21"/>
      <c r="AI93" s="2"/>
    </row>
    <row r="94" spans="2:36">
      <c r="B94" s="15" t="s">
        <v>18</v>
      </c>
      <c r="C94" s="6">
        <v>1</v>
      </c>
      <c r="D94" s="6">
        <v>2</v>
      </c>
      <c r="E94" s="35" t="s">
        <v>12</v>
      </c>
      <c r="F94" s="35" t="s">
        <v>12</v>
      </c>
      <c r="G94" s="35" t="s">
        <v>12</v>
      </c>
      <c r="H94" s="35" t="s">
        <v>12</v>
      </c>
      <c r="I94" s="35" t="s">
        <v>12</v>
      </c>
      <c r="J94" s="6">
        <v>8</v>
      </c>
      <c r="K94" s="6">
        <v>9</v>
      </c>
      <c r="L94" s="35" t="s">
        <v>12</v>
      </c>
      <c r="M94" s="35" t="s">
        <v>12</v>
      </c>
      <c r="N94" s="35" t="s">
        <v>12</v>
      </c>
      <c r="O94" s="35" t="s">
        <v>12</v>
      </c>
      <c r="P94" s="35" t="s">
        <v>12</v>
      </c>
      <c r="Q94" s="8">
        <v>15</v>
      </c>
      <c r="R94" s="6">
        <v>16</v>
      </c>
      <c r="S94" s="35" t="s">
        <v>12</v>
      </c>
      <c r="T94" s="35" t="s">
        <v>12</v>
      </c>
      <c r="U94" s="35" t="s">
        <v>12</v>
      </c>
      <c r="V94" s="35" t="s">
        <v>12</v>
      </c>
      <c r="W94" s="35" t="s">
        <v>12</v>
      </c>
      <c r="X94" s="6">
        <v>22</v>
      </c>
      <c r="Y94" s="6">
        <v>23</v>
      </c>
      <c r="Z94" s="35" t="s">
        <v>12</v>
      </c>
      <c r="AA94" s="35" t="s">
        <v>12</v>
      </c>
      <c r="AB94" s="35" t="s">
        <v>12</v>
      </c>
      <c r="AC94" s="35" t="s">
        <v>12</v>
      </c>
      <c r="AD94" s="35" t="s">
        <v>12</v>
      </c>
      <c r="AE94" s="6">
        <v>29</v>
      </c>
      <c r="AF94" s="6">
        <v>30</v>
      </c>
      <c r="AG94" s="35" t="s">
        <v>12</v>
      </c>
      <c r="AH94" s="21"/>
      <c r="AI94" s="2"/>
    </row>
    <row r="95" spans="2:36">
      <c r="B95" s="12" t="s">
        <v>19</v>
      </c>
      <c r="C95" s="6">
        <v>1</v>
      </c>
      <c r="D95" s="6">
        <v>2</v>
      </c>
      <c r="E95" s="7">
        <v>3</v>
      </c>
      <c r="F95" s="7">
        <v>4</v>
      </c>
      <c r="G95" s="7">
        <v>5</v>
      </c>
      <c r="H95" s="7">
        <v>6</v>
      </c>
      <c r="I95" s="7">
        <v>7</v>
      </c>
      <c r="J95" s="6">
        <v>8</v>
      </c>
      <c r="K95" s="6">
        <v>9</v>
      </c>
      <c r="L95" s="7">
        <v>10</v>
      </c>
      <c r="M95" s="7">
        <v>11</v>
      </c>
      <c r="N95" s="7">
        <v>12</v>
      </c>
      <c r="O95" s="7">
        <v>13</v>
      </c>
      <c r="P95" s="7">
        <v>14</v>
      </c>
      <c r="Q95" s="8">
        <v>15</v>
      </c>
      <c r="R95" s="6">
        <v>16</v>
      </c>
      <c r="S95" s="7">
        <v>17</v>
      </c>
      <c r="T95" s="7">
        <v>18</v>
      </c>
      <c r="U95" s="7">
        <v>19</v>
      </c>
      <c r="V95" s="7">
        <v>20</v>
      </c>
      <c r="W95" s="7">
        <v>21</v>
      </c>
      <c r="X95" s="6">
        <v>22</v>
      </c>
      <c r="Y95" s="6">
        <v>23</v>
      </c>
      <c r="Z95" s="7">
        <v>24</v>
      </c>
      <c r="AA95" s="7">
        <v>25</v>
      </c>
      <c r="AB95" s="7">
        <v>26</v>
      </c>
      <c r="AC95" s="7">
        <v>27</v>
      </c>
      <c r="AD95" s="7">
        <v>28</v>
      </c>
      <c r="AE95" s="6">
        <v>29</v>
      </c>
      <c r="AF95" s="6">
        <v>30</v>
      </c>
      <c r="AG95" s="7">
        <v>31</v>
      </c>
      <c r="AH95" s="21"/>
      <c r="AI95" s="2"/>
    </row>
    <row r="96" spans="2:36">
      <c r="B96" s="15" t="s">
        <v>20</v>
      </c>
      <c r="C96" s="6">
        <v>1</v>
      </c>
      <c r="D96" s="6">
        <v>2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  <c r="J96" s="6">
        <v>8</v>
      </c>
      <c r="K96" s="6">
        <v>9</v>
      </c>
      <c r="L96" s="7" t="s">
        <v>9</v>
      </c>
      <c r="M96" s="7" t="s">
        <v>9</v>
      </c>
      <c r="N96" s="7" t="s">
        <v>9</v>
      </c>
      <c r="O96" s="7" t="s">
        <v>9</v>
      </c>
      <c r="P96" s="7" t="s">
        <v>9</v>
      </c>
      <c r="Q96" s="8">
        <v>15</v>
      </c>
      <c r="R96" s="6">
        <v>16</v>
      </c>
      <c r="S96" s="7">
        <v>17</v>
      </c>
      <c r="T96" s="7">
        <v>18</v>
      </c>
      <c r="U96" s="7" t="s">
        <v>14</v>
      </c>
      <c r="V96" s="7" t="s">
        <v>14</v>
      </c>
      <c r="W96" s="7" t="s">
        <v>14</v>
      </c>
      <c r="X96" s="7" t="s">
        <v>14</v>
      </c>
      <c r="Y96" s="7" t="s">
        <v>14</v>
      </c>
      <c r="Z96" s="7" t="s">
        <v>14</v>
      </c>
      <c r="AA96" s="7" t="s">
        <v>14</v>
      </c>
      <c r="AB96" s="7">
        <v>26</v>
      </c>
      <c r="AC96" s="7">
        <v>27</v>
      </c>
      <c r="AD96" s="7">
        <v>28</v>
      </c>
      <c r="AE96" s="6">
        <v>29</v>
      </c>
      <c r="AF96" s="6">
        <v>30</v>
      </c>
      <c r="AG96" s="7">
        <v>31</v>
      </c>
      <c r="AH96" s="21"/>
      <c r="AI96" s="2"/>
    </row>
    <row r="97" spans="2:36">
      <c r="B97" s="12" t="s">
        <v>21</v>
      </c>
      <c r="C97" s="6">
        <v>1</v>
      </c>
      <c r="D97" s="6">
        <v>2</v>
      </c>
      <c r="E97" s="34" t="s">
        <v>17</v>
      </c>
      <c r="F97" s="7">
        <v>4</v>
      </c>
      <c r="G97" s="7">
        <v>5</v>
      </c>
      <c r="H97" s="7">
        <v>6</v>
      </c>
      <c r="I97" s="7">
        <v>7</v>
      </c>
      <c r="J97" s="6">
        <v>8</v>
      </c>
      <c r="K97" s="6">
        <v>9</v>
      </c>
      <c r="L97" s="34" t="s">
        <v>17</v>
      </c>
      <c r="M97" s="34" t="s">
        <v>17</v>
      </c>
      <c r="N97" s="34" t="s">
        <v>17</v>
      </c>
      <c r="O97" s="34" t="s">
        <v>17</v>
      </c>
      <c r="P97" s="34" t="s">
        <v>17</v>
      </c>
      <c r="Q97" s="8">
        <v>15</v>
      </c>
      <c r="R97" s="6">
        <v>16</v>
      </c>
      <c r="S97" s="7" t="s">
        <v>9</v>
      </c>
      <c r="T97" s="7" t="s">
        <v>9</v>
      </c>
      <c r="U97" s="34" t="s">
        <v>17</v>
      </c>
      <c r="V97" s="7">
        <v>20</v>
      </c>
      <c r="W97" s="7">
        <v>21</v>
      </c>
      <c r="X97" s="6">
        <v>22</v>
      </c>
      <c r="Y97" s="6">
        <v>23</v>
      </c>
      <c r="Z97" s="34" t="s">
        <v>17</v>
      </c>
      <c r="AA97" s="34" t="s">
        <v>17</v>
      </c>
      <c r="AB97" s="34" t="s">
        <v>17</v>
      </c>
      <c r="AC97" s="7">
        <v>27</v>
      </c>
      <c r="AD97" s="7">
        <v>28</v>
      </c>
      <c r="AE97" s="6">
        <v>29</v>
      </c>
      <c r="AF97" s="6">
        <v>30</v>
      </c>
      <c r="AG97" s="7" t="s">
        <v>9</v>
      </c>
      <c r="AH97" s="21"/>
    </row>
    <row r="99" spans="2:36">
      <c r="B99" s="5">
        <v>44075</v>
      </c>
      <c r="C99" s="1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4"/>
      <c r="AJ99" s="4"/>
    </row>
    <row r="100" spans="2:36">
      <c r="B100" s="9"/>
      <c r="C100" s="10" t="s">
        <v>7</v>
      </c>
      <c r="D100" s="10" t="s">
        <v>1</v>
      </c>
      <c r="E100" s="10" t="s">
        <v>2</v>
      </c>
      <c r="F100" s="10" t="s">
        <v>3</v>
      </c>
      <c r="G100" s="10" t="s">
        <v>4</v>
      </c>
      <c r="H100" s="11" t="s">
        <v>5</v>
      </c>
      <c r="I100" s="10" t="s">
        <v>6</v>
      </c>
      <c r="J100" s="10" t="s">
        <v>7</v>
      </c>
      <c r="K100" s="10" t="s">
        <v>1</v>
      </c>
      <c r="L100" s="10" t="s">
        <v>2</v>
      </c>
      <c r="M100" s="10" t="s">
        <v>3</v>
      </c>
      <c r="N100" s="10" t="s">
        <v>4</v>
      </c>
      <c r="O100" s="10" t="s">
        <v>5</v>
      </c>
      <c r="P100" s="10" t="s">
        <v>6</v>
      </c>
      <c r="Q100" s="10" t="s">
        <v>7</v>
      </c>
      <c r="R100" s="10" t="s">
        <v>1</v>
      </c>
      <c r="S100" s="10" t="s">
        <v>2</v>
      </c>
      <c r="T100" s="10" t="s">
        <v>3</v>
      </c>
      <c r="U100" s="10" t="s">
        <v>4</v>
      </c>
      <c r="V100" s="11" t="s">
        <v>5</v>
      </c>
      <c r="W100" s="10" t="s">
        <v>6</v>
      </c>
      <c r="X100" s="10" t="s">
        <v>7</v>
      </c>
      <c r="Y100" s="10" t="s">
        <v>1</v>
      </c>
      <c r="Z100" s="10" t="s">
        <v>2</v>
      </c>
      <c r="AA100" s="10" t="s">
        <v>3</v>
      </c>
      <c r="AB100" s="13" t="s">
        <v>27</v>
      </c>
      <c r="AC100" s="10" t="s">
        <v>5</v>
      </c>
      <c r="AD100" s="10" t="s">
        <v>6</v>
      </c>
      <c r="AE100" s="10" t="s">
        <v>7</v>
      </c>
      <c r="AF100" s="10" t="s">
        <v>1</v>
      </c>
      <c r="AG100" s="2"/>
      <c r="AH100" s="2"/>
      <c r="AI100" s="2"/>
    </row>
    <row r="101" spans="2:36">
      <c r="B101" s="12" t="s">
        <v>8</v>
      </c>
      <c r="C101" s="7">
        <v>1</v>
      </c>
      <c r="D101" s="7">
        <v>2</v>
      </c>
      <c r="E101" s="7">
        <v>3</v>
      </c>
      <c r="F101" s="7">
        <v>4</v>
      </c>
      <c r="G101" s="6">
        <v>5</v>
      </c>
      <c r="H101" s="6">
        <v>6</v>
      </c>
      <c r="I101" s="7">
        <v>7</v>
      </c>
      <c r="J101" s="7">
        <v>8</v>
      </c>
      <c r="K101" s="25">
        <v>9</v>
      </c>
      <c r="L101" s="7">
        <v>10</v>
      </c>
      <c r="M101" s="7">
        <v>11</v>
      </c>
      <c r="N101" s="6">
        <v>12</v>
      </c>
      <c r="O101" s="6">
        <v>13</v>
      </c>
      <c r="P101" s="7">
        <v>14</v>
      </c>
      <c r="Q101" s="7">
        <v>15</v>
      </c>
      <c r="R101" s="7">
        <v>16</v>
      </c>
      <c r="S101" s="7">
        <v>17</v>
      </c>
      <c r="T101" s="7">
        <v>18</v>
      </c>
      <c r="U101" s="6">
        <v>19</v>
      </c>
      <c r="V101" s="6">
        <v>20</v>
      </c>
      <c r="W101" s="7">
        <v>21</v>
      </c>
      <c r="X101" s="7">
        <v>22</v>
      </c>
      <c r="Y101" s="7">
        <v>23</v>
      </c>
      <c r="Z101" s="7">
        <v>24</v>
      </c>
      <c r="AA101" s="7">
        <v>25</v>
      </c>
      <c r="AB101" s="6">
        <v>26</v>
      </c>
      <c r="AC101" s="6">
        <v>27</v>
      </c>
      <c r="AD101" s="7">
        <v>28</v>
      </c>
      <c r="AE101" s="7">
        <v>29</v>
      </c>
      <c r="AF101" s="7">
        <v>30</v>
      </c>
      <c r="AG101" s="21"/>
      <c r="AH101" s="21"/>
      <c r="AI101" s="2"/>
    </row>
    <row r="102" spans="2:36">
      <c r="B102" s="15" t="s">
        <v>10</v>
      </c>
      <c r="C102" s="7">
        <v>1</v>
      </c>
      <c r="D102" s="7">
        <v>2</v>
      </c>
      <c r="E102" s="7">
        <v>3</v>
      </c>
      <c r="F102" s="7">
        <v>4</v>
      </c>
      <c r="G102" s="6">
        <v>5</v>
      </c>
      <c r="H102" s="6">
        <v>6</v>
      </c>
      <c r="I102" s="7">
        <v>7</v>
      </c>
      <c r="J102" s="7">
        <v>8</v>
      </c>
      <c r="K102" s="25">
        <v>9</v>
      </c>
      <c r="L102" s="7">
        <v>10</v>
      </c>
      <c r="M102" s="7">
        <v>11</v>
      </c>
      <c r="N102" s="6">
        <v>12</v>
      </c>
      <c r="O102" s="6">
        <v>13</v>
      </c>
      <c r="P102" s="7">
        <v>14</v>
      </c>
      <c r="Q102" s="7">
        <v>15</v>
      </c>
      <c r="R102" s="7">
        <v>16</v>
      </c>
      <c r="S102" s="7">
        <v>17</v>
      </c>
      <c r="T102" s="7">
        <v>18</v>
      </c>
      <c r="U102" s="6">
        <v>19</v>
      </c>
      <c r="V102" s="6">
        <v>20</v>
      </c>
      <c r="W102" s="7">
        <v>21</v>
      </c>
      <c r="X102" s="7">
        <v>22</v>
      </c>
      <c r="Y102" s="7">
        <v>23</v>
      </c>
      <c r="Z102" s="7">
        <v>24</v>
      </c>
      <c r="AA102" s="7">
        <v>25</v>
      </c>
      <c r="AB102" s="6">
        <v>26</v>
      </c>
      <c r="AC102" s="6">
        <v>27</v>
      </c>
      <c r="AD102" s="7">
        <v>28</v>
      </c>
      <c r="AE102" s="7">
        <v>29</v>
      </c>
      <c r="AF102" s="7">
        <v>30</v>
      </c>
      <c r="AG102" s="21"/>
      <c r="AH102" s="21"/>
      <c r="AI102" s="2"/>
    </row>
    <row r="103" spans="2:36">
      <c r="B103" s="12" t="s">
        <v>11</v>
      </c>
      <c r="C103" s="7" t="s">
        <v>14</v>
      </c>
      <c r="D103" s="7">
        <v>2</v>
      </c>
      <c r="E103" s="7">
        <v>3</v>
      </c>
      <c r="F103" s="7">
        <v>4</v>
      </c>
      <c r="G103" s="6">
        <v>5</v>
      </c>
      <c r="H103" s="6">
        <v>6</v>
      </c>
      <c r="I103" s="7">
        <v>7</v>
      </c>
      <c r="J103" s="7">
        <v>8</v>
      </c>
      <c r="K103" s="25">
        <v>9</v>
      </c>
      <c r="L103" s="7">
        <v>10</v>
      </c>
      <c r="M103" s="7">
        <v>11</v>
      </c>
      <c r="N103" s="6">
        <v>12</v>
      </c>
      <c r="O103" s="6">
        <v>13</v>
      </c>
      <c r="P103" s="7">
        <v>14</v>
      </c>
      <c r="Q103" s="7">
        <v>15</v>
      </c>
      <c r="R103" s="7" t="s">
        <v>14</v>
      </c>
      <c r="S103" s="7" t="s">
        <v>14</v>
      </c>
      <c r="T103" s="7" t="s">
        <v>14</v>
      </c>
      <c r="U103" s="7" t="s">
        <v>14</v>
      </c>
      <c r="V103" s="7" t="s">
        <v>14</v>
      </c>
      <c r="W103" s="7" t="s">
        <v>14</v>
      </c>
      <c r="X103" s="7" t="s">
        <v>14</v>
      </c>
      <c r="Y103" s="7">
        <v>23</v>
      </c>
      <c r="Z103" s="7">
        <v>24</v>
      </c>
      <c r="AA103" s="7">
        <v>25</v>
      </c>
      <c r="AB103" s="6">
        <v>26</v>
      </c>
      <c r="AC103" s="6">
        <v>27</v>
      </c>
      <c r="AD103" s="7">
        <v>28</v>
      </c>
      <c r="AE103" s="7">
        <v>29</v>
      </c>
      <c r="AF103" s="7">
        <v>30</v>
      </c>
      <c r="AG103" s="21"/>
      <c r="AH103" s="21"/>
      <c r="AI103" s="2"/>
    </row>
    <row r="104" spans="2:36">
      <c r="B104" s="15" t="s">
        <v>15</v>
      </c>
      <c r="C104" s="7" t="s">
        <v>9</v>
      </c>
      <c r="D104" s="7" t="s">
        <v>9</v>
      </c>
      <c r="E104" s="7" t="s">
        <v>9</v>
      </c>
      <c r="F104" s="7" t="s">
        <v>9</v>
      </c>
      <c r="G104" s="6">
        <v>5</v>
      </c>
      <c r="H104" s="6">
        <v>6</v>
      </c>
      <c r="I104" s="7">
        <v>7</v>
      </c>
      <c r="J104" s="7">
        <v>8</v>
      </c>
      <c r="K104" s="7" t="s">
        <v>14</v>
      </c>
      <c r="L104" s="7" t="s">
        <v>14</v>
      </c>
      <c r="M104" s="7" t="s">
        <v>14</v>
      </c>
      <c r="N104" s="7" t="s">
        <v>14</v>
      </c>
      <c r="O104" s="7" t="s">
        <v>14</v>
      </c>
      <c r="P104" s="7" t="s">
        <v>14</v>
      </c>
      <c r="Q104" s="7" t="s">
        <v>14</v>
      </c>
      <c r="R104" s="7">
        <v>16</v>
      </c>
      <c r="S104" s="7">
        <v>17</v>
      </c>
      <c r="T104" s="7">
        <v>18</v>
      </c>
      <c r="U104" s="6">
        <v>19</v>
      </c>
      <c r="V104" s="6">
        <v>20</v>
      </c>
      <c r="W104" s="7">
        <v>21</v>
      </c>
      <c r="X104" s="7">
        <v>22</v>
      </c>
      <c r="Y104" s="7">
        <v>23</v>
      </c>
      <c r="Z104" s="7">
        <v>24</v>
      </c>
      <c r="AA104" s="7">
        <v>25</v>
      </c>
      <c r="AB104" s="6">
        <v>26</v>
      </c>
      <c r="AC104" s="6">
        <v>27</v>
      </c>
      <c r="AD104" s="7">
        <v>28</v>
      </c>
      <c r="AE104" s="7">
        <v>29</v>
      </c>
      <c r="AF104" s="7" t="s">
        <v>14</v>
      </c>
      <c r="AG104" s="21"/>
      <c r="AH104" s="21"/>
      <c r="AI104" s="2"/>
    </row>
    <row r="105" spans="2:36">
      <c r="B105" s="12" t="s">
        <v>16</v>
      </c>
      <c r="C105" s="7">
        <v>1</v>
      </c>
      <c r="D105" s="7">
        <v>2</v>
      </c>
      <c r="E105" s="7">
        <v>3</v>
      </c>
      <c r="F105" s="7">
        <v>4</v>
      </c>
      <c r="G105" s="6">
        <v>5</v>
      </c>
      <c r="H105" s="6">
        <v>6</v>
      </c>
      <c r="I105" s="7" t="s">
        <v>9</v>
      </c>
      <c r="J105" s="7" t="s">
        <v>9</v>
      </c>
      <c r="K105" s="7" t="s">
        <v>9</v>
      </c>
      <c r="L105" s="7" t="s">
        <v>9</v>
      </c>
      <c r="M105" s="7" t="s">
        <v>9</v>
      </c>
      <c r="N105" s="6">
        <v>12</v>
      </c>
      <c r="O105" s="6">
        <v>13</v>
      </c>
      <c r="P105" s="7" t="s">
        <v>9</v>
      </c>
      <c r="Q105" s="7" t="s">
        <v>9</v>
      </c>
      <c r="R105" s="7" t="s">
        <v>9</v>
      </c>
      <c r="S105" s="7" t="s">
        <v>9</v>
      </c>
      <c r="T105" s="7" t="s">
        <v>9</v>
      </c>
      <c r="U105" s="6">
        <v>19</v>
      </c>
      <c r="V105" s="6">
        <v>20</v>
      </c>
      <c r="W105" s="7" t="s">
        <v>9</v>
      </c>
      <c r="X105" s="7" t="s">
        <v>9</v>
      </c>
      <c r="Y105" s="7" t="s">
        <v>9</v>
      </c>
      <c r="Z105" s="7" t="s">
        <v>9</v>
      </c>
      <c r="AA105" s="7" t="s">
        <v>9</v>
      </c>
      <c r="AB105" s="6">
        <v>26</v>
      </c>
      <c r="AC105" s="6">
        <v>27</v>
      </c>
      <c r="AD105" s="7">
        <v>28</v>
      </c>
      <c r="AE105" s="7">
        <v>29</v>
      </c>
      <c r="AF105" s="7">
        <v>30</v>
      </c>
      <c r="AG105" s="21"/>
      <c r="AH105" s="21"/>
      <c r="AI105" s="2"/>
    </row>
    <row r="106" spans="2:36">
      <c r="B106" s="15" t="s">
        <v>18</v>
      </c>
      <c r="C106" s="35" t="s">
        <v>12</v>
      </c>
      <c r="D106" s="35" t="s">
        <v>12</v>
      </c>
      <c r="E106" s="35" t="s">
        <v>12</v>
      </c>
      <c r="F106" s="35" t="s">
        <v>12</v>
      </c>
      <c r="G106" s="6">
        <v>5</v>
      </c>
      <c r="H106" s="6">
        <v>6</v>
      </c>
      <c r="I106" s="7">
        <v>7</v>
      </c>
      <c r="J106" s="7">
        <v>8</v>
      </c>
      <c r="K106" s="25">
        <v>9</v>
      </c>
      <c r="L106" s="7">
        <v>10</v>
      </c>
      <c r="M106" s="7">
        <v>11</v>
      </c>
      <c r="N106" s="6">
        <v>12</v>
      </c>
      <c r="O106" s="6">
        <v>13</v>
      </c>
      <c r="P106" s="7">
        <v>14</v>
      </c>
      <c r="Q106" s="7">
        <v>15</v>
      </c>
      <c r="R106" s="7">
        <v>16</v>
      </c>
      <c r="S106" s="7">
        <v>17</v>
      </c>
      <c r="T106" s="7">
        <v>18</v>
      </c>
      <c r="U106" s="6">
        <v>19</v>
      </c>
      <c r="V106" s="6">
        <v>20</v>
      </c>
      <c r="W106" s="7">
        <v>21</v>
      </c>
      <c r="X106" s="7">
        <v>22</v>
      </c>
      <c r="Y106" s="7">
        <v>23</v>
      </c>
      <c r="Z106" s="7">
        <v>24</v>
      </c>
      <c r="AA106" s="7">
        <v>25</v>
      </c>
      <c r="AB106" s="6">
        <v>26</v>
      </c>
      <c r="AC106" s="6">
        <v>27</v>
      </c>
      <c r="AD106" s="7">
        <v>28</v>
      </c>
      <c r="AE106" s="7">
        <v>29</v>
      </c>
      <c r="AF106" s="7">
        <v>30</v>
      </c>
      <c r="AG106" s="21"/>
      <c r="AH106" s="21"/>
      <c r="AI106" s="2"/>
    </row>
    <row r="107" spans="2:36">
      <c r="B107" s="12" t="s">
        <v>19</v>
      </c>
      <c r="C107" s="7">
        <v>1</v>
      </c>
      <c r="D107" s="7">
        <v>2</v>
      </c>
      <c r="E107" s="7">
        <v>3</v>
      </c>
      <c r="F107" s="7">
        <v>4</v>
      </c>
      <c r="G107" s="6">
        <v>5</v>
      </c>
      <c r="H107" s="6">
        <v>6</v>
      </c>
      <c r="I107" s="7">
        <v>7</v>
      </c>
      <c r="J107" s="7">
        <v>8</v>
      </c>
      <c r="K107" s="25">
        <v>9</v>
      </c>
      <c r="L107" s="7">
        <v>10</v>
      </c>
      <c r="M107" s="7">
        <v>11</v>
      </c>
      <c r="N107" s="6">
        <v>12</v>
      </c>
      <c r="O107" s="6">
        <v>13</v>
      </c>
      <c r="P107" s="7">
        <v>14</v>
      </c>
      <c r="Q107" s="7">
        <v>15</v>
      </c>
      <c r="R107" s="7">
        <v>16</v>
      </c>
      <c r="S107" s="7">
        <v>17</v>
      </c>
      <c r="T107" s="7">
        <v>18</v>
      </c>
      <c r="U107" s="6">
        <v>19</v>
      </c>
      <c r="V107" s="6">
        <v>20</v>
      </c>
      <c r="W107" s="7">
        <v>21</v>
      </c>
      <c r="X107" s="7">
        <v>22</v>
      </c>
      <c r="Y107" s="7">
        <v>23</v>
      </c>
      <c r="Z107" s="7">
        <v>24</v>
      </c>
      <c r="AA107" s="7">
        <v>25</v>
      </c>
      <c r="AB107" s="6">
        <v>26</v>
      </c>
      <c r="AC107" s="6">
        <v>27</v>
      </c>
      <c r="AD107" s="7">
        <v>28</v>
      </c>
      <c r="AE107" s="7">
        <v>29</v>
      </c>
      <c r="AF107" s="7">
        <v>30</v>
      </c>
      <c r="AG107" s="21"/>
      <c r="AH107" s="21"/>
      <c r="AI107" s="2"/>
    </row>
    <row r="108" spans="2:36">
      <c r="B108" s="15" t="s">
        <v>20</v>
      </c>
      <c r="C108" s="7">
        <v>1</v>
      </c>
      <c r="D108" s="7" t="s">
        <v>14</v>
      </c>
      <c r="E108" s="7" t="s">
        <v>14</v>
      </c>
      <c r="F108" s="7" t="s">
        <v>14</v>
      </c>
      <c r="G108" s="7" t="s">
        <v>14</v>
      </c>
      <c r="H108" s="7" t="s">
        <v>14</v>
      </c>
      <c r="I108" s="7" t="s">
        <v>14</v>
      </c>
      <c r="J108" s="7" t="s">
        <v>14</v>
      </c>
      <c r="K108" s="25">
        <v>9</v>
      </c>
      <c r="L108" s="7">
        <v>10</v>
      </c>
      <c r="M108" s="7">
        <v>11</v>
      </c>
      <c r="N108" s="6">
        <v>12</v>
      </c>
      <c r="O108" s="6">
        <v>13</v>
      </c>
      <c r="P108" s="7">
        <v>14</v>
      </c>
      <c r="Q108" s="7">
        <v>15</v>
      </c>
      <c r="R108" s="7">
        <v>16</v>
      </c>
      <c r="S108" s="7">
        <v>17</v>
      </c>
      <c r="T108" s="7">
        <v>18</v>
      </c>
      <c r="U108" s="6">
        <v>19</v>
      </c>
      <c r="V108" s="6">
        <v>20</v>
      </c>
      <c r="W108" s="7">
        <v>21</v>
      </c>
      <c r="X108" s="7">
        <v>22</v>
      </c>
      <c r="Y108" s="7" t="s">
        <v>14</v>
      </c>
      <c r="Z108" s="7" t="s">
        <v>14</v>
      </c>
      <c r="AA108" s="7" t="s">
        <v>14</v>
      </c>
      <c r="AB108" s="7" t="s">
        <v>14</v>
      </c>
      <c r="AC108" s="7" t="s">
        <v>14</v>
      </c>
      <c r="AD108" s="7" t="s">
        <v>14</v>
      </c>
      <c r="AE108" s="7" t="s">
        <v>14</v>
      </c>
      <c r="AF108" s="7">
        <v>30</v>
      </c>
      <c r="AG108" s="21"/>
      <c r="AH108" s="21"/>
      <c r="AI108" s="2"/>
    </row>
    <row r="109" spans="2:36">
      <c r="B109" s="12" t="s">
        <v>21</v>
      </c>
      <c r="C109" s="7" t="s">
        <v>9</v>
      </c>
      <c r="D109" s="7" t="s">
        <v>9</v>
      </c>
      <c r="E109" s="7" t="s">
        <v>9</v>
      </c>
      <c r="F109" s="7" t="s">
        <v>9</v>
      </c>
      <c r="G109" s="6">
        <v>5</v>
      </c>
      <c r="H109" s="6">
        <v>6</v>
      </c>
      <c r="I109" s="7">
        <v>7</v>
      </c>
      <c r="J109" s="7">
        <v>8</v>
      </c>
      <c r="K109" s="25">
        <v>9</v>
      </c>
      <c r="L109" s="7">
        <v>10</v>
      </c>
      <c r="M109" s="7">
        <v>11</v>
      </c>
      <c r="N109" s="6">
        <v>12</v>
      </c>
      <c r="O109" s="6">
        <v>13</v>
      </c>
      <c r="P109" s="7">
        <v>14</v>
      </c>
      <c r="Q109" s="7">
        <v>15</v>
      </c>
      <c r="R109" s="7">
        <v>16</v>
      </c>
      <c r="S109" s="7">
        <v>17</v>
      </c>
      <c r="T109" s="7">
        <v>18</v>
      </c>
      <c r="U109" s="6">
        <v>19</v>
      </c>
      <c r="V109" s="6">
        <v>20</v>
      </c>
      <c r="W109" s="7">
        <v>21</v>
      </c>
      <c r="X109" s="7">
        <v>22</v>
      </c>
      <c r="Y109" s="7">
        <v>23</v>
      </c>
      <c r="Z109" s="7">
        <v>24</v>
      </c>
      <c r="AA109" s="7">
        <v>25</v>
      </c>
      <c r="AB109" s="6">
        <v>26</v>
      </c>
      <c r="AC109" s="6">
        <v>27</v>
      </c>
      <c r="AD109" s="7">
        <v>28</v>
      </c>
      <c r="AE109" s="7">
        <v>29</v>
      </c>
      <c r="AF109" s="7">
        <v>30</v>
      </c>
      <c r="AG109" s="21"/>
      <c r="AH109" s="21"/>
    </row>
    <row r="111" spans="2:36">
      <c r="B111" s="5">
        <v>44105</v>
      </c>
      <c r="C111" s="1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4"/>
      <c r="AJ111" s="4"/>
    </row>
    <row r="112" spans="2:36">
      <c r="B112" s="9"/>
      <c r="C112" s="10" t="s">
        <v>2</v>
      </c>
      <c r="D112" s="10" t="s">
        <v>3</v>
      </c>
      <c r="E112" s="10" t="s">
        <v>4</v>
      </c>
      <c r="F112" s="11" t="s">
        <v>5</v>
      </c>
      <c r="G112" s="10" t="s">
        <v>6</v>
      </c>
      <c r="H112" s="10" t="s">
        <v>7</v>
      </c>
      <c r="I112" s="10" t="s">
        <v>1</v>
      </c>
      <c r="J112" s="10" t="s">
        <v>2</v>
      </c>
      <c r="K112" s="10" t="s">
        <v>3</v>
      </c>
      <c r="L112" s="10" t="s">
        <v>4</v>
      </c>
      <c r="M112" s="10" t="s">
        <v>5</v>
      </c>
      <c r="N112" s="10" t="s">
        <v>6</v>
      </c>
      <c r="O112" s="10" t="s">
        <v>7</v>
      </c>
      <c r="P112" s="10" t="s">
        <v>1</v>
      </c>
      <c r="Q112" s="10" t="s">
        <v>2</v>
      </c>
      <c r="R112" s="10" t="s">
        <v>3</v>
      </c>
      <c r="S112" s="10" t="s">
        <v>4</v>
      </c>
      <c r="T112" s="11" t="s">
        <v>5</v>
      </c>
      <c r="U112" s="10" t="s">
        <v>6</v>
      </c>
      <c r="V112" s="10" t="s">
        <v>7</v>
      </c>
      <c r="W112" s="10" t="s">
        <v>1</v>
      </c>
      <c r="X112" s="10" t="s">
        <v>2</v>
      </c>
      <c r="Y112" s="10" t="s">
        <v>3</v>
      </c>
      <c r="Z112" s="10" t="s">
        <v>4</v>
      </c>
      <c r="AA112" s="11" t="s">
        <v>5</v>
      </c>
      <c r="AB112" s="10" t="s">
        <v>6</v>
      </c>
      <c r="AC112" s="13" t="s">
        <v>7</v>
      </c>
      <c r="AD112" s="10" t="s">
        <v>1</v>
      </c>
      <c r="AE112" s="10" t="s">
        <v>2</v>
      </c>
      <c r="AF112" s="10" t="s">
        <v>3</v>
      </c>
      <c r="AG112" s="10" t="s">
        <v>4</v>
      </c>
      <c r="AH112" s="2"/>
      <c r="AI112" s="2"/>
    </row>
    <row r="113" spans="2:36">
      <c r="B113" s="12" t="s">
        <v>8</v>
      </c>
      <c r="C113" s="7">
        <v>1</v>
      </c>
      <c r="D113" s="7">
        <v>2</v>
      </c>
      <c r="E113" s="6">
        <v>3</v>
      </c>
      <c r="F113" s="6">
        <v>4</v>
      </c>
      <c r="G113" s="7">
        <v>5</v>
      </c>
      <c r="H113" s="7">
        <v>6</v>
      </c>
      <c r="I113" s="7">
        <v>7</v>
      </c>
      <c r="J113" s="7">
        <v>8</v>
      </c>
      <c r="K113" s="7">
        <v>9</v>
      </c>
      <c r="L113" s="6">
        <v>10</v>
      </c>
      <c r="M113" s="6">
        <v>11</v>
      </c>
      <c r="N113" s="8">
        <v>12</v>
      </c>
      <c r="O113" s="7">
        <v>13</v>
      </c>
      <c r="P113" s="7">
        <v>14</v>
      </c>
      <c r="Q113" s="7">
        <v>15</v>
      </c>
      <c r="R113" s="7">
        <v>16</v>
      </c>
      <c r="S113" s="6">
        <v>17</v>
      </c>
      <c r="T113" s="6">
        <v>18</v>
      </c>
      <c r="U113" s="7">
        <v>19</v>
      </c>
      <c r="V113" s="7">
        <v>20</v>
      </c>
      <c r="W113" s="7">
        <v>21</v>
      </c>
      <c r="X113" s="7">
        <v>22</v>
      </c>
      <c r="Y113" s="7">
        <v>23</v>
      </c>
      <c r="Z113" s="6">
        <v>24</v>
      </c>
      <c r="AA113" s="6">
        <v>25</v>
      </c>
      <c r="AB113" s="48" t="s">
        <v>28</v>
      </c>
      <c r="AC113" s="48" t="s">
        <v>28</v>
      </c>
      <c r="AD113" s="7">
        <v>28</v>
      </c>
      <c r="AE113" s="7">
        <v>29</v>
      </c>
      <c r="AF113" s="7">
        <v>30</v>
      </c>
      <c r="AG113" s="6">
        <v>31</v>
      </c>
      <c r="AH113" s="21"/>
      <c r="AI113" s="2"/>
    </row>
    <row r="114" spans="2:36">
      <c r="B114" s="15" t="s">
        <v>10</v>
      </c>
      <c r="C114" s="7">
        <v>1</v>
      </c>
      <c r="D114" s="7">
        <v>2</v>
      </c>
      <c r="E114" s="6">
        <v>3</v>
      </c>
      <c r="F114" s="6">
        <v>4</v>
      </c>
      <c r="G114" s="7">
        <v>5</v>
      </c>
      <c r="H114" s="7">
        <v>6</v>
      </c>
      <c r="I114" s="7">
        <v>7</v>
      </c>
      <c r="J114" s="7">
        <v>8</v>
      </c>
      <c r="K114" s="7">
        <v>9</v>
      </c>
      <c r="L114" s="6">
        <v>10</v>
      </c>
      <c r="M114" s="6">
        <v>11</v>
      </c>
      <c r="N114" s="8">
        <v>12</v>
      </c>
      <c r="O114" s="7">
        <v>13</v>
      </c>
      <c r="P114" s="7">
        <v>14</v>
      </c>
      <c r="Q114" s="7">
        <v>15</v>
      </c>
      <c r="R114" s="7">
        <v>16</v>
      </c>
      <c r="S114" s="6">
        <v>17</v>
      </c>
      <c r="T114" s="6">
        <v>18</v>
      </c>
      <c r="U114" s="7">
        <v>19</v>
      </c>
      <c r="V114" s="7">
        <v>20</v>
      </c>
      <c r="W114" s="7">
        <v>21</v>
      </c>
      <c r="X114" s="7" t="s">
        <v>9</v>
      </c>
      <c r="Y114" s="7">
        <v>23</v>
      </c>
      <c r="Z114" s="6">
        <v>24</v>
      </c>
      <c r="AA114" s="6">
        <v>25</v>
      </c>
      <c r="AB114" s="48" t="s">
        <v>28</v>
      </c>
      <c r="AC114" s="48" t="s">
        <v>28</v>
      </c>
      <c r="AD114" s="7">
        <v>28</v>
      </c>
      <c r="AE114" s="7">
        <v>29</v>
      </c>
      <c r="AF114" s="7">
        <v>30</v>
      </c>
      <c r="AG114" s="6">
        <v>31</v>
      </c>
      <c r="AH114" s="21"/>
      <c r="AI114" s="2"/>
    </row>
    <row r="115" spans="2:36">
      <c r="B115" s="12" t="s">
        <v>11</v>
      </c>
      <c r="C115" s="7">
        <v>1</v>
      </c>
      <c r="D115" s="7">
        <v>2</v>
      </c>
      <c r="E115" s="6">
        <v>3</v>
      </c>
      <c r="F115" s="6">
        <v>4</v>
      </c>
      <c r="G115" s="7">
        <v>5</v>
      </c>
      <c r="H115" s="7">
        <v>6</v>
      </c>
      <c r="I115" s="7" t="s">
        <v>14</v>
      </c>
      <c r="J115" s="7" t="s">
        <v>14</v>
      </c>
      <c r="K115" s="7" t="s">
        <v>14</v>
      </c>
      <c r="L115" s="7" t="s">
        <v>14</v>
      </c>
      <c r="M115" s="7" t="s">
        <v>14</v>
      </c>
      <c r="N115" s="7" t="s">
        <v>14</v>
      </c>
      <c r="O115" s="7" t="s">
        <v>14</v>
      </c>
      <c r="P115" s="7">
        <v>14</v>
      </c>
      <c r="Q115" s="7">
        <v>15</v>
      </c>
      <c r="R115" s="7">
        <v>16</v>
      </c>
      <c r="S115" s="6">
        <v>17</v>
      </c>
      <c r="T115" s="6">
        <v>18</v>
      </c>
      <c r="U115" s="7" t="s">
        <v>9</v>
      </c>
      <c r="V115" s="7" t="s">
        <v>9</v>
      </c>
      <c r="W115" s="7">
        <v>21</v>
      </c>
      <c r="X115" s="7">
        <v>22</v>
      </c>
      <c r="Y115" s="7">
        <v>23</v>
      </c>
      <c r="Z115" s="6">
        <v>24</v>
      </c>
      <c r="AA115" s="6">
        <v>25</v>
      </c>
      <c r="AB115" s="48" t="s">
        <v>28</v>
      </c>
      <c r="AC115" s="48" t="s">
        <v>28</v>
      </c>
      <c r="AD115" s="7" t="s">
        <v>14</v>
      </c>
      <c r="AE115" s="7" t="s">
        <v>14</v>
      </c>
      <c r="AF115" s="7" t="s">
        <v>14</v>
      </c>
      <c r="AG115" s="7" t="s">
        <v>14</v>
      </c>
      <c r="AH115" s="21"/>
      <c r="AI115" s="2"/>
    </row>
    <row r="116" spans="2:36">
      <c r="B116" s="15" t="s">
        <v>15</v>
      </c>
      <c r="C116" s="7" t="s">
        <v>14</v>
      </c>
      <c r="D116" s="7" t="s">
        <v>14</v>
      </c>
      <c r="E116" s="7" t="s">
        <v>14</v>
      </c>
      <c r="F116" s="7" t="s">
        <v>14</v>
      </c>
      <c r="G116" s="7" t="s">
        <v>14</v>
      </c>
      <c r="H116" s="7" t="s">
        <v>14</v>
      </c>
      <c r="I116" s="7">
        <v>7</v>
      </c>
      <c r="J116" s="7">
        <v>8</v>
      </c>
      <c r="K116" s="7">
        <v>9</v>
      </c>
      <c r="L116" s="6">
        <v>10</v>
      </c>
      <c r="M116" s="6">
        <v>11</v>
      </c>
      <c r="N116" s="8">
        <v>12</v>
      </c>
      <c r="O116" s="7">
        <v>13</v>
      </c>
      <c r="P116" s="7" t="s">
        <v>14</v>
      </c>
      <c r="Q116" s="7" t="s">
        <v>14</v>
      </c>
      <c r="R116" s="7" t="s">
        <v>14</v>
      </c>
      <c r="S116" s="7" t="s">
        <v>14</v>
      </c>
      <c r="T116" s="7" t="s">
        <v>14</v>
      </c>
      <c r="U116" s="7" t="s">
        <v>14</v>
      </c>
      <c r="V116" s="7" t="s">
        <v>14</v>
      </c>
      <c r="W116" s="7">
        <v>21</v>
      </c>
      <c r="X116" s="7">
        <v>22</v>
      </c>
      <c r="Y116" s="7">
        <v>23</v>
      </c>
      <c r="Z116" s="6">
        <v>24</v>
      </c>
      <c r="AA116" s="6">
        <v>25</v>
      </c>
      <c r="AB116" s="48" t="s">
        <v>28</v>
      </c>
      <c r="AC116" s="48" t="s">
        <v>28</v>
      </c>
      <c r="AD116" s="7">
        <v>28</v>
      </c>
      <c r="AE116" s="7" t="s">
        <v>9</v>
      </c>
      <c r="AF116" s="7" t="s">
        <v>9</v>
      </c>
      <c r="AG116" s="6">
        <v>31</v>
      </c>
      <c r="AH116" s="21"/>
      <c r="AI116" s="2"/>
    </row>
    <row r="117" spans="2:36">
      <c r="B117" s="12" t="s">
        <v>16</v>
      </c>
      <c r="C117" s="7">
        <v>1</v>
      </c>
      <c r="D117" s="7">
        <v>2</v>
      </c>
      <c r="E117" s="6">
        <v>3</v>
      </c>
      <c r="F117" s="6">
        <v>4</v>
      </c>
      <c r="G117" s="7">
        <v>5</v>
      </c>
      <c r="H117" s="7">
        <v>6</v>
      </c>
      <c r="I117" s="7">
        <v>7</v>
      </c>
      <c r="J117" s="7">
        <v>8</v>
      </c>
      <c r="K117" s="7">
        <v>9</v>
      </c>
      <c r="L117" s="6">
        <v>10</v>
      </c>
      <c r="M117" s="6">
        <v>11</v>
      </c>
      <c r="N117" s="8">
        <v>12</v>
      </c>
      <c r="O117" s="7">
        <v>13</v>
      </c>
      <c r="P117" s="7">
        <v>14</v>
      </c>
      <c r="Q117" s="7">
        <v>15</v>
      </c>
      <c r="R117" s="7">
        <v>16</v>
      </c>
      <c r="S117" s="6">
        <v>17</v>
      </c>
      <c r="T117" s="6">
        <v>18</v>
      </c>
      <c r="U117" s="7">
        <v>19</v>
      </c>
      <c r="V117" s="7">
        <v>20</v>
      </c>
      <c r="W117" s="7">
        <v>21</v>
      </c>
      <c r="X117" s="7">
        <v>22</v>
      </c>
      <c r="Y117" s="7">
        <v>23</v>
      </c>
      <c r="Z117" s="6">
        <v>24</v>
      </c>
      <c r="AA117" s="6">
        <v>25</v>
      </c>
      <c r="AB117" s="48" t="s">
        <v>28</v>
      </c>
      <c r="AC117" s="48" t="s">
        <v>28</v>
      </c>
      <c r="AD117" s="7">
        <v>28</v>
      </c>
      <c r="AE117" s="7">
        <v>29</v>
      </c>
      <c r="AF117" s="7">
        <v>30</v>
      </c>
      <c r="AG117" s="6">
        <v>31</v>
      </c>
      <c r="AH117" s="21"/>
      <c r="AI117" s="2"/>
    </row>
    <row r="118" spans="2:36">
      <c r="B118" s="15" t="s">
        <v>18</v>
      </c>
      <c r="C118" s="7">
        <v>1</v>
      </c>
      <c r="D118" s="7">
        <v>2</v>
      </c>
      <c r="E118" s="6">
        <v>3</v>
      </c>
      <c r="F118" s="6">
        <v>4</v>
      </c>
      <c r="G118" s="7">
        <v>5</v>
      </c>
      <c r="H118" s="7">
        <v>6</v>
      </c>
      <c r="I118" s="7">
        <v>7</v>
      </c>
      <c r="J118" s="7">
        <v>8</v>
      </c>
      <c r="K118" s="7">
        <v>9</v>
      </c>
      <c r="L118" s="6">
        <v>10</v>
      </c>
      <c r="M118" s="6">
        <v>11</v>
      </c>
      <c r="N118" s="8">
        <v>12</v>
      </c>
      <c r="O118" s="7">
        <v>13</v>
      </c>
      <c r="P118" s="7">
        <v>14</v>
      </c>
      <c r="Q118" s="7">
        <v>15</v>
      </c>
      <c r="R118" s="7">
        <v>16</v>
      </c>
      <c r="S118" s="6">
        <v>17</v>
      </c>
      <c r="T118" s="6">
        <v>18</v>
      </c>
      <c r="U118" s="7">
        <v>19</v>
      </c>
      <c r="V118" s="7">
        <v>20</v>
      </c>
      <c r="W118" s="7">
        <v>21</v>
      </c>
      <c r="X118" s="7">
        <v>22</v>
      </c>
      <c r="Y118" s="7">
        <v>23</v>
      </c>
      <c r="Z118" s="6">
        <v>24</v>
      </c>
      <c r="AA118" s="6">
        <v>25</v>
      </c>
      <c r="AB118" s="48" t="s">
        <v>28</v>
      </c>
      <c r="AC118" s="48" t="s">
        <v>28</v>
      </c>
      <c r="AD118" s="7">
        <v>28</v>
      </c>
      <c r="AE118" s="7">
        <v>29</v>
      </c>
      <c r="AF118" s="7">
        <v>30</v>
      </c>
      <c r="AG118" s="6">
        <v>31</v>
      </c>
      <c r="AH118" s="21"/>
      <c r="AI118" s="2"/>
    </row>
    <row r="119" spans="2:36">
      <c r="B119" s="12" t="s">
        <v>19</v>
      </c>
      <c r="C119" s="7">
        <v>1</v>
      </c>
      <c r="D119" s="7">
        <v>2</v>
      </c>
      <c r="E119" s="6">
        <v>3</v>
      </c>
      <c r="F119" s="6">
        <v>4</v>
      </c>
      <c r="G119" s="7">
        <v>5</v>
      </c>
      <c r="H119" s="7">
        <v>6</v>
      </c>
      <c r="I119" s="7">
        <v>7</v>
      </c>
      <c r="J119" s="7">
        <v>8</v>
      </c>
      <c r="K119" s="7">
        <v>9</v>
      </c>
      <c r="L119" s="6">
        <v>10</v>
      </c>
      <c r="M119" s="6">
        <v>11</v>
      </c>
      <c r="N119" s="8">
        <v>12</v>
      </c>
      <c r="O119" s="7">
        <v>13</v>
      </c>
      <c r="P119" s="7">
        <v>14</v>
      </c>
      <c r="Q119" s="7">
        <v>15</v>
      </c>
      <c r="R119" s="7">
        <v>16</v>
      </c>
      <c r="S119" s="6">
        <v>17</v>
      </c>
      <c r="T119" s="6">
        <v>18</v>
      </c>
      <c r="U119" s="7">
        <v>19</v>
      </c>
      <c r="V119" s="7">
        <v>20</v>
      </c>
      <c r="W119" s="7">
        <v>21</v>
      </c>
      <c r="X119" s="7">
        <v>22</v>
      </c>
      <c r="Y119" s="7">
        <v>23</v>
      </c>
      <c r="Z119" s="6">
        <v>24</v>
      </c>
      <c r="AA119" s="6">
        <v>25</v>
      </c>
      <c r="AB119" s="48" t="s">
        <v>28</v>
      </c>
      <c r="AC119" s="48" t="s">
        <v>28</v>
      </c>
      <c r="AD119" s="7">
        <v>28</v>
      </c>
      <c r="AE119" s="7">
        <v>29</v>
      </c>
      <c r="AF119" s="7">
        <v>30</v>
      </c>
      <c r="AG119" s="6">
        <v>31</v>
      </c>
      <c r="AH119" s="21"/>
      <c r="AI119" s="2"/>
    </row>
    <row r="120" spans="2:36">
      <c r="B120" s="15" t="s">
        <v>20</v>
      </c>
      <c r="C120" s="7">
        <v>1</v>
      </c>
      <c r="D120" s="7">
        <v>2</v>
      </c>
      <c r="E120" s="6">
        <v>3</v>
      </c>
      <c r="F120" s="6">
        <v>4</v>
      </c>
      <c r="G120" s="7">
        <v>5</v>
      </c>
      <c r="H120" s="7">
        <v>6</v>
      </c>
      <c r="I120" s="7">
        <v>7</v>
      </c>
      <c r="J120" s="7">
        <v>8</v>
      </c>
      <c r="K120" s="7">
        <v>9</v>
      </c>
      <c r="L120" s="6">
        <v>10</v>
      </c>
      <c r="M120" s="6">
        <v>11</v>
      </c>
      <c r="N120" s="8">
        <v>12</v>
      </c>
      <c r="O120" s="7">
        <v>13</v>
      </c>
      <c r="P120" s="7">
        <v>14</v>
      </c>
      <c r="Q120" s="7">
        <v>15</v>
      </c>
      <c r="R120" s="7">
        <v>16</v>
      </c>
      <c r="S120" s="6">
        <v>17</v>
      </c>
      <c r="T120" s="6">
        <v>18</v>
      </c>
      <c r="U120" s="7">
        <v>19</v>
      </c>
      <c r="V120" s="7">
        <v>20</v>
      </c>
      <c r="W120" s="7" t="s">
        <v>14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  <c r="AC120" s="7" t="s">
        <v>14</v>
      </c>
      <c r="AD120" s="7">
        <v>28</v>
      </c>
      <c r="AE120" s="7">
        <v>29</v>
      </c>
      <c r="AF120" s="7">
        <v>30</v>
      </c>
      <c r="AG120" s="6">
        <v>31</v>
      </c>
      <c r="AH120" s="21"/>
      <c r="AI120" s="2"/>
    </row>
    <row r="121" spans="2:36">
      <c r="B121" s="12" t="s">
        <v>21</v>
      </c>
      <c r="C121" s="7">
        <v>1</v>
      </c>
      <c r="D121" s="34" t="s">
        <v>17</v>
      </c>
      <c r="E121" s="6">
        <v>3</v>
      </c>
      <c r="F121" s="6">
        <v>4</v>
      </c>
      <c r="G121" s="7">
        <v>5</v>
      </c>
      <c r="H121" s="7">
        <v>6</v>
      </c>
      <c r="I121" s="7">
        <v>7</v>
      </c>
      <c r="J121" s="7">
        <v>8</v>
      </c>
      <c r="K121" s="7">
        <v>9</v>
      </c>
      <c r="L121" s="6">
        <v>10</v>
      </c>
      <c r="M121" s="6">
        <v>11</v>
      </c>
      <c r="N121" s="8">
        <v>12</v>
      </c>
      <c r="O121" s="7">
        <v>13</v>
      </c>
      <c r="P121" s="7">
        <v>14</v>
      </c>
      <c r="Q121" s="7">
        <v>15</v>
      </c>
      <c r="R121" s="7">
        <v>16</v>
      </c>
      <c r="S121" s="6">
        <v>17</v>
      </c>
      <c r="T121" s="6">
        <v>18</v>
      </c>
      <c r="U121" s="7">
        <v>19</v>
      </c>
      <c r="V121" s="7">
        <v>20</v>
      </c>
      <c r="W121" s="7">
        <v>21</v>
      </c>
      <c r="X121" s="7">
        <v>22</v>
      </c>
      <c r="Y121" s="7">
        <v>23</v>
      </c>
      <c r="Z121" s="6">
        <v>24</v>
      </c>
      <c r="AA121" s="6">
        <v>25</v>
      </c>
      <c r="AB121" s="48" t="s">
        <v>28</v>
      </c>
      <c r="AC121" s="48" t="s">
        <v>28</v>
      </c>
      <c r="AD121" s="7">
        <v>28</v>
      </c>
      <c r="AE121" s="7">
        <v>29</v>
      </c>
      <c r="AF121" s="34" t="s">
        <v>17</v>
      </c>
      <c r="AG121" s="6">
        <v>31</v>
      </c>
      <c r="AH121" s="21"/>
    </row>
    <row r="123" spans="2:36">
      <c r="B123" s="5">
        <v>44136</v>
      </c>
      <c r="C123" s="1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4"/>
      <c r="AJ123" s="4"/>
    </row>
    <row r="124" spans="2:36">
      <c r="B124" s="9"/>
      <c r="C124" s="11" t="s">
        <v>5</v>
      </c>
      <c r="D124" s="10" t="s">
        <v>6</v>
      </c>
      <c r="E124" s="10" t="s">
        <v>7</v>
      </c>
      <c r="F124" s="10" t="s">
        <v>1</v>
      </c>
      <c r="G124" s="10" t="s">
        <v>2</v>
      </c>
      <c r="H124" s="10" t="s">
        <v>3</v>
      </c>
      <c r="I124" s="10" t="s">
        <v>4</v>
      </c>
      <c r="J124" s="10" t="s">
        <v>5</v>
      </c>
      <c r="K124" s="10" t="s">
        <v>6</v>
      </c>
      <c r="L124" s="10" t="s">
        <v>7</v>
      </c>
      <c r="M124" s="10" t="s">
        <v>1</v>
      </c>
      <c r="N124" s="10" t="s">
        <v>2</v>
      </c>
      <c r="O124" s="10" t="s">
        <v>3</v>
      </c>
      <c r="P124" s="10" t="s">
        <v>4</v>
      </c>
      <c r="Q124" s="11" t="s">
        <v>5</v>
      </c>
      <c r="R124" s="10" t="s">
        <v>6</v>
      </c>
      <c r="S124" s="10" t="s">
        <v>7</v>
      </c>
      <c r="T124" s="10" t="s">
        <v>1</v>
      </c>
      <c r="U124" s="10" t="s">
        <v>2</v>
      </c>
      <c r="V124" s="10" t="s">
        <v>3</v>
      </c>
      <c r="W124" s="10" t="s">
        <v>4</v>
      </c>
      <c r="X124" s="11" t="s">
        <v>5</v>
      </c>
      <c r="Y124" s="10" t="s">
        <v>6</v>
      </c>
      <c r="Z124" s="10" t="s">
        <v>7</v>
      </c>
      <c r="AA124" s="10" t="s">
        <v>1</v>
      </c>
      <c r="AB124" s="13" t="s">
        <v>2</v>
      </c>
      <c r="AC124" s="10" t="s">
        <v>3</v>
      </c>
      <c r="AD124" s="10" t="s">
        <v>4</v>
      </c>
      <c r="AE124" s="11" t="s">
        <v>5</v>
      </c>
      <c r="AF124" s="10" t="s">
        <v>6</v>
      </c>
      <c r="AG124" s="2"/>
      <c r="AH124" s="2"/>
      <c r="AI124" s="2"/>
    </row>
    <row r="125" spans="2:36">
      <c r="B125" s="12" t="s">
        <v>8</v>
      </c>
      <c r="C125" s="6">
        <v>1</v>
      </c>
      <c r="D125" s="8">
        <v>2</v>
      </c>
      <c r="E125" s="7">
        <v>3</v>
      </c>
      <c r="F125" s="7">
        <v>4</v>
      </c>
      <c r="G125" s="7">
        <v>5</v>
      </c>
      <c r="H125" s="7">
        <v>6</v>
      </c>
      <c r="I125" s="6">
        <v>7</v>
      </c>
      <c r="J125" s="6">
        <v>8</v>
      </c>
      <c r="K125" s="8">
        <v>9</v>
      </c>
      <c r="L125" s="7">
        <v>10</v>
      </c>
      <c r="M125" s="7">
        <v>11</v>
      </c>
      <c r="N125" s="7">
        <v>12</v>
      </c>
      <c r="O125" s="7">
        <v>13</v>
      </c>
      <c r="P125" s="6">
        <v>14</v>
      </c>
      <c r="Q125" s="6">
        <v>15</v>
      </c>
      <c r="R125" s="7">
        <v>16</v>
      </c>
      <c r="S125" s="7">
        <v>17</v>
      </c>
      <c r="T125" s="7">
        <v>18</v>
      </c>
      <c r="U125" s="7">
        <v>19</v>
      </c>
      <c r="V125" s="7">
        <v>20</v>
      </c>
      <c r="W125" s="6">
        <v>21</v>
      </c>
      <c r="X125" s="6">
        <v>22</v>
      </c>
      <c r="Y125" s="7">
        <v>23</v>
      </c>
      <c r="Z125" s="7">
        <v>24</v>
      </c>
      <c r="AA125" s="7">
        <v>25</v>
      </c>
      <c r="AB125" s="7">
        <v>26</v>
      </c>
      <c r="AC125" s="7">
        <v>27</v>
      </c>
      <c r="AD125" s="6">
        <v>28</v>
      </c>
      <c r="AE125" s="6">
        <v>29</v>
      </c>
      <c r="AF125" s="7">
        <v>30</v>
      </c>
      <c r="AG125" s="21"/>
      <c r="AH125" s="21"/>
      <c r="AI125" s="2"/>
    </row>
    <row r="126" spans="2:36">
      <c r="B126" s="15" t="s">
        <v>10</v>
      </c>
      <c r="C126" s="6">
        <v>1</v>
      </c>
      <c r="D126" s="8">
        <v>2</v>
      </c>
      <c r="E126" s="7">
        <v>3</v>
      </c>
      <c r="F126" s="7">
        <v>4</v>
      </c>
      <c r="G126" s="7">
        <v>5</v>
      </c>
      <c r="H126" s="7">
        <v>6</v>
      </c>
      <c r="I126" s="6">
        <v>7</v>
      </c>
      <c r="J126" s="6">
        <v>8</v>
      </c>
      <c r="K126" s="8">
        <v>9</v>
      </c>
      <c r="L126" s="7" t="s">
        <v>9</v>
      </c>
      <c r="M126" s="7">
        <v>11</v>
      </c>
      <c r="N126" s="7">
        <v>12</v>
      </c>
      <c r="O126" s="7">
        <v>13</v>
      </c>
      <c r="P126" s="6">
        <v>14</v>
      </c>
      <c r="Q126" s="6">
        <v>15</v>
      </c>
      <c r="R126" s="7">
        <v>16</v>
      </c>
      <c r="S126" s="7">
        <v>17</v>
      </c>
      <c r="T126" s="7">
        <v>18</v>
      </c>
      <c r="U126" s="7">
        <v>19</v>
      </c>
      <c r="V126" s="7">
        <v>20</v>
      </c>
      <c r="W126" s="6">
        <v>21</v>
      </c>
      <c r="X126" s="6">
        <v>22</v>
      </c>
      <c r="Y126" s="7">
        <v>23</v>
      </c>
      <c r="Z126" s="7">
        <v>24</v>
      </c>
      <c r="AA126" s="7">
        <v>25</v>
      </c>
      <c r="AB126" s="7">
        <v>26</v>
      </c>
      <c r="AC126" s="7">
        <v>27</v>
      </c>
      <c r="AD126" s="6">
        <v>28</v>
      </c>
      <c r="AE126" s="6">
        <v>29</v>
      </c>
      <c r="AF126" s="7">
        <v>30</v>
      </c>
      <c r="AG126" s="21"/>
      <c r="AH126" s="21"/>
      <c r="AI126" s="2"/>
    </row>
    <row r="127" spans="2:36">
      <c r="B127" s="12" t="s">
        <v>11</v>
      </c>
      <c r="C127" s="7" t="s">
        <v>14</v>
      </c>
      <c r="D127" s="7" t="s">
        <v>14</v>
      </c>
      <c r="E127" s="7" t="s">
        <v>14</v>
      </c>
      <c r="F127" s="7">
        <v>4</v>
      </c>
      <c r="G127" s="7">
        <v>5</v>
      </c>
      <c r="H127" s="7">
        <v>6</v>
      </c>
      <c r="I127" s="6">
        <v>7</v>
      </c>
      <c r="J127" s="6">
        <v>8</v>
      </c>
      <c r="K127" s="8">
        <v>9</v>
      </c>
      <c r="L127" s="7">
        <v>10</v>
      </c>
      <c r="M127" s="7">
        <v>11</v>
      </c>
      <c r="N127" s="7">
        <v>12</v>
      </c>
      <c r="O127" s="7">
        <v>13</v>
      </c>
      <c r="P127" s="6">
        <v>14</v>
      </c>
      <c r="Q127" s="6">
        <v>15</v>
      </c>
      <c r="R127" s="7">
        <v>16</v>
      </c>
      <c r="S127" s="7">
        <v>17</v>
      </c>
      <c r="T127" s="7" t="s">
        <v>14</v>
      </c>
      <c r="U127" s="7" t="s">
        <v>14</v>
      </c>
      <c r="V127" s="7" t="s">
        <v>14</v>
      </c>
      <c r="W127" s="7" t="s">
        <v>14</v>
      </c>
      <c r="X127" s="7" t="s">
        <v>14</v>
      </c>
      <c r="Y127" s="7" t="s">
        <v>14</v>
      </c>
      <c r="Z127" s="7" t="s">
        <v>14</v>
      </c>
      <c r="AA127" s="7">
        <v>25</v>
      </c>
      <c r="AB127" s="7">
        <v>26</v>
      </c>
      <c r="AC127" s="7">
        <v>27</v>
      </c>
      <c r="AD127" s="6">
        <v>28</v>
      </c>
      <c r="AE127" s="6">
        <v>29</v>
      </c>
      <c r="AF127" s="7">
        <v>30</v>
      </c>
      <c r="AG127" s="21"/>
      <c r="AH127" s="21"/>
      <c r="AI127" s="2"/>
    </row>
    <row r="128" spans="2:36">
      <c r="B128" s="15" t="s">
        <v>15</v>
      </c>
      <c r="C128" s="6">
        <v>1</v>
      </c>
      <c r="D128" s="8">
        <v>2</v>
      </c>
      <c r="E128" s="7">
        <v>3</v>
      </c>
      <c r="F128" s="7" t="s">
        <v>14</v>
      </c>
      <c r="G128" s="7" t="s">
        <v>14</v>
      </c>
      <c r="H128" s="7" t="s">
        <v>14</v>
      </c>
      <c r="I128" s="7" t="s">
        <v>14</v>
      </c>
      <c r="J128" s="7" t="s">
        <v>14</v>
      </c>
      <c r="K128" s="7" t="s">
        <v>14</v>
      </c>
      <c r="L128" s="7" t="s">
        <v>14</v>
      </c>
      <c r="M128" s="7">
        <v>11</v>
      </c>
      <c r="N128" s="7">
        <v>12</v>
      </c>
      <c r="O128" s="7">
        <v>13</v>
      </c>
      <c r="P128" s="6">
        <v>14</v>
      </c>
      <c r="Q128" s="6">
        <v>15</v>
      </c>
      <c r="R128" s="7">
        <v>16</v>
      </c>
      <c r="S128" s="7">
        <v>17</v>
      </c>
      <c r="T128" s="7">
        <v>18</v>
      </c>
      <c r="U128" s="7">
        <v>19</v>
      </c>
      <c r="V128" s="7">
        <v>20</v>
      </c>
      <c r="W128" s="6">
        <v>21</v>
      </c>
      <c r="X128" s="6">
        <v>22</v>
      </c>
      <c r="Y128" s="7">
        <v>23</v>
      </c>
      <c r="Z128" s="7">
        <v>24</v>
      </c>
      <c r="AA128" s="7" t="s">
        <v>14</v>
      </c>
      <c r="AB128" s="7" t="s">
        <v>14</v>
      </c>
      <c r="AC128" s="7" t="s">
        <v>14</v>
      </c>
      <c r="AD128" s="7" t="s">
        <v>14</v>
      </c>
      <c r="AE128" s="7" t="s">
        <v>14</v>
      </c>
      <c r="AF128" s="7" t="s">
        <v>14</v>
      </c>
      <c r="AG128" s="21"/>
      <c r="AH128" s="21"/>
      <c r="AI128" s="2"/>
    </row>
    <row r="129" spans="2:36">
      <c r="B129" s="12" t="s">
        <v>16</v>
      </c>
      <c r="C129" s="6">
        <v>1</v>
      </c>
      <c r="D129" s="8">
        <v>2</v>
      </c>
      <c r="E129" s="7">
        <v>3</v>
      </c>
      <c r="F129" s="7">
        <v>4</v>
      </c>
      <c r="G129" s="7">
        <v>5</v>
      </c>
      <c r="H129" s="34" t="s">
        <v>17</v>
      </c>
      <c r="I129" s="6">
        <v>7</v>
      </c>
      <c r="J129" s="6">
        <v>8</v>
      </c>
      <c r="K129" s="8">
        <v>9</v>
      </c>
      <c r="L129" s="7">
        <v>10</v>
      </c>
      <c r="M129" s="7">
        <v>11</v>
      </c>
      <c r="N129" s="7">
        <v>12</v>
      </c>
      <c r="O129" s="7">
        <v>13</v>
      </c>
      <c r="P129" s="6">
        <v>14</v>
      </c>
      <c r="Q129" s="6">
        <v>15</v>
      </c>
      <c r="R129" s="7">
        <v>16</v>
      </c>
      <c r="S129" s="7">
        <v>17</v>
      </c>
      <c r="T129" s="7">
        <v>18</v>
      </c>
      <c r="U129" s="7">
        <v>19</v>
      </c>
      <c r="V129" s="34" t="s">
        <v>17</v>
      </c>
      <c r="W129" s="6">
        <v>21</v>
      </c>
      <c r="X129" s="6">
        <v>22</v>
      </c>
      <c r="Y129" s="7">
        <v>23</v>
      </c>
      <c r="Z129" s="7">
        <v>24</v>
      </c>
      <c r="AA129" s="7">
        <v>25</v>
      </c>
      <c r="AB129" s="7">
        <v>26</v>
      </c>
      <c r="AC129" s="7">
        <v>27</v>
      </c>
      <c r="AD129" s="6">
        <v>28</v>
      </c>
      <c r="AE129" s="6">
        <v>29</v>
      </c>
      <c r="AF129" s="7">
        <v>30</v>
      </c>
      <c r="AG129" s="21"/>
      <c r="AH129" s="21"/>
      <c r="AI129" s="2"/>
    </row>
    <row r="130" spans="2:36">
      <c r="B130" s="15" t="s">
        <v>18</v>
      </c>
      <c r="C130" s="6">
        <v>1</v>
      </c>
      <c r="D130" s="8">
        <v>2</v>
      </c>
      <c r="E130" s="7">
        <v>3</v>
      </c>
      <c r="F130" s="7">
        <v>4</v>
      </c>
      <c r="G130" s="7">
        <v>5</v>
      </c>
      <c r="H130" s="7">
        <v>6</v>
      </c>
      <c r="I130" s="6">
        <v>7</v>
      </c>
      <c r="J130" s="6">
        <v>8</v>
      </c>
      <c r="K130" s="8">
        <v>9</v>
      </c>
      <c r="L130" s="7">
        <v>10</v>
      </c>
      <c r="M130" s="7">
        <v>11</v>
      </c>
      <c r="N130" s="7">
        <v>12</v>
      </c>
      <c r="O130" s="7">
        <v>13</v>
      </c>
      <c r="P130" s="6">
        <v>14</v>
      </c>
      <c r="Q130" s="6">
        <v>15</v>
      </c>
      <c r="R130" s="7">
        <v>16</v>
      </c>
      <c r="S130" s="7">
        <v>17</v>
      </c>
      <c r="T130" s="7">
        <v>18</v>
      </c>
      <c r="U130" s="7">
        <v>19</v>
      </c>
      <c r="V130" s="7">
        <v>20</v>
      </c>
      <c r="W130" s="6">
        <v>21</v>
      </c>
      <c r="X130" s="6">
        <v>22</v>
      </c>
      <c r="Y130" s="7">
        <v>23</v>
      </c>
      <c r="Z130" s="7">
        <v>24</v>
      </c>
      <c r="AA130" s="7">
        <v>25</v>
      </c>
      <c r="AB130" s="7">
        <v>26</v>
      </c>
      <c r="AC130" s="7">
        <v>27</v>
      </c>
      <c r="AD130" s="6">
        <v>28</v>
      </c>
      <c r="AE130" s="6">
        <v>29</v>
      </c>
      <c r="AF130" s="7">
        <v>30</v>
      </c>
      <c r="AG130" s="21"/>
      <c r="AH130" s="21"/>
      <c r="AI130" s="2"/>
    </row>
    <row r="131" spans="2:36">
      <c r="B131" s="12" t="s">
        <v>19</v>
      </c>
      <c r="C131" s="6">
        <v>1</v>
      </c>
      <c r="D131" s="8">
        <v>2</v>
      </c>
      <c r="E131" s="7">
        <v>3</v>
      </c>
      <c r="F131" s="7">
        <v>4</v>
      </c>
      <c r="G131" s="7">
        <v>5</v>
      </c>
      <c r="H131" s="7">
        <v>6</v>
      </c>
      <c r="I131" s="6">
        <v>7</v>
      </c>
      <c r="J131" s="6">
        <v>8</v>
      </c>
      <c r="K131" s="8">
        <v>9</v>
      </c>
      <c r="L131" s="7">
        <v>10</v>
      </c>
      <c r="M131" s="7">
        <v>11</v>
      </c>
      <c r="N131" s="7">
        <v>12</v>
      </c>
      <c r="O131" s="7">
        <v>13</v>
      </c>
      <c r="P131" s="6">
        <v>14</v>
      </c>
      <c r="Q131" s="6">
        <v>15</v>
      </c>
      <c r="R131" s="7">
        <v>16</v>
      </c>
      <c r="S131" s="7">
        <v>17</v>
      </c>
      <c r="T131" s="7">
        <v>18</v>
      </c>
      <c r="U131" s="7">
        <v>19</v>
      </c>
      <c r="V131" s="7">
        <v>20</v>
      </c>
      <c r="W131" s="6">
        <v>21</v>
      </c>
      <c r="X131" s="6">
        <v>22</v>
      </c>
      <c r="Y131" s="7">
        <v>23</v>
      </c>
      <c r="Z131" s="7">
        <v>24</v>
      </c>
      <c r="AA131" s="7">
        <v>25</v>
      </c>
      <c r="AB131" s="7">
        <v>26</v>
      </c>
      <c r="AC131" s="7">
        <v>27</v>
      </c>
      <c r="AD131" s="6">
        <v>28</v>
      </c>
      <c r="AE131" s="6">
        <v>29</v>
      </c>
      <c r="AF131" s="7">
        <v>30</v>
      </c>
      <c r="AG131" s="21"/>
      <c r="AH131" s="21"/>
      <c r="AI131" s="2"/>
    </row>
    <row r="132" spans="2:36">
      <c r="B132" s="15" t="s">
        <v>20</v>
      </c>
      <c r="C132" s="6">
        <v>1</v>
      </c>
      <c r="D132" s="8">
        <v>2</v>
      </c>
      <c r="E132" s="7">
        <v>3</v>
      </c>
      <c r="F132" s="7">
        <v>4</v>
      </c>
      <c r="G132" s="7">
        <v>5</v>
      </c>
      <c r="H132" s="7">
        <v>6</v>
      </c>
      <c r="I132" s="6">
        <v>7</v>
      </c>
      <c r="J132" s="6">
        <v>8</v>
      </c>
      <c r="K132" s="8">
        <v>9</v>
      </c>
      <c r="L132" s="7">
        <v>10</v>
      </c>
      <c r="M132" s="7" t="s">
        <v>14</v>
      </c>
      <c r="N132" s="7" t="s">
        <v>14</v>
      </c>
      <c r="O132" s="7" t="s">
        <v>14</v>
      </c>
      <c r="P132" s="7" t="s">
        <v>14</v>
      </c>
      <c r="Q132" s="7" t="s">
        <v>14</v>
      </c>
      <c r="R132" s="7" t="s">
        <v>14</v>
      </c>
      <c r="S132" s="7" t="s">
        <v>14</v>
      </c>
      <c r="T132" s="7">
        <v>18</v>
      </c>
      <c r="U132" s="7">
        <v>19</v>
      </c>
      <c r="V132" s="7">
        <v>20</v>
      </c>
      <c r="W132" s="6">
        <v>21</v>
      </c>
      <c r="X132" s="6">
        <v>22</v>
      </c>
      <c r="Y132" s="7">
        <v>23</v>
      </c>
      <c r="Z132" s="7">
        <v>24</v>
      </c>
      <c r="AA132" s="7">
        <v>25</v>
      </c>
      <c r="AB132" s="7">
        <v>26</v>
      </c>
      <c r="AC132" s="7">
        <v>27</v>
      </c>
      <c r="AD132" s="6">
        <v>28</v>
      </c>
      <c r="AE132" s="6">
        <v>29</v>
      </c>
      <c r="AF132" s="7">
        <v>30</v>
      </c>
      <c r="AG132" s="21"/>
      <c r="AH132" s="21"/>
      <c r="AI132" s="2"/>
    </row>
    <row r="133" spans="2:36">
      <c r="B133" s="12" t="s">
        <v>21</v>
      </c>
      <c r="C133" s="6">
        <v>1</v>
      </c>
      <c r="D133" s="8">
        <v>2</v>
      </c>
      <c r="E133" s="7">
        <v>3</v>
      </c>
      <c r="F133" s="7">
        <v>4</v>
      </c>
      <c r="G133" s="7">
        <v>5</v>
      </c>
      <c r="H133" s="7">
        <v>6</v>
      </c>
      <c r="I133" s="6">
        <v>7</v>
      </c>
      <c r="J133" s="6">
        <v>8</v>
      </c>
      <c r="K133" s="8">
        <v>9</v>
      </c>
      <c r="L133" s="7">
        <v>10</v>
      </c>
      <c r="M133" s="7">
        <v>11</v>
      </c>
      <c r="N133" s="7">
        <v>12</v>
      </c>
      <c r="O133" s="34" t="s">
        <v>17</v>
      </c>
      <c r="P133" s="6">
        <v>14</v>
      </c>
      <c r="Q133" s="6">
        <v>15</v>
      </c>
      <c r="R133" s="7">
        <v>16</v>
      </c>
      <c r="S133" s="7">
        <v>17</v>
      </c>
      <c r="T133" s="7">
        <v>18</v>
      </c>
      <c r="U133" s="7">
        <v>19</v>
      </c>
      <c r="V133" s="7">
        <v>20</v>
      </c>
      <c r="W133" s="6">
        <v>21</v>
      </c>
      <c r="X133" s="6">
        <v>22</v>
      </c>
      <c r="Y133" s="7">
        <v>23</v>
      </c>
      <c r="Z133" s="7">
        <v>24</v>
      </c>
      <c r="AA133" s="7">
        <v>25</v>
      </c>
      <c r="AB133" s="7">
        <v>26</v>
      </c>
      <c r="AC133" s="34" t="s">
        <v>17</v>
      </c>
      <c r="AD133" s="6">
        <v>28</v>
      </c>
      <c r="AE133" s="6">
        <v>29</v>
      </c>
      <c r="AF133" s="7">
        <v>30</v>
      </c>
      <c r="AG133" s="21"/>
      <c r="AH133" s="21"/>
    </row>
    <row r="135" spans="2:36">
      <c r="B135" s="5">
        <v>44166</v>
      </c>
      <c r="C135" s="1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4"/>
      <c r="AJ135" s="4"/>
    </row>
    <row r="136" spans="2:36">
      <c r="B136" s="9"/>
      <c r="C136" s="10" t="s">
        <v>7</v>
      </c>
      <c r="D136" s="10" t="s">
        <v>1</v>
      </c>
      <c r="E136" s="10" t="s">
        <v>2</v>
      </c>
      <c r="F136" s="10" t="s">
        <v>3</v>
      </c>
      <c r="G136" s="10" t="s">
        <v>4</v>
      </c>
      <c r="H136" s="10" t="s">
        <v>5</v>
      </c>
      <c r="I136" s="10" t="s">
        <v>6</v>
      </c>
      <c r="J136" s="10" t="s">
        <v>7</v>
      </c>
      <c r="K136" s="10" t="s">
        <v>1</v>
      </c>
      <c r="L136" s="10" t="s">
        <v>2</v>
      </c>
      <c r="M136" s="10" t="s">
        <v>3</v>
      </c>
      <c r="N136" s="10" t="s">
        <v>4</v>
      </c>
      <c r="O136" s="11" t="s">
        <v>5</v>
      </c>
      <c r="P136" s="10" t="s">
        <v>6</v>
      </c>
      <c r="Q136" s="10" t="s">
        <v>7</v>
      </c>
      <c r="R136" s="10" t="s">
        <v>1</v>
      </c>
      <c r="S136" s="10" t="s">
        <v>2</v>
      </c>
      <c r="T136" s="10" t="s">
        <v>3</v>
      </c>
      <c r="U136" s="10" t="s">
        <v>4</v>
      </c>
      <c r="V136" s="11" t="s">
        <v>5</v>
      </c>
      <c r="W136" s="10" t="s">
        <v>6</v>
      </c>
      <c r="X136" s="10" t="s">
        <v>7</v>
      </c>
      <c r="Y136" s="10" t="s">
        <v>1</v>
      </c>
      <c r="Z136" s="10" t="s">
        <v>2</v>
      </c>
      <c r="AA136" s="10" t="s">
        <v>3</v>
      </c>
      <c r="AB136" s="10" t="s">
        <v>4</v>
      </c>
      <c r="AC136" s="13" t="s">
        <v>5</v>
      </c>
      <c r="AD136" s="10" t="s">
        <v>6</v>
      </c>
      <c r="AE136" s="10" t="s">
        <v>7</v>
      </c>
      <c r="AF136" s="10" t="s">
        <v>1</v>
      </c>
      <c r="AG136" s="10" t="s">
        <v>2</v>
      </c>
      <c r="AH136" s="2"/>
      <c r="AI136" s="2"/>
    </row>
    <row r="137" spans="2:36">
      <c r="B137" s="12" t="s">
        <v>8</v>
      </c>
      <c r="C137" s="7">
        <v>1</v>
      </c>
      <c r="D137" s="7">
        <v>2</v>
      </c>
      <c r="E137" s="7">
        <v>3</v>
      </c>
      <c r="F137" s="7">
        <v>4</v>
      </c>
      <c r="G137" s="6">
        <v>5</v>
      </c>
      <c r="H137" s="6">
        <v>6</v>
      </c>
      <c r="I137" s="8">
        <v>7</v>
      </c>
      <c r="J137" s="8">
        <v>8</v>
      </c>
      <c r="K137" s="7">
        <v>9</v>
      </c>
      <c r="L137" s="7">
        <v>10</v>
      </c>
      <c r="M137" s="7">
        <v>11</v>
      </c>
      <c r="N137" s="6">
        <v>12</v>
      </c>
      <c r="O137" s="6">
        <v>13</v>
      </c>
      <c r="P137" s="7">
        <v>14</v>
      </c>
      <c r="Q137" s="7">
        <v>15</v>
      </c>
      <c r="R137" s="7">
        <v>16</v>
      </c>
      <c r="S137" s="7">
        <v>17</v>
      </c>
      <c r="T137" s="7">
        <v>18</v>
      </c>
      <c r="U137" s="6">
        <v>19</v>
      </c>
      <c r="V137" s="6">
        <v>20</v>
      </c>
      <c r="W137" s="7">
        <v>21</v>
      </c>
      <c r="X137" s="7" t="s">
        <v>9</v>
      </c>
      <c r="Y137" s="7" t="s">
        <v>9</v>
      </c>
      <c r="Z137" s="7" t="s">
        <v>9</v>
      </c>
      <c r="AA137" s="8">
        <v>25</v>
      </c>
      <c r="AB137" s="6">
        <v>26</v>
      </c>
      <c r="AC137" s="6">
        <v>27</v>
      </c>
      <c r="AD137" s="7" t="s">
        <v>9</v>
      </c>
      <c r="AE137" s="7" t="s">
        <v>9</v>
      </c>
      <c r="AF137" s="7" t="s">
        <v>9</v>
      </c>
      <c r="AG137" s="7" t="s">
        <v>9</v>
      </c>
      <c r="AH137" s="21"/>
      <c r="AI137" s="2"/>
    </row>
    <row r="138" spans="2:36">
      <c r="B138" s="15" t="s">
        <v>10</v>
      </c>
      <c r="C138" s="7">
        <v>1</v>
      </c>
      <c r="D138" s="7">
        <v>2</v>
      </c>
      <c r="E138" s="7">
        <v>3</v>
      </c>
      <c r="F138" s="7">
        <v>4</v>
      </c>
      <c r="G138" s="6">
        <v>5</v>
      </c>
      <c r="H138" s="6">
        <v>6</v>
      </c>
      <c r="I138" s="8">
        <v>7</v>
      </c>
      <c r="J138" s="8">
        <v>8</v>
      </c>
      <c r="K138" s="7">
        <v>9</v>
      </c>
      <c r="L138" s="7">
        <v>10</v>
      </c>
      <c r="M138" s="7">
        <v>11</v>
      </c>
      <c r="N138" s="6">
        <v>12</v>
      </c>
      <c r="O138" s="6">
        <v>13</v>
      </c>
      <c r="P138" s="7" t="s">
        <v>9</v>
      </c>
      <c r="Q138" s="7">
        <v>15</v>
      </c>
      <c r="R138" s="7">
        <v>16</v>
      </c>
      <c r="S138" s="7">
        <v>17</v>
      </c>
      <c r="T138" s="7">
        <v>18</v>
      </c>
      <c r="U138" s="6">
        <v>19</v>
      </c>
      <c r="V138" s="6">
        <v>20</v>
      </c>
      <c r="W138" s="7">
        <v>21</v>
      </c>
      <c r="X138" s="7">
        <v>22</v>
      </c>
      <c r="Y138" s="7">
        <v>23</v>
      </c>
      <c r="Z138" s="7">
        <v>24</v>
      </c>
      <c r="AA138" s="8">
        <v>25</v>
      </c>
      <c r="AB138" s="6">
        <v>26</v>
      </c>
      <c r="AC138" s="6">
        <v>27</v>
      </c>
      <c r="AD138" s="7">
        <v>28</v>
      </c>
      <c r="AE138" s="7">
        <v>29</v>
      </c>
      <c r="AF138" s="7">
        <v>30</v>
      </c>
      <c r="AG138" s="7" t="s">
        <v>9</v>
      </c>
      <c r="AH138" s="21"/>
      <c r="AI138" s="2"/>
    </row>
    <row r="139" spans="2:36">
      <c r="B139" s="12" t="s">
        <v>11</v>
      </c>
      <c r="C139" s="7">
        <v>1</v>
      </c>
      <c r="D139" s="7">
        <v>2</v>
      </c>
      <c r="E139" s="7">
        <v>3</v>
      </c>
      <c r="F139" s="7">
        <v>4</v>
      </c>
      <c r="G139" s="6">
        <v>5</v>
      </c>
      <c r="H139" s="6">
        <v>6</v>
      </c>
      <c r="I139" s="8">
        <v>7</v>
      </c>
      <c r="J139" s="8">
        <v>8</v>
      </c>
      <c r="K139" s="7">
        <v>9</v>
      </c>
      <c r="L139" s="7">
        <v>10</v>
      </c>
      <c r="M139" s="7">
        <v>11</v>
      </c>
      <c r="N139" s="6">
        <v>12</v>
      </c>
      <c r="O139" s="6">
        <v>13</v>
      </c>
      <c r="P139" s="7">
        <v>14</v>
      </c>
      <c r="Q139" s="7">
        <v>15</v>
      </c>
      <c r="R139" s="7" t="s">
        <v>14</v>
      </c>
      <c r="S139" s="7" t="s">
        <v>14</v>
      </c>
      <c r="T139" s="7" t="s">
        <v>14</v>
      </c>
      <c r="U139" s="7" t="s">
        <v>14</v>
      </c>
      <c r="V139" s="7" t="s">
        <v>14</v>
      </c>
      <c r="W139" s="7" t="s">
        <v>14</v>
      </c>
      <c r="X139" s="7" t="s">
        <v>14</v>
      </c>
      <c r="Y139" s="7" t="s">
        <v>14</v>
      </c>
      <c r="Z139" s="7" t="s">
        <v>14</v>
      </c>
      <c r="AA139" s="7" t="s">
        <v>14</v>
      </c>
      <c r="AB139" s="7" t="s">
        <v>14</v>
      </c>
      <c r="AC139" s="7" t="s">
        <v>14</v>
      </c>
      <c r="AD139" s="7" t="s">
        <v>14</v>
      </c>
      <c r="AE139" s="7" t="s">
        <v>14</v>
      </c>
      <c r="AF139" s="7">
        <v>30</v>
      </c>
      <c r="AG139" s="7">
        <v>31</v>
      </c>
      <c r="AH139" s="21"/>
      <c r="AI139" s="2"/>
    </row>
    <row r="140" spans="2:36">
      <c r="B140" s="15" t="s">
        <v>15</v>
      </c>
      <c r="C140" s="7" t="s">
        <v>14</v>
      </c>
      <c r="D140" s="7">
        <v>2</v>
      </c>
      <c r="E140" s="7">
        <v>3</v>
      </c>
      <c r="F140" s="7" t="s">
        <v>9</v>
      </c>
      <c r="G140" s="6">
        <v>5</v>
      </c>
      <c r="H140" s="6">
        <v>6</v>
      </c>
      <c r="I140" s="8">
        <v>7</v>
      </c>
      <c r="J140" s="8">
        <v>8</v>
      </c>
      <c r="K140" s="7" t="s">
        <v>14</v>
      </c>
      <c r="L140" s="7" t="s">
        <v>14</v>
      </c>
      <c r="M140" s="7" t="s">
        <v>14</v>
      </c>
      <c r="N140" s="7" t="s">
        <v>14</v>
      </c>
      <c r="O140" s="7" t="s">
        <v>14</v>
      </c>
      <c r="P140" s="7" t="s">
        <v>14</v>
      </c>
      <c r="Q140" s="7" t="s">
        <v>14</v>
      </c>
      <c r="R140" s="7">
        <v>16</v>
      </c>
      <c r="S140" s="7" t="s">
        <v>9</v>
      </c>
      <c r="T140" s="7" t="s">
        <v>9</v>
      </c>
      <c r="U140" s="6">
        <v>19</v>
      </c>
      <c r="V140" s="6">
        <v>20</v>
      </c>
      <c r="W140" s="7" t="s">
        <v>9</v>
      </c>
      <c r="X140" s="7" t="s">
        <v>9</v>
      </c>
      <c r="Y140" s="7" t="s">
        <v>9</v>
      </c>
      <c r="Z140" s="7" t="s">
        <v>9</v>
      </c>
      <c r="AA140" s="8">
        <v>25</v>
      </c>
      <c r="AB140" s="6">
        <v>26</v>
      </c>
      <c r="AC140" s="6">
        <v>27</v>
      </c>
      <c r="AD140" s="7" t="s">
        <v>9</v>
      </c>
      <c r="AE140" s="7" t="s">
        <v>9</v>
      </c>
      <c r="AF140" s="7" t="s">
        <v>14</v>
      </c>
      <c r="AG140" s="7" t="s">
        <v>14</v>
      </c>
      <c r="AH140" s="21"/>
      <c r="AI140" s="2"/>
    </row>
    <row r="141" spans="2:36">
      <c r="B141" s="12" t="s">
        <v>16</v>
      </c>
      <c r="C141" s="7">
        <v>1</v>
      </c>
      <c r="D141" s="7">
        <v>2</v>
      </c>
      <c r="E141" s="7">
        <v>3</v>
      </c>
      <c r="F141" s="34" t="s">
        <v>17</v>
      </c>
      <c r="G141" s="6">
        <v>5</v>
      </c>
      <c r="H141" s="6">
        <v>6</v>
      </c>
      <c r="I141" s="8">
        <v>7</v>
      </c>
      <c r="J141" s="8">
        <v>8</v>
      </c>
      <c r="K141" s="7" t="s">
        <v>9</v>
      </c>
      <c r="L141" s="7" t="s">
        <v>9</v>
      </c>
      <c r="M141" s="7" t="s">
        <v>9</v>
      </c>
      <c r="N141" s="6">
        <v>12</v>
      </c>
      <c r="O141" s="6">
        <v>13</v>
      </c>
      <c r="P141" s="7" t="s">
        <v>9</v>
      </c>
      <c r="Q141" s="7" t="s">
        <v>9</v>
      </c>
      <c r="R141" s="7" t="s">
        <v>9</v>
      </c>
      <c r="S141" s="7" t="s">
        <v>9</v>
      </c>
      <c r="T141" s="7" t="s">
        <v>9</v>
      </c>
      <c r="U141" s="6">
        <v>19</v>
      </c>
      <c r="V141" s="6">
        <v>20</v>
      </c>
      <c r="W141" s="7" t="s">
        <v>9</v>
      </c>
      <c r="X141" s="7" t="s">
        <v>9</v>
      </c>
      <c r="Y141" s="7">
        <v>23</v>
      </c>
      <c r="Z141" s="7">
        <v>24</v>
      </c>
      <c r="AA141" s="8">
        <v>25</v>
      </c>
      <c r="AB141" s="6">
        <v>26</v>
      </c>
      <c r="AC141" s="6">
        <v>27</v>
      </c>
      <c r="AD141" s="7">
        <v>28</v>
      </c>
      <c r="AE141" s="7">
        <v>29</v>
      </c>
      <c r="AF141" s="7" t="s">
        <v>9</v>
      </c>
      <c r="AG141" s="7" t="s">
        <v>9</v>
      </c>
      <c r="AH141" s="21"/>
      <c r="AI141" s="2"/>
    </row>
    <row r="142" spans="2:36">
      <c r="B142" s="15" t="s">
        <v>18</v>
      </c>
      <c r="C142" s="7">
        <v>1</v>
      </c>
      <c r="D142" s="7">
        <v>2</v>
      </c>
      <c r="E142" s="7">
        <v>3</v>
      </c>
      <c r="F142" s="7">
        <v>4</v>
      </c>
      <c r="G142" s="6">
        <v>5</v>
      </c>
      <c r="H142" s="6">
        <v>6</v>
      </c>
      <c r="I142" s="8">
        <v>7</v>
      </c>
      <c r="J142" s="8">
        <v>8</v>
      </c>
      <c r="K142" s="7">
        <v>9</v>
      </c>
      <c r="L142" s="7">
        <v>10</v>
      </c>
      <c r="M142" s="7">
        <v>11</v>
      </c>
      <c r="N142" s="6">
        <v>12</v>
      </c>
      <c r="O142" s="6">
        <v>13</v>
      </c>
      <c r="P142" s="7">
        <v>14</v>
      </c>
      <c r="Q142" s="7">
        <v>15</v>
      </c>
      <c r="R142" s="7">
        <v>16</v>
      </c>
      <c r="S142" s="7">
        <v>17</v>
      </c>
      <c r="T142" s="7">
        <v>18</v>
      </c>
      <c r="U142" s="6">
        <v>19</v>
      </c>
      <c r="V142" s="6">
        <v>20</v>
      </c>
      <c r="W142" s="7">
        <v>21</v>
      </c>
      <c r="X142" s="7">
        <v>22</v>
      </c>
      <c r="Y142" s="7">
        <v>23</v>
      </c>
      <c r="Z142" s="7">
        <v>24</v>
      </c>
      <c r="AA142" s="8">
        <v>25</v>
      </c>
      <c r="AB142" s="6">
        <v>26</v>
      </c>
      <c r="AC142" s="6">
        <v>27</v>
      </c>
      <c r="AD142" s="7">
        <v>28</v>
      </c>
      <c r="AE142" s="7">
        <v>29</v>
      </c>
      <c r="AF142" s="25" t="s">
        <v>9</v>
      </c>
      <c r="AG142" s="25" t="s">
        <v>9</v>
      </c>
      <c r="AH142" s="21"/>
      <c r="AI142" s="2"/>
    </row>
    <row r="143" spans="2:36">
      <c r="B143" s="12" t="s">
        <v>19</v>
      </c>
      <c r="C143" s="7">
        <v>1</v>
      </c>
      <c r="D143" s="7">
        <v>2</v>
      </c>
      <c r="E143" s="7">
        <v>3</v>
      </c>
      <c r="F143" s="7">
        <v>4</v>
      </c>
      <c r="G143" s="6">
        <v>5</v>
      </c>
      <c r="H143" s="6">
        <v>6</v>
      </c>
      <c r="I143" s="8">
        <v>7</v>
      </c>
      <c r="J143" s="8">
        <v>8</v>
      </c>
      <c r="K143" s="7">
        <v>9</v>
      </c>
      <c r="L143" s="7">
        <v>10</v>
      </c>
      <c r="M143" s="7">
        <v>11</v>
      </c>
      <c r="N143" s="6">
        <v>12</v>
      </c>
      <c r="O143" s="6">
        <v>13</v>
      </c>
      <c r="P143" s="7">
        <v>14</v>
      </c>
      <c r="Q143" s="7">
        <v>15</v>
      </c>
      <c r="R143" s="7">
        <v>16</v>
      </c>
      <c r="S143" s="7">
        <v>17</v>
      </c>
      <c r="T143" s="7">
        <v>18</v>
      </c>
      <c r="U143" s="6">
        <v>19</v>
      </c>
      <c r="V143" s="6">
        <v>20</v>
      </c>
      <c r="W143" s="7" t="s">
        <v>9</v>
      </c>
      <c r="X143" s="7" t="s">
        <v>9</v>
      </c>
      <c r="Y143" s="7" t="s">
        <v>9</v>
      </c>
      <c r="Z143" s="7" t="s">
        <v>9</v>
      </c>
      <c r="AA143" s="8">
        <v>25</v>
      </c>
      <c r="AB143" s="6">
        <v>26</v>
      </c>
      <c r="AC143" s="6">
        <v>27</v>
      </c>
      <c r="AD143" s="7">
        <v>28</v>
      </c>
      <c r="AE143" s="7">
        <v>29</v>
      </c>
      <c r="AF143" s="7">
        <v>30</v>
      </c>
      <c r="AG143" s="7">
        <v>31</v>
      </c>
      <c r="AH143" s="21"/>
      <c r="AI143" s="2"/>
    </row>
    <row r="144" spans="2:36">
      <c r="B144" s="15" t="s">
        <v>20</v>
      </c>
      <c r="C144" s="7">
        <v>1</v>
      </c>
      <c r="D144" s="7" t="s">
        <v>14</v>
      </c>
      <c r="E144" s="7" t="s">
        <v>14</v>
      </c>
      <c r="F144" s="7" t="s">
        <v>14</v>
      </c>
      <c r="G144" s="7" t="s">
        <v>14</v>
      </c>
      <c r="H144" s="7" t="s">
        <v>14</v>
      </c>
      <c r="I144" s="7" t="s">
        <v>14</v>
      </c>
      <c r="J144" s="7" t="s">
        <v>14</v>
      </c>
      <c r="K144" s="7">
        <v>9</v>
      </c>
      <c r="L144" s="7">
        <v>10</v>
      </c>
      <c r="M144" s="7">
        <v>11</v>
      </c>
      <c r="N144" s="6">
        <v>12</v>
      </c>
      <c r="O144" s="6">
        <v>13</v>
      </c>
      <c r="P144" s="7">
        <v>14</v>
      </c>
      <c r="Q144" s="7">
        <v>15</v>
      </c>
      <c r="R144" s="7">
        <v>16</v>
      </c>
      <c r="S144" s="7">
        <v>17</v>
      </c>
      <c r="T144" s="7" t="s">
        <v>9</v>
      </c>
      <c r="U144" s="6">
        <v>19</v>
      </c>
      <c r="V144" s="6">
        <v>20</v>
      </c>
      <c r="W144" s="7" t="s">
        <v>9</v>
      </c>
      <c r="X144" s="7" t="s">
        <v>9</v>
      </c>
      <c r="Y144" s="7" t="s">
        <v>9</v>
      </c>
      <c r="Z144" s="7" t="s">
        <v>9</v>
      </c>
      <c r="AA144" s="8">
        <v>25</v>
      </c>
      <c r="AB144" s="6">
        <v>26</v>
      </c>
      <c r="AC144" s="6">
        <v>27</v>
      </c>
      <c r="AD144" s="7" t="s">
        <v>9</v>
      </c>
      <c r="AE144" s="7" t="s">
        <v>9</v>
      </c>
      <c r="AF144" s="7" t="s">
        <v>9</v>
      </c>
      <c r="AG144" s="7" t="s">
        <v>9</v>
      </c>
      <c r="AH144" s="21"/>
      <c r="AI144" s="2"/>
    </row>
    <row r="145" spans="2:34">
      <c r="B145" s="12" t="s">
        <v>21</v>
      </c>
      <c r="C145" s="7">
        <v>1</v>
      </c>
      <c r="D145" s="7">
        <v>2</v>
      </c>
      <c r="E145" s="7">
        <v>3</v>
      </c>
      <c r="F145" s="7">
        <v>4</v>
      </c>
      <c r="G145" s="6">
        <v>5</v>
      </c>
      <c r="H145" s="6">
        <v>6</v>
      </c>
      <c r="I145" s="8">
        <v>7</v>
      </c>
      <c r="J145" s="8">
        <v>8</v>
      </c>
      <c r="K145" s="7">
        <v>9</v>
      </c>
      <c r="L145" s="7">
        <v>10</v>
      </c>
      <c r="M145" s="7">
        <v>11</v>
      </c>
      <c r="N145" s="6">
        <v>12</v>
      </c>
      <c r="O145" s="6">
        <v>13</v>
      </c>
      <c r="P145" s="7">
        <v>14</v>
      </c>
      <c r="Q145" s="7">
        <v>15</v>
      </c>
      <c r="R145" s="7">
        <v>16</v>
      </c>
      <c r="S145" s="7">
        <v>17</v>
      </c>
      <c r="T145" s="7">
        <v>18</v>
      </c>
      <c r="U145" s="6">
        <v>19</v>
      </c>
      <c r="V145" s="6">
        <v>20</v>
      </c>
      <c r="W145" s="7">
        <v>21</v>
      </c>
      <c r="X145" s="7">
        <v>22</v>
      </c>
      <c r="Y145" s="7">
        <v>23</v>
      </c>
      <c r="Z145" s="7" t="s">
        <v>9</v>
      </c>
      <c r="AA145" s="8">
        <v>25</v>
      </c>
      <c r="AB145" s="6">
        <v>26</v>
      </c>
      <c r="AC145" s="6">
        <v>27</v>
      </c>
      <c r="AD145" s="25" t="s">
        <v>9</v>
      </c>
      <c r="AE145" s="25" t="s">
        <v>9</v>
      </c>
      <c r="AF145" s="7">
        <v>30</v>
      </c>
      <c r="AG145" s="7">
        <v>31</v>
      </c>
      <c r="AH145" s="21"/>
    </row>
    <row r="146" spans="2:34">
      <c r="B146" s="22"/>
    </row>
    <row r="147" spans="2:34">
      <c r="B147" s="5">
        <v>44197</v>
      </c>
      <c r="C147" s="1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</row>
    <row r="148" spans="2:34">
      <c r="B148" s="9"/>
      <c r="C148" s="10" t="s">
        <v>3</v>
      </c>
      <c r="D148" s="10" t="s">
        <v>4</v>
      </c>
      <c r="E148" s="10" t="s">
        <v>5</v>
      </c>
      <c r="F148" s="10" t="s">
        <v>6</v>
      </c>
      <c r="G148" s="10" t="s">
        <v>7</v>
      </c>
      <c r="H148" s="10" t="s">
        <v>1</v>
      </c>
      <c r="I148" s="10" t="s">
        <v>2</v>
      </c>
      <c r="J148" s="10" t="s">
        <v>3</v>
      </c>
      <c r="K148" s="10" t="s">
        <v>4</v>
      </c>
      <c r="L148" s="11" t="s">
        <v>5</v>
      </c>
      <c r="M148" s="10" t="s">
        <v>6</v>
      </c>
      <c r="N148" s="10" t="s">
        <v>7</v>
      </c>
      <c r="O148" s="10" t="s">
        <v>1</v>
      </c>
      <c r="P148" s="10" t="s">
        <v>2</v>
      </c>
      <c r="Q148" s="10" t="s">
        <v>3</v>
      </c>
      <c r="R148" s="10" t="s">
        <v>4</v>
      </c>
      <c r="S148" s="11" t="s">
        <v>5</v>
      </c>
      <c r="T148" s="10" t="s">
        <v>6</v>
      </c>
      <c r="U148" s="10" t="s">
        <v>7</v>
      </c>
      <c r="V148" s="10" t="s">
        <v>1</v>
      </c>
      <c r="W148" s="10" t="s">
        <v>2</v>
      </c>
      <c r="X148" s="10" t="s">
        <v>3</v>
      </c>
      <c r="Y148" s="10" t="s">
        <v>4</v>
      </c>
      <c r="Z148" s="13" t="s">
        <v>5</v>
      </c>
      <c r="AA148" s="10" t="s">
        <v>6</v>
      </c>
      <c r="AB148" s="10" t="s">
        <v>7</v>
      </c>
      <c r="AC148" s="10" t="s">
        <v>1</v>
      </c>
      <c r="AD148" s="10" t="s">
        <v>2</v>
      </c>
      <c r="AE148" s="10" t="s">
        <v>3</v>
      </c>
      <c r="AF148" s="10" t="s">
        <v>4</v>
      </c>
      <c r="AG148" s="10" t="s">
        <v>5</v>
      </c>
      <c r="AH148" s="2"/>
    </row>
    <row r="149" spans="2:34">
      <c r="B149" s="12" t="s">
        <v>8</v>
      </c>
      <c r="C149" s="8">
        <v>1</v>
      </c>
      <c r="D149" s="6">
        <v>2</v>
      </c>
      <c r="E149" s="6">
        <v>3</v>
      </c>
      <c r="F149" s="25">
        <v>4</v>
      </c>
      <c r="G149" s="25">
        <v>5</v>
      </c>
      <c r="H149" s="8">
        <v>6</v>
      </c>
      <c r="I149" s="25">
        <v>7</v>
      </c>
      <c r="J149" s="25">
        <v>8</v>
      </c>
      <c r="K149" s="6">
        <v>9</v>
      </c>
      <c r="L149" s="6">
        <v>10</v>
      </c>
      <c r="M149" s="25">
        <v>11</v>
      </c>
      <c r="N149" s="25">
        <v>12</v>
      </c>
      <c r="O149" s="25">
        <v>13</v>
      </c>
      <c r="P149" s="25">
        <v>14</v>
      </c>
      <c r="Q149" s="25">
        <v>15</v>
      </c>
      <c r="R149" s="6">
        <v>16</v>
      </c>
      <c r="S149" s="6">
        <v>17</v>
      </c>
      <c r="T149" s="25">
        <v>18</v>
      </c>
      <c r="U149" s="25">
        <v>19</v>
      </c>
      <c r="V149" s="25">
        <v>20</v>
      </c>
      <c r="W149" s="25">
        <v>21</v>
      </c>
      <c r="X149" s="25">
        <v>22</v>
      </c>
      <c r="Y149" s="6">
        <v>23</v>
      </c>
      <c r="Z149" s="6">
        <v>24</v>
      </c>
      <c r="AA149" s="25" t="s">
        <v>29</v>
      </c>
      <c r="AB149" s="25" t="s">
        <v>29</v>
      </c>
      <c r="AC149" s="25" t="s">
        <v>9</v>
      </c>
      <c r="AD149" s="25" t="s">
        <v>9</v>
      </c>
      <c r="AE149" s="25" t="s">
        <v>9</v>
      </c>
      <c r="AF149" s="6">
        <v>30</v>
      </c>
      <c r="AG149" s="6">
        <v>31</v>
      </c>
      <c r="AH149" s="21"/>
    </row>
    <row r="150" spans="2:34">
      <c r="B150" s="15" t="s">
        <v>10</v>
      </c>
      <c r="C150" s="8">
        <v>1</v>
      </c>
      <c r="D150" s="6">
        <v>2</v>
      </c>
      <c r="E150" s="6">
        <v>3</v>
      </c>
      <c r="F150" s="7" t="s">
        <v>9</v>
      </c>
      <c r="G150" s="7" t="s">
        <v>9</v>
      </c>
      <c r="H150" s="8">
        <v>6</v>
      </c>
      <c r="I150" s="7" t="s">
        <v>9</v>
      </c>
      <c r="J150" s="7" t="s">
        <v>9</v>
      </c>
      <c r="K150" s="6">
        <v>9</v>
      </c>
      <c r="L150" s="6">
        <v>10</v>
      </c>
      <c r="M150" s="25">
        <v>11</v>
      </c>
      <c r="N150" s="25">
        <v>12</v>
      </c>
      <c r="O150" s="25">
        <v>13</v>
      </c>
      <c r="P150" s="25">
        <v>14</v>
      </c>
      <c r="Q150" s="25">
        <v>15</v>
      </c>
      <c r="R150" s="6">
        <v>16</v>
      </c>
      <c r="S150" s="6">
        <v>17</v>
      </c>
      <c r="T150" s="25">
        <v>18</v>
      </c>
      <c r="U150" s="25">
        <v>19</v>
      </c>
      <c r="V150" s="25">
        <v>20</v>
      </c>
      <c r="W150" s="25">
        <v>21</v>
      </c>
      <c r="X150" s="25">
        <v>22</v>
      </c>
      <c r="Y150" s="6">
        <v>23</v>
      </c>
      <c r="Z150" s="6">
        <v>24</v>
      </c>
      <c r="AA150" s="25">
        <v>25</v>
      </c>
      <c r="AB150" s="25">
        <v>26</v>
      </c>
      <c r="AC150" s="25">
        <v>27</v>
      </c>
      <c r="AD150" s="25">
        <v>28</v>
      </c>
      <c r="AE150" s="25">
        <v>29</v>
      </c>
      <c r="AF150" s="6">
        <v>30</v>
      </c>
      <c r="AG150" s="6">
        <v>31</v>
      </c>
      <c r="AH150" s="21"/>
    </row>
    <row r="151" spans="2:34">
      <c r="B151" s="12" t="s">
        <v>11</v>
      </c>
      <c r="C151" s="8">
        <v>1</v>
      </c>
      <c r="D151" s="6">
        <v>2</v>
      </c>
      <c r="E151" s="6">
        <v>3</v>
      </c>
      <c r="F151" s="7" t="s">
        <v>9</v>
      </c>
      <c r="G151" s="7" t="s">
        <v>9</v>
      </c>
      <c r="H151" s="8">
        <v>6</v>
      </c>
      <c r="I151" s="7" t="s">
        <v>9</v>
      </c>
      <c r="J151" s="7" t="s">
        <v>9</v>
      </c>
      <c r="K151" s="6">
        <v>9</v>
      </c>
      <c r="L151" s="6">
        <v>10</v>
      </c>
      <c r="M151" s="7" t="s">
        <v>9</v>
      </c>
      <c r="N151" s="25" t="s">
        <v>9</v>
      </c>
      <c r="O151" s="25" t="s">
        <v>9</v>
      </c>
      <c r="P151" s="25" t="s">
        <v>9</v>
      </c>
      <c r="Q151" s="25" t="s">
        <v>9</v>
      </c>
      <c r="R151" s="6">
        <v>16</v>
      </c>
      <c r="S151" s="6">
        <v>17</v>
      </c>
      <c r="T151" s="25">
        <v>18</v>
      </c>
      <c r="U151" s="25">
        <v>19</v>
      </c>
      <c r="V151" s="25">
        <v>20</v>
      </c>
      <c r="W151" s="25">
        <v>21</v>
      </c>
      <c r="X151" s="25">
        <v>22</v>
      </c>
      <c r="Y151" s="6">
        <v>23</v>
      </c>
      <c r="Z151" s="6">
        <v>24</v>
      </c>
      <c r="AA151" s="25">
        <v>25</v>
      </c>
      <c r="AB151" s="25">
        <v>26</v>
      </c>
      <c r="AC151" s="8" t="s">
        <v>14</v>
      </c>
      <c r="AD151" s="25" t="s">
        <v>14</v>
      </c>
      <c r="AE151" s="25" t="s">
        <v>14</v>
      </c>
      <c r="AF151" s="6" t="s">
        <v>14</v>
      </c>
      <c r="AG151" s="6" t="s">
        <v>14</v>
      </c>
      <c r="AH151" s="21"/>
    </row>
    <row r="152" spans="2:34">
      <c r="B152" s="15" t="s">
        <v>15</v>
      </c>
      <c r="C152" s="8" t="s">
        <v>14</v>
      </c>
      <c r="D152" s="6" t="s">
        <v>14</v>
      </c>
      <c r="E152" s="6" t="s">
        <v>14</v>
      </c>
      <c r="F152" s="25" t="s">
        <v>14</v>
      </c>
      <c r="G152" s="25" t="s">
        <v>14</v>
      </c>
      <c r="H152" s="8">
        <v>6</v>
      </c>
      <c r="I152" s="25">
        <v>7</v>
      </c>
      <c r="J152" s="25">
        <v>8</v>
      </c>
      <c r="K152" s="6">
        <v>9</v>
      </c>
      <c r="L152" s="6">
        <v>10</v>
      </c>
      <c r="M152" s="25">
        <v>11</v>
      </c>
      <c r="N152" s="25">
        <v>12</v>
      </c>
      <c r="O152" s="8" t="s">
        <v>14</v>
      </c>
      <c r="P152" s="25" t="s">
        <v>14</v>
      </c>
      <c r="Q152" s="25" t="s">
        <v>14</v>
      </c>
      <c r="R152" s="6" t="s">
        <v>14</v>
      </c>
      <c r="S152" s="6" t="s">
        <v>14</v>
      </c>
      <c r="T152" s="25" t="s">
        <v>14</v>
      </c>
      <c r="U152" s="25" t="s">
        <v>14</v>
      </c>
      <c r="V152" s="25">
        <v>20</v>
      </c>
      <c r="W152" s="25">
        <v>21</v>
      </c>
      <c r="X152" s="25">
        <v>22</v>
      </c>
      <c r="Y152" s="6">
        <v>23</v>
      </c>
      <c r="Z152" s="6">
        <v>24</v>
      </c>
      <c r="AA152" s="25">
        <v>25</v>
      </c>
      <c r="AB152" s="25">
        <v>26</v>
      </c>
      <c r="AC152" s="25">
        <v>27</v>
      </c>
      <c r="AD152" s="25">
        <v>28</v>
      </c>
      <c r="AE152" s="25">
        <v>29</v>
      </c>
      <c r="AF152" s="6">
        <v>30</v>
      </c>
      <c r="AG152" s="6">
        <v>31</v>
      </c>
      <c r="AH152" s="21"/>
    </row>
    <row r="153" spans="2:34">
      <c r="B153" s="12" t="s">
        <v>16</v>
      </c>
      <c r="C153" s="8">
        <v>1</v>
      </c>
      <c r="D153" s="6">
        <v>2</v>
      </c>
      <c r="E153" s="6">
        <v>3</v>
      </c>
      <c r="F153" s="25">
        <v>4</v>
      </c>
      <c r="G153" s="25">
        <v>5</v>
      </c>
      <c r="H153" s="8">
        <v>6</v>
      </c>
      <c r="I153" s="25">
        <v>7</v>
      </c>
      <c r="J153" s="25">
        <v>8</v>
      </c>
      <c r="K153" s="6">
        <v>9</v>
      </c>
      <c r="L153" s="6">
        <v>10</v>
      </c>
      <c r="M153" s="25">
        <v>11</v>
      </c>
      <c r="N153" s="25">
        <v>12</v>
      </c>
      <c r="O153" s="25">
        <v>13</v>
      </c>
      <c r="P153" s="25">
        <v>14</v>
      </c>
      <c r="Q153" s="25">
        <v>15</v>
      </c>
      <c r="R153" s="6">
        <v>16</v>
      </c>
      <c r="S153" s="6">
        <v>17</v>
      </c>
      <c r="T153" s="25">
        <v>18</v>
      </c>
      <c r="U153" s="25">
        <v>19</v>
      </c>
      <c r="V153" s="25">
        <v>20</v>
      </c>
      <c r="W153" s="25">
        <v>21</v>
      </c>
      <c r="X153" s="34" t="s">
        <v>17</v>
      </c>
      <c r="Y153" s="6">
        <v>23</v>
      </c>
      <c r="Z153" s="6">
        <v>24</v>
      </c>
      <c r="AA153" s="25">
        <v>25</v>
      </c>
      <c r="AB153" s="25">
        <v>26</v>
      </c>
      <c r="AC153" s="25">
        <v>27</v>
      </c>
      <c r="AD153" s="25">
        <v>28</v>
      </c>
      <c r="AE153" s="25">
        <v>29</v>
      </c>
      <c r="AF153" s="6">
        <v>30</v>
      </c>
      <c r="AG153" s="6">
        <v>31</v>
      </c>
      <c r="AH153" s="21"/>
    </row>
    <row r="154" spans="2:34">
      <c r="B154" s="15" t="s">
        <v>18</v>
      </c>
      <c r="C154" s="8">
        <v>1</v>
      </c>
      <c r="D154" s="6">
        <v>2</v>
      </c>
      <c r="E154" s="6">
        <v>3</v>
      </c>
      <c r="F154" s="7" t="s">
        <v>9</v>
      </c>
      <c r="G154" s="7" t="s">
        <v>9</v>
      </c>
      <c r="H154" s="8">
        <v>6</v>
      </c>
      <c r="I154" s="7" t="s">
        <v>9</v>
      </c>
      <c r="J154" s="7" t="s">
        <v>9</v>
      </c>
      <c r="K154" s="6">
        <v>9</v>
      </c>
      <c r="L154" s="6">
        <v>10</v>
      </c>
      <c r="M154" s="25" t="s">
        <v>9</v>
      </c>
      <c r="N154" s="7" t="s">
        <v>9</v>
      </c>
      <c r="O154" s="25">
        <v>13</v>
      </c>
      <c r="P154" s="25">
        <v>14</v>
      </c>
      <c r="Q154" s="25">
        <v>15</v>
      </c>
      <c r="R154" s="6">
        <v>16</v>
      </c>
      <c r="S154" s="6">
        <v>17</v>
      </c>
      <c r="T154" s="25">
        <v>18</v>
      </c>
      <c r="U154" s="25">
        <v>19</v>
      </c>
      <c r="V154" s="25" t="s">
        <v>14</v>
      </c>
      <c r="W154" s="8" t="s">
        <v>14</v>
      </c>
      <c r="X154" s="25" t="s">
        <v>14</v>
      </c>
      <c r="Y154" s="25" t="s">
        <v>14</v>
      </c>
      <c r="Z154" s="6" t="s">
        <v>14</v>
      </c>
      <c r="AA154" s="6" t="s">
        <v>14</v>
      </c>
      <c r="AB154" s="25" t="s">
        <v>14</v>
      </c>
      <c r="AC154" s="25">
        <v>27</v>
      </c>
      <c r="AD154" s="7" t="s">
        <v>9</v>
      </c>
      <c r="AE154" s="7" t="s">
        <v>9</v>
      </c>
      <c r="AF154" s="6">
        <v>30</v>
      </c>
      <c r="AG154" s="6">
        <v>31</v>
      </c>
      <c r="AH154" s="21"/>
    </row>
    <row r="155" spans="2:34">
      <c r="B155" s="12" t="s">
        <v>19</v>
      </c>
      <c r="C155" s="8">
        <v>1</v>
      </c>
      <c r="D155" s="6">
        <v>2</v>
      </c>
      <c r="E155" s="6">
        <v>3</v>
      </c>
      <c r="F155" s="25">
        <v>4</v>
      </c>
      <c r="G155" s="25">
        <v>5</v>
      </c>
      <c r="H155" s="8">
        <v>6</v>
      </c>
      <c r="I155" s="25">
        <v>7</v>
      </c>
      <c r="J155" s="25">
        <v>8</v>
      </c>
      <c r="K155" s="6">
        <v>9</v>
      </c>
      <c r="L155" s="6">
        <v>10</v>
      </c>
      <c r="M155" s="25">
        <v>11</v>
      </c>
      <c r="N155" s="25">
        <v>12</v>
      </c>
      <c r="O155" s="25">
        <v>13</v>
      </c>
      <c r="P155" s="25">
        <v>14</v>
      </c>
      <c r="Q155" s="25">
        <v>15</v>
      </c>
      <c r="R155" s="6">
        <v>16</v>
      </c>
      <c r="S155" s="6">
        <v>17</v>
      </c>
      <c r="T155" s="25">
        <v>18</v>
      </c>
      <c r="U155" s="25">
        <v>19</v>
      </c>
      <c r="V155" s="25">
        <v>20</v>
      </c>
      <c r="W155" s="25">
        <v>21</v>
      </c>
      <c r="X155" s="25">
        <v>22</v>
      </c>
      <c r="Y155" s="6">
        <v>23</v>
      </c>
      <c r="Z155" s="6">
        <v>24</v>
      </c>
      <c r="AA155" s="25">
        <v>25</v>
      </c>
      <c r="AB155" s="25">
        <v>26</v>
      </c>
      <c r="AC155" s="25">
        <v>27</v>
      </c>
      <c r="AD155" s="25">
        <v>28</v>
      </c>
      <c r="AE155" s="25">
        <v>29</v>
      </c>
      <c r="AF155" s="6">
        <v>30</v>
      </c>
      <c r="AG155" s="6">
        <v>31</v>
      </c>
      <c r="AH155" s="21"/>
    </row>
    <row r="156" spans="2:34">
      <c r="B156" s="15" t="s">
        <v>20</v>
      </c>
      <c r="C156" s="8">
        <v>1</v>
      </c>
      <c r="D156" s="6">
        <v>2</v>
      </c>
      <c r="E156" s="6">
        <v>3</v>
      </c>
      <c r="F156" s="25">
        <v>4</v>
      </c>
      <c r="G156" s="25">
        <v>5</v>
      </c>
      <c r="H156" s="8" t="s">
        <v>14</v>
      </c>
      <c r="I156" s="25" t="s">
        <v>14</v>
      </c>
      <c r="J156" s="25" t="s">
        <v>14</v>
      </c>
      <c r="K156" s="6" t="s">
        <v>14</v>
      </c>
      <c r="L156" s="6" t="s">
        <v>14</v>
      </c>
      <c r="M156" s="25" t="s">
        <v>14</v>
      </c>
      <c r="N156" s="25" t="s">
        <v>14</v>
      </c>
      <c r="O156" s="25">
        <v>13</v>
      </c>
      <c r="P156" s="25">
        <v>14</v>
      </c>
      <c r="Q156" s="25">
        <v>15</v>
      </c>
      <c r="R156" s="6">
        <v>16</v>
      </c>
      <c r="S156" s="6">
        <v>17</v>
      </c>
      <c r="T156" s="25">
        <v>18</v>
      </c>
      <c r="U156" s="25">
        <v>19</v>
      </c>
      <c r="V156" s="25">
        <v>20</v>
      </c>
      <c r="W156" s="25">
        <v>21</v>
      </c>
      <c r="X156" s="25">
        <v>22</v>
      </c>
      <c r="Y156" s="6">
        <v>23</v>
      </c>
      <c r="Z156" s="6">
        <v>24</v>
      </c>
      <c r="AA156" s="25">
        <v>25</v>
      </c>
      <c r="AB156" s="25">
        <v>26</v>
      </c>
      <c r="AC156" s="25">
        <v>27</v>
      </c>
      <c r="AD156" s="25">
        <v>28</v>
      </c>
      <c r="AE156" s="25">
        <v>29</v>
      </c>
      <c r="AF156" s="6">
        <v>30</v>
      </c>
      <c r="AG156" s="6">
        <v>31</v>
      </c>
      <c r="AH156" s="21"/>
    </row>
    <row r="157" spans="2:34">
      <c r="B157" s="12" t="s">
        <v>21</v>
      </c>
      <c r="C157" s="8">
        <v>1</v>
      </c>
      <c r="D157" s="6">
        <v>2</v>
      </c>
      <c r="E157" s="6">
        <v>3</v>
      </c>
      <c r="F157" s="7" t="s">
        <v>9</v>
      </c>
      <c r="G157" s="7" t="s">
        <v>9</v>
      </c>
      <c r="H157" s="8">
        <v>6</v>
      </c>
      <c r="I157" s="7" t="s">
        <v>9</v>
      </c>
      <c r="J157" s="7" t="s">
        <v>9</v>
      </c>
      <c r="K157" s="6">
        <v>9</v>
      </c>
      <c r="L157" s="6">
        <v>10</v>
      </c>
      <c r="M157" s="25">
        <v>11</v>
      </c>
      <c r="N157" s="25">
        <v>12</v>
      </c>
      <c r="O157" s="25">
        <v>13</v>
      </c>
      <c r="P157" s="25">
        <v>14</v>
      </c>
      <c r="Q157" s="34" t="s">
        <v>17</v>
      </c>
      <c r="R157" s="6">
        <v>16</v>
      </c>
      <c r="S157" s="6">
        <v>17</v>
      </c>
      <c r="T157" s="25">
        <v>18</v>
      </c>
      <c r="U157" s="25">
        <v>19</v>
      </c>
      <c r="V157" s="25">
        <v>20</v>
      </c>
      <c r="W157" s="25">
        <v>21</v>
      </c>
      <c r="X157" s="25">
        <v>22</v>
      </c>
      <c r="Y157" s="6">
        <v>23</v>
      </c>
      <c r="Z157" s="6">
        <v>24</v>
      </c>
      <c r="AA157" s="25">
        <v>25</v>
      </c>
      <c r="AB157" s="25">
        <v>26</v>
      </c>
      <c r="AC157" s="25">
        <v>27</v>
      </c>
      <c r="AD157" s="25">
        <v>28</v>
      </c>
      <c r="AE157" s="34" t="s">
        <v>17</v>
      </c>
      <c r="AF157" s="6">
        <v>30</v>
      </c>
      <c r="AG157" s="6">
        <v>31</v>
      </c>
      <c r="AH157" s="21"/>
    </row>
  </sheetData>
  <mergeCells count="5">
    <mergeCell ref="C14:AH14"/>
    <mergeCell ref="B1:AH1"/>
    <mergeCell ref="C38:AH38"/>
    <mergeCell ref="C26:AH26"/>
    <mergeCell ref="C2:AH2"/>
  </mergeCells>
  <conditionalFormatting sqref="B53:B61">
    <cfRule type="cellIs" dxfId="1707" priority="8341" operator="equal">
      <formula>"M"</formula>
    </cfRule>
    <cfRule type="cellIs" dxfId="1706" priority="8342" operator="equal">
      <formula>"G"</formula>
    </cfRule>
    <cfRule type="cellIs" dxfId="1705" priority="8343" operator="equal">
      <formula>"V"</formula>
    </cfRule>
  </conditionalFormatting>
  <conditionalFormatting sqref="B101:B109">
    <cfRule type="cellIs" dxfId="1704" priority="7963" operator="equal">
      <formula>"M"</formula>
    </cfRule>
    <cfRule type="cellIs" dxfId="1703" priority="7964" operator="equal">
      <formula>"G"</formula>
    </cfRule>
    <cfRule type="cellIs" dxfId="1702" priority="7965" operator="equal">
      <formula>"V"</formula>
    </cfRule>
  </conditionalFormatting>
  <conditionalFormatting sqref="B113:B121">
    <cfRule type="cellIs" dxfId="1701" priority="7972" operator="equal">
      <formula>"M"</formula>
    </cfRule>
    <cfRule type="cellIs" dxfId="1700" priority="7973" operator="equal">
      <formula>"G"</formula>
    </cfRule>
    <cfRule type="cellIs" dxfId="1699" priority="7974" operator="equal">
      <formula>"V"</formula>
    </cfRule>
  </conditionalFormatting>
  <conditionalFormatting sqref="B124:B133">
    <cfRule type="cellIs" dxfId="1698" priority="8179" operator="equal">
      <formula>"M"</formula>
    </cfRule>
    <cfRule type="cellIs" dxfId="1697" priority="8180" operator="equal">
      <formula>"G"</formula>
    </cfRule>
    <cfRule type="cellIs" dxfId="1696" priority="8181" operator="equal">
      <formula>"V"</formula>
    </cfRule>
  </conditionalFormatting>
  <conditionalFormatting sqref="B136:B146">
    <cfRule type="cellIs" dxfId="1695" priority="8152" operator="equal">
      <formula>"M"</formula>
    </cfRule>
    <cfRule type="cellIs" dxfId="1694" priority="8153" operator="equal">
      <formula>"G"</formula>
    </cfRule>
    <cfRule type="cellIs" dxfId="1693" priority="8154" operator="equal">
      <formula>"V"</formula>
    </cfRule>
  </conditionalFormatting>
  <conditionalFormatting sqref="B148:B157">
    <cfRule type="cellIs" dxfId="1692" priority="7021" operator="equal">
      <formula>"M"</formula>
    </cfRule>
    <cfRule type="cellIs" dxfId="1691" priority="7022" operator="equal">
      <formula>"G"</formula>
    </cfRule>
    <cfRule type="cellIs" dxfId="1690" priority="7023" operator="equal">
      <formula>"V"</formula>
    </cfRule>
  </conditionalFormatting>
  <conditionalFormatting sqref="B3:C12">
    <cfRule type="cellIs" dxfId="1689" priority="2440" operator="equal">
      <formula>"M"</formula>
    </cfRule>
    <cfRule type="cellIs" dxfId="1688" priority="2441" operator="equal">
      <formula>"G"</formula>
    </cfRule>
    <cfRule type="cellIs" dxfId="1687" priority="2442" operator="equal">
      <formula>"V"</formula>
    </cfRule>
  </conditionalFormatting>
  <conditionalFormatting sqref="B77:C85">
    <cfRule type="cellIs" dxfId="1686" priority="1654" operator="equal">
      <formula>"M"</formula>
    </cfRule>
    <cfRule type="cellIs" dxfId="1685" priority="1655" operator="equal">
      <formula>"G"</formula>
    </cfRule>
    <cfRule type="cellIs" dxfId="1684" priority="1656" operator="equal">
      <formula>"V"</formula>
    </cfRule>
  </conditionalFormatting>
  <conditionalFormatting sqref="B40:G48">
    <cfRule type="cellIs" dxfId="1683" priority="2983" operator="equal">
      <formula>"M"</formula>
    </cfRule>
    <cfRule type="cellIs" dxfId="1682" priority="2984" operator="equal">
      <formula>"G"</formula>
    </cfRule>
    <cfRule type="cellIs" dxfId="1681" priority="2985" operator="equal">
      <formula>"V"</formula>
    </cfRule>
  </conditionalFormatting>
  <conditionalFormatting sqref="B65:K73">
    <cfRule type="cellIs" dxfId="1680" priority="1714" operator="equal">
      <formula>"M"</formula>
    </cfRule>
    <cfRule type="cellIs" dxfId="1679" priority="1715" operator="equal">
      <formula>"G"</formula>
    </cfRule>
    <cfRule type="cellIs" dxfId="1678" priority="1716" operator="equal">
      <formula>"V"</formula>
    </cfRule>
  </conditionalFormatting>
  <conditionalFormatting sqref="B16:M24">
    <cfRule type="cellIs" dxfId="1677" priority="2245" operator="equal">
      <formula>"M"</formula>
    </cfRule>
    <cfRule type="cellIs" dxfId="1676" priority="2246" operator="equal">
      <formula>"G"</formula>
    </cfRule>
    <cfRule type="cellIs" dxfId="1675" priority="2247" operator="equal">
      <formula>"V"</formula>
    </cfRule>
  </conditionalFormatting>
  <conditionalFormatting sqref="B64:P64">
    <cfRule type="cellIs" dxfId="1674" priority="24550" operator="equal">
      <formula>"M"</formula>
    </cfRule>
    <cfRule type="cellIs" dxfId="1673" priority="24551" operator="equal">
      <formula>"G"</formula>
    </cfRule>
    <cfRule type="cellIs" dxfId="1672" priority="24552" operator="equal">
      <formula>"V"</formula>
    </cfRule>
  </conditionalFormatting>
  <conditionalFormatting sqref="B89:R97">
    <cfRule type="cellIs" dxfId="1671" priority="1240" operator="equal">
      <formula>"M"</formula>
    </cfRule>
    <cfRule type="cellIs" dxfId="1670" priority="1241" operator="equal">
      <formula>"G"</formula>
    </cfRule>
    <cfRule type="cellIs" dxfId="1669" priority="1242" operator="equal">
      <formula>"V"</formula>
    </cfRule>
  </conditionalFormatting>
  <conditionalFormatting sqref="B52:S52">
    <cfRule type="cellIs" dxfId="1668" priority="24760" operator="equal">
      <formula>"M"</formula>
    </cfRule>
    <cfRule type="cellIs" dxfId="1667" priority="24761" operator="equal">
      <formula>"G"</formula>
    </cfRule>
    <cfRule type="cellIs" dxfId="1666" priority="24762" operator="equal">
      <formula>"V"</formula>
    </cfRule>
  </conditionalFormatting>
  <conditionalFormatting sqref="B15:X15 AB16:AD17 B39:T39 D49:N49 B51:AH51 B63:AH63 B75:AH75 B87:AH87 B99:AH99 B100:G100 X100 B111:AH111 B112:E112 U117:Y119 B123:AH123 AF125:AH125 D125:H126 K127:M127 R128:V128 Y128:Z129 D129:G129 K129:N129 R129:U129 K130:O131 R130:V131 Y130:AC131 AA132:AC132 K132:M133 B135:AH135 B147:AH147">
    <cfRule type="cellIs" dxfId="1665" priority="25126" operator="equal">
      <formula>"M"</formula>
    </cfRule>
    <cfRule type="cellIs" dxfId="1664" priority="25127" operator="equal">
      <formula>"G"</formula>
    </cfRule>
    <cfRule type="cellIs" dxfId="1663" priority="25132" operator="equal">
      <formula>"V"</formula>
    </cfRule>
  </conditionalFormatting>
  <conditionalFormatting sqref="B88:X88">
    <cfRule type="cellIs" dxfId="1662" priority="24103" operator="equal">
      <formula>"M"</formula>
    </cfRule>
    <cfRule type="cellIs" dxfId="1661" priority="24104" operator="equal">
      <formula>"G"</formula>
    </cfRule>
    <cfRule type="cellIs" dxfId="1660" priority="24105" operator="equal">
      <formula>"V"</formula>
    </cfRule>
  </conditionalFormatting>
  <conditionalFormatting sqref="B28:Z36">
    <cfRule type="cellIs" dxfId="1659" priority="2134" operator="equal">
      <formula>"M"</formula>
    </cfRule>
    <cfRule type="cellIs" dxfId="1658" priority="2135" operator="equal">
      <formula>"G"</formula>
    </cfRule>
    <cfRule type="cellIs" dxfId="1657" priority="2136" operator="equal">
      <formula>"V"</formula>
    </cfRule>
  </conditionalFormatting>
  <conditionalFormatting sqref="B27:AB27">
    <cfRule type="cellIs" dxfId="1656" priority="24940" operator="equal">
      <formula>"M"</formula>
    </cfRule>
    <cfRule type="cellIs" dxfId="1655" priority="24941" operator="equal">
      <formula>"G"</formula>
    </cfRule>
    <cfRule type="cellIs" dxfId="1654" priority="24942" operator="equal">
      <formula>"V"</formula>
    </cfRule>
  </conditionalFormatting>
  <conditionalFormatting sqref="B76:AD76">
    <cfRule type="cellIs" dxfId="1653" priority="17929" operator="equal">
      <formula>"M"</formula>
    </cfRule>
    <cfRule type="cellIs" dxfId="1652" priority="17930" operator="equal">
      <formula>"G"</formula>
    </cfRule>
    <cfRule type="cellIs" dxfId="1651" priority="17931" operator="equal">
      <formula>"V"</formula>
    </cfRule>
  </conditionalFormatting>
  <conditionalFormatting sqref="B2:AH2">
    <cfRule type="cellIs" dxfId="1650" priority="2593" operator="equal">
      <formula>"M"</formula>
    </cfRule>
    <cfRule type="cellIs" dxfId="1649" priority="2594" operator="equal">
      <formula>"G"</formula>
    </cfRule>
    <cfRule type="cellIs" dxfId="1648" priority="2595" operator="equal">
      <formula>"V"</formula>
    </cfRule>
  </conditionalFormatting>
  <conditionalFormatting sqref="B14:AH14">
    <cfRule type="cellIs" dxfId="1647" priority="25099" operator="equal">
      <formula>"M"</formula>
    </cfRule>
    <cfRule type="cellIs" dxfId="1646" priority="25100" operator="equal">
      <formula>"G"</formula>
    </cfRule>
    <cfRule type="cellIs" dxfId="1645" priority="25101" operator="equal">
      <formula>"V"</formula>
    </cfRule>
  </conditionalFormatting>
  <conditionalFormatting sqref="B26:AH26">
    <cfRule type="cellIs" dxfId="1644" priority="25042" operator="equal">
      <formula>"M"</formula>
    </cfRule>
    <cfRule type="cellIs" dxfId="1643" priority="25043" operator="equal">
      <formula>"G"</formula>
    </cfRule>
    <cfRule type="cellIs" dxfId="1642" priority="25044" operator="equal">
      <formula>"V"</formula>
    </cfRule>
  </conditionalFormatting>
  <conditionalFormatting sqref="B38:AH38">
    <cfRule type="cellIs" dxfId="1641" priority="24931" operator="equal">
      <formula>"M"</formula>
    </cfRule>
    <cfRule type="cellIs" dxfId="1640" priority="24932" operator="equal">
      <formula>"G"</formula>
    </cfRule>
    <cfRule type="cellIs" dxfId="1639" priority="24933" operator="equal">
      <formula>"V"</formula>
    </cfRule>
  </conditionalFormatting>
  <conditionalFormatting sqref="C104">
    <cfRule type="cellIs" dxfId="1638" priority="1819" operator="equal">
      <formula>"M"</formula>
    </cfRule>
    <cfRule type="cellIs" dxfId="1637" priority="1820" operator="equal">
      <formula>"G"</formula>
    </cfRule>
    <cfRule type="cellIs" dxfId="1636" priority="1821" operator="equal">
      <formula>"V"</formula>
    </cfRule>
  </conditionalFormatting>
  <conditionalFormatting sqref="C137:C145">
    <cfRule type="cellIs" dxfId="1635" priority="349" operator="equal">
      <formula>"M"</formula>
    </cfRule>
    <cfRule type="cellIs" dxfId="1634" priority="350" operator="equal">
      <formula>"G"</formula>
    </cfRule>
    <cfRule type="cellIs" dxfId="1633" priority="351" operator="equal">
      <formula>"V"</formula>
    </cfRule>
  </conditionalFormatting>
  <conditionalFormatting sqref="C124:D126">
    <cfRule type="cellIs" dxfId="1632" priority="3085" operator="equal">
      <formula>"M"</formula>
    </cfRule>
    <cfRule type="cellIs" dxfId="1631" priority="3086" operator="equal">
      <formula>"G"</formula>
    </cfRule>
    <cfRule type="cellIs" dxfId="1630" priority="3087" operator="equal">
      <formula>"V"</formula>
    </cfRule>
  </conditionalFormatting>
  <conditionalFormatting sqref="C128:D133">
    <cfRule type="cellIs" dxfId="1629" priority="904" operator="equal">
      <formula>"M"</formula>
    </cfRule>
    <cfRule type="cellIs" dxfId="1628" priority="905" operator="equal">
      <formula>"G"</formula>
    </cfRule>
    <cfRule type="cellIs" dxfId="1627" priority="906" operator="equal">
      <formula>"V"</formula>
    </cfRule>
  </conditionalFormatting>
  <conditionalFormatting sqref="C113:E115">
    <cfRule type="cellIs" dxfId="1626" priority="3118" operator="equal">
      <formula>"M"</formula>
    </cfRule>
    <cfRule type="cellIs" dxfId="1625" priority="3119" operator="equal">
      <formula>"G"</formula>
    </cfRule>
    <cfRule type="cellIs" dxfId="1624" priority="3120" operator="equal">
      <formula>"V"</formula>
    </cfRule>
  </conditionalFormatting>
  <conditionalFormatting sqref="C149:E157">
    <cfRule type="cellIs" dxfId="1623" priority="1090" operator="equal">
      <formula>"M"</formula>
    </cfRule>
    <cfRule type="cellIs" dxfId="1622" priority="1091" operator="equal">
      <formula>"G"</formula>
    </cfRule>
    <cfRule type="cellIs" dxfId="1621" priority="1092" operator="equal">
      <formula>"V"</formula>
    </cfRule>
  </conditionalFormatting>
  <conditionalFormatting sqref="C101:F103">
    <cfRule type="cellIs" dxfId="1620" priority="1072" operator="equal">
      <formula>"M"</formula>
    </cfRule>
    <cfRule type="cellIs" dxfId="1619" priority="1073" operator="equal">
      <formula>"G"</formula>
    </cfRule>
    <cfRule type="cellIs" dxfId="1618" priority="1074" operator="equal">
      <formula>"V"</formula>
    </cfRule>
  </conditionalFormatting>
  <conditionalFormatting sqref="C105:F107">
    <cfRule type="cellIs" dxfId="1617" priority="1315" operator="equal">
      <formula>"M"</formula>
    </cfRule>
    <cfRule type="cellIs" dxfId="1616" priority="1316" operator="equal">
      <formula>"G"</formula>
    </cfRule>
    <cfRule type="cellIs" dxfId="1615" priority="1317" operator="equal">
      <formula>"V"</formula>
    </cfRule>
  </conditionalFormatting>
  <conditionalFormatting sqref="C141:F143">
    <cfRule type="cellIs" dxfId="1614" priority="673" operator="equal">
      <formula>"M"</formula>
    </cfRule>
    <cfRule type="cellIs" dxfId="1613" priority="674" operator="equal">
      <formula>"G"</formula>
    </cfRule>
    <cfRule type="cellIs" dxfId="1612" priority="675" operator="equal">
      <formula>"V"</formula>
    </cfRule>
  </conditionalFormatting>
  <conditionalFormatting sqref="C53:G59">
    <cfRule type="cellIs" dxfId="1611" priority="3262" operator="equal">
      <formula>"M"</formula>
    </cfRule>
    <cfRule type="cellIs" dxfId="1610" priority="3263" operator="equal">
      <formula>"G"</formula>
    </cfRule>
    <cfRule type="cellIs" dxfId="1609" priority="3264" operator="equal">
      <formula>"V"</formula>
    </cfRule>
  </conditionalFormatting>
  <conditionalFormatting sqref="C127:H127">
    <cfRule type="cellIs" dxfId="1608" priority="991" operator="equal">
      <formula>"M"</formula>
    </cfRule>
    <cfRule type="cellIs" dxfId="1607" priority="992" operator="equal">
      <formula>"G"</formula>
    </cfRule>
    <cfRule type="cellIs" dxfId="1606" priority="993" operator="equal">
      <formula>"V"</formula>
    </cfRule>
  </conditionalFormatting>
  <conditionalFormatting sqref="C60:J61">
    <cfRule type="cellIs" dxfId="1605" priority="1999" operator="equal">
      <formula>"M"</formula>
    </cfRule>
    <cfRule type="cellIs" dxfId="1604" priority="2000" operator="equal">
      <formula>"G"</formula>
    </cfRule>
    <cfRule type="cellIs" dxfId="1603" priority="2001" operator="equal">
      <formula>"V"</formula>
    </cfRule>
  </conditionalFormatting>
  <conditionalFormatting sqref="C109:J109">
    <cfRule type="cellIs" dxfId="1602" priority="1204" operator="equal">
      <formula>"M"</formula>
    </cfRule>
    <cfRule type="cellIs" dxfId="1601" priority="1205" operator="equal">
      <formula>"G"</formula>
    </cfRule>
    <cfRule type="cellIs" dxfId="1600" priority="1206" operator="equal">
      <formula>"V"</formula>
    </cfRule>
  </conditionalFormatting>
  <conditionalFormatting sqref="C145:M145">
    <cfRule type="cellIs" dxfId="1599" priority="19" operator="equal">
      <formula>"M"</formula>
    </cfRule>
    <cfRule type="cellIs" dxfId="1598" priority="20" operator="equal">
      <formula>"G"</formula>
    </cfRule>
    <cfRule type="cellIs" dxfId="1597" priority="21" operator="equal">
      <formula>"V"</formula>
    </cfRule>
  </conditionalFormatting>
  <conditionalFormatting sqref="C148:N148">
    <cfRule type="cellIs" dxfId="1596" priority="6964" operator="equal">
      <formula>"M"</formula>
    </cfRule>
    <cfRule type="cellIs" dxfId="1595" priority="6965" operator="equal">
      <formula>"G"</formula>
    </cfRule>
    <cfRule type="cellIs" dxfId="1594" priority="6966" operator="equal">
      <formula>"V"</formula>
    </cfRule>
  </conditionalFormatting>
  <conditionalFormatting sqref="C116:O121">
    <cfRule type="cellIs" dxfId="1593" priority="1180" operator="equal">
      <formula>"M"</formula>
    </cfRule>
    <cfRule type="cellIs" dxfId="1592" priority="1181" operator="equal">
      <formula>"G"</formula>
    </cfRule>
    <cfRule type="cellIs" dxfId="1591" priority="1182" operator="equal">
      <formula>"V"</formula>
    </cfRule>
  </conditionalFormatting>
  <conditionalFormatting sqref="C136:O136">
    <cfRule type="cellIs" dxfId="1590" priority="23254" operator="equal">
      <formula>"M"</formula>
    </cfRule>
    <cfRule type="cellIs" dxfId="1589" priority="23255" operator="equal">
      <formula>"G"</formula>
    </cfRule>
    <cfRule type="cellIs" dxfId="1588" priority="23256" operator="equal">
      <formula>"V"</formula>
    </cfRule>
  </conditionalFormatting>
  <conditionalFormatting sqref="C3:Q3">
    <cfRule type="cellIs" dxfId="1587" priority="2497" operator="equal">
      <formula>"M"</formula>
    </cfRule>
    <cfRule type="cellIs" dxfId="1586" priority="2498" operator="equal">
      <formula>"G"</formula>
    </cfRule>
    <cfRule type="cellIs" dxfId="1585" priority="2499" operator="equal">
      <formula>"V"</formula>
    </cfRule>
  </conditionalFormatting>
  <conditionalFormatting sqref="C85:S85">
    <cfRule type="cellIs" dxfId="1584" priority="1342" operator="equal">
      <formula>"M"</formula>
    </cfRule>
    <cfRule type="cellIs" dxfId="1583" priority="1343" operator="equal">
      <formula>"G"</formula>
    </cfRule>
    <cfRule type="cellIs" dxfId="1582" priority="1344" operator="equal">
      <formula>"V"</formula>
    </cfRule>
  </conditionalFormatting>
  <conditionalFormatting sqref="D3:D4">
    <cfRule type="cellIs" dxfId="1581" priority="2452" operator="equal">
      <formula>"M"</formula>
    </cfRule>
    <cfRule type="cellIs" dxfId="1580" priority="2453" operator="equal">
      <formula>"G"</formula>
    </cfRule>
    <cfRule type="cellIs" dxfId="1579" priority="2454" operator="equal">
      <formula>"V"</formula>
    </cfRule>
  </conditionalFormatting>
  <conditionalFormatting sqref="D84:D85">
    <cfRule type="cellIs" dxfId="1578" priority="1291" operator="equal">
      <formula>"M"</formula>
    </cfRule>
    <cfRule type="cellIs" dxfId="1577" priority="1292" operator="equal">
      <formula>"G"</formula>
    </cfRule>
    <cfRule type="cellIs" dxfId="1576" priority="1293" operator="equal">
      <formula>"V"</formula>
    </cfRule>
  </conditionalFormatting>
  <conditionalFormatting sqref="D101:D105">
    <cfRule type="cellIs" dxfId="1575" priority="1312" operator="equal">
      <formula>"M"</formula>
    </cfRule>
    <cfRule type="cellIs" dxfId="1574" priority="1313" operator="equal">
      <formula>"G"</formula>
    </cfRule>
    <cfRule type="cellIs" dxfId="1573" priority="1314" operator="equal">
      <formula>"V"</formula>
    </cfRule>
  </conditionalFormatting>
  <conditionalFormatting sqref="D107:D108">
    <cfRule type="cellIs" dxfId="1572" priority="1480" operator="equal">
      <formula>"M"</formula>
    </cfRule>
    <cfRule type="cellIs" dxfId="1571" priority="1481" operator="equal">
      <formula>"G"</formula>
    </cfRule>
    <cfRule type="cellIs" dxfId="1570" priority="1482" operator="equal">
      <formula>"V"</formula>
    </cfRule>
  </conditionalFormatting>
  <conditionalFormatting sqref="D138:D145">
    <cfRule type="cellIs" dxfId="1569" priority="361" operator="equal">
      <formula>"M"</formula>
    </cfRule>
    <cfRule type="cellIs" dxfId="1568" priority="362" operator="equal">
      <formula>"G"</formula>
    </cfRule>
    <cfRule type="cellIs" dxfId="1567" priority="363" operator="equal">
      <formula>"V"</formula>
    </cfRule>
  </conditionalFormatting>
  <conditionalFormatting sqref="D5:E12">
    <cfRule type="cellIs" dxfId="1566" priority="2308" operator="equal">
      <formula>"M"</formula>
    </cfRule>
    <cfRule type="cellIs" dxfId="1565" priority="2309" operator="equal">
      <formula>"G"</formula>
    </cfRule>
    <cfRule type="cellIs" dxfId="1564" priority="2310" operator="equal">
      <formula>"V"</formula>
    </cfRule>
  </conditionalFormatting>
  <conditionalFormatting sqref="D130:H133">
    <cfRule type="cellIs" dxfId="1563" priority="913" operator="equal">
      <formula>"M"</formula>
    </cfRule>
    <cfRule type="cellIs" dxfId="1562" priority="914" operator="equal">
      <formula>"G"</formula>
    </cfRule>
    <cfRule type="cellIs" dxfId="1561" priority="915" operator="equal">
      <formula>"V"</formula>
    </cfRule>
  </conditionalFormatting>
  <conditionalFormatting sqref="D128:L128">
    <cfRule type="cellIs" dxfId="1560" priority="1138" operator="equal">
      <formula>"M"</formula>
    </cfRule>
    <cfRule type="cellIs" dxfId="1559" priority="1139" operator="equal">
      <formula>"G"</formula>
    </cfRule>
    <cfRule type="cellIs" dxfId="1558" priority="1140" operator="equal">
      <formula>"V"</formula>
    </cfRule>
  </conditionalFormatting>
  <conditionalFormatting sqref="D144:M144">
    <cfRule type="cellIs" dxfId="1557" priority="355" operator="equal">
      <formula>"M"</formula>
    </cfRule>
    <cfRule type="cellIs" dxfId="1556" priority="356" operator="equal">
      <formula>"G"</formula>
    </cfRule>
    <cfRule type="cellIs" dxfId="1555" priority="357" operator="equal">
      <formula>"V"</formula>
    </cfRule>
  </conditionalFormatting>
  <conditionalFormatting sqref="D77:S83">
    <cfRule type="cellIs" dxfId="1554" priority="1255" operator="equal">
      <formula>"M"</formula>
    </cfRule>
    <cfRule type="cellIs" dxfId="1553" priority="1256" operator="equal">
      <formula>"G"</formula>
    </cfRule>
    <cfRule type="cellIs" dxfId="1552" priority="1257" operator="equal">
      <formula>"V"</formula>
    </cfRule>
  </conditionalFormatting>
  <conditionalFormatting sqref="E4 P4:Q4 W4:X4 AD4:AF4 O5:Q5 V5:X5 AC5:AF6 V7:X10 AC8:AF10">
    <cfRule type="cellIs" dxfId="1551" priority="2467" operator="equal">
      <formula>"M"</formula>
    </cfRule>
    <cfRule type="cellIs" dxfId="1550" priority="2468" operator="equal">
      <formula>"G"</formula>
    </cfRule>
    <cfRule type="cellIs" dxfId="1549" priority="2469" operator="equal">
      <formula>"V"</formula>
    </cfRule>
  </conditionalFormatting>
  <conditionalFormatting sqref="E104:F104">
    <cfRule type="cellIs" dxfId="1548" priority="1810" operator="equal">
      <formula>"M"</formula>
    </cfRule>
    <cfRule type="cellIs" dxfId="1547" priority="1811" operator="equal">
      <formula>"G"</formula>
    </cfRule>
    <cfRule type="cellIs" dxfId="1546" priority="1812" operator="equal">
      <formula>"V"</formula>
    </cfRule>
  </conditionalFormatting>
  <conditionalFormatting sqref="E137:F140">
    <cfRule type="cellIs" dxfId="1545" priority="3787" operator="equal">
      <formula>"M"</formula>
    </cfRule>
    <cfRule type="cellIs" dxfId="1544" priority="3788" operator="equal">
      <formula>"G"</formula>
    </cfRule>
    <cfRule type="cellIs" dxfId="1543" priority="3789" operator="equal">
      <formula>"V"</formula>
    </cfRule>
  </conditionalFormatting>
  <conditionalFormatting sqref="E129:G133">
    <cfRule type="cellIs" dxfId="1542" priority="910" operator="equal">
      <formula>"M"</formula>
    </cfRule>
    <cfRule type="cellIs" dxfId="1541" priority="911" operator="equal">
      <formula>"G"</formula>
    </cfRule>
    <cfRule type="cellIs" dxfId="1540" priority="912" operator="equal">
      <formula>"V"</formula>
    </cfRule>
  </conditionalFormatting>
  <conditionalFormatting sqref="E108:H108">
    <cfRule type="cellIs" dxfId="1539" priority="1471" operator="equal">
      <formula>"M"</formula>
    </cfRule>
    <cfRule type="cellIs" dxfId="1538" priority="1472" operator="equal">
      <formula>"G"</formula>
    </cfRule>
    <cfRule type="cellIs" dxfId="1537" priority="1473" operator="equal">
      <formula>"V"</formula>
    </cfRule>
  </conditionalFormatting>
  <conditionalFormatting sqref="E124:Q124">
    <cfRule type="cellIs" dxfId="1536" priority="23470" operator="equal">
      <formula>"M"</formula>
    </cfRule>
    <cfRule type="cellIs" dxfId="1535" priority="23471" operator="equal">
      <formula>"G"</formula>
    </cfRule>
    <cfRule type="cellIs" dxfId="1534" priority="23472" operator="equal">
      <formula>"V"</formula>
    </cfRule>
  </conditionalFormatting>
  <conditionalFormatting sqref="E84:S84">
    <cfRule type="cellIs" dxfId="1533" priority="1246" operator="equal">
      <formula>"M"</formula>
    </cfRule>
    <cfRule type="cellIs" dxfId="1532" priority="1247" operator="equal">
      <formula>"G"</formula>
    </cfRule>
    <cfRule type="cellIs" dxfId="1531" priority="1248" operator="equal">
      <formula>"V"</formula>
    </cfRule>
  </conditionalFormatting>
  <conditionalFormatting sqref="F125:F127">
    <cfRule type="cellIs" dxfId="1530" priority="9991" operator="equal">
      <formula>"M"</formula>
    </cfRule>
    <cfRule type="cellIs" dxfId="1529" priority="9992" operator="equal">
      <formula>"G"</formula>
    </cfRule>
    <cfRule type="cellIs" dxfId="1528" priority="9993" operator="equal">
      <formula>"V"</formula>
    </cfRule>
  </conditionalFormatting>
  <conditionalFormatting sqref="F112:G115">
    <cfRule type="cellIs" dxfId="1527" priority="3121" operator="equal">
      <formula>"M"</formula>
    </cfRule>
    <cfRule type="cellIs" dxfId="1526" priority="3122" operator="equal">
      <formula>"G"</formula>
    </cfRule>
    <cfRule type="cellIs" dxfId="1525" priority="3123" operator="equal">
      <formula>"V"</formula>
    </cfRule>
  </conditionalFormatting>
  <conditionalFormatting sqref="F149:G154">
    <cfRule type="cellIs" dxfId="1524" priority="583" operator="equal">
      <formula>"M"</formula>
    </cfRule>
    <cfRule type="cellIs" dxfId="1523" priority="584" operator="equal">
      <formula>"G"</formula>
    </cfRule>
    <cfRule type="cellIs" dxfId="1522" priority="585" operator="equal">
      <formula>"V"</formula>
    </cfRule>
  </conditionalFormatting>
  <conditionalFormatting sqref="F157:G157">
    <cfRule type="cellIs" dxfId="1521" priority="736" operator="equal">
      <formula>"M"</formula>
    </cfRule>
    <cfRule type="cellIs" dxfId="1520" priority="737" operator="equal">
      <formula>"G"</formula>
    </cfRule>
    <cfRule type="cellIs" dxfId="1519" priority="738" operator="equal">
      <formula>"V"</formula>
    </cfRule>
  </conditionalFormatting>
  <conditionalFormatting sqref="F4:H12">
    <cfRule type="cellIs" dxfId="1518" priority="2299" operator="equal">
      <formula>"M"</formula>
    </cfRule>
    <cfRule type="cellIs" dxfId="1517" priority="2300" operator="equal">
      <formula>"G"</formula>
    </cfRule>
    <cfRule type="cellIs" dxfId="1516" priority="2301" operator="equal">
      <formula>"V"</formula>
    </cfRule>
  </conditionalFormatting>
  <conditionalFormatting sqref="F57:J59">
    <cfRule type="cellIs" dxfId="1515" priority="2959" operator="equal">
      <formula>"M"</formula>
    </cfRule>
    <cfRule type="cellIs" dxfId="1514" priority="2960" operator="equal">
      <formula>"G"</formula>
    </cfRule>
    <cfRule type="cellIs" dxfId="1513" priority="2961" operator="equal">
      <formula>"V"</formula>
    </cfRule>
  </conditionalFormatting>
  <conditionalFormatting sqref="F149:J149 M149:Q149">
    <cfRule type="cellIs" dxfId="1512" priority="6892" operator="equal">
      <formula>"M"</formula>
    </cfRule>
    <cfRule type="cellIs" dxfId="1511" priority="6893" operator="equal">
      <formula>"G"</formula>
    </cfRule>
    <cfRule type="cellIs" dxfId="1510" priority="6894" operator="equal">
      <formula>"V"</formula>
    </cfRule>
  </conditionalFormatting>
  <conditionalFormatting sqref="F155:J156">
    <cfRule type="cellIs" dxfId="1509" priority="1096" operator="equal">
      <formula>"M"</formula>
    </cfRule>
    <cfRule type="cellIs" dxfId="1508" priority="1097" operator="equal">
      <formula>"G"</formula>
    </cfRule>
    <cfRule type="cellIs" dxfId="1507" priority="1098" operator="equal">
      <formula>"V"</formula>
    </cfRule>
  </conditionalFormatting>
  <conditionalFormatting sqref="F53:N55 K57:Q61">
    <cfRule type="cellIs" dxfId="1506" priority="3259" operator="equal">
      <formula>"M"</formula>
    </cfRule>
    <cfRule type="cellIs" dxfId="1505" priority="3260" operator="equal">
      <formula>"G"</formula>
    </cfRule>
    <cfRule type="cellIs" dxfId="1504" priority="3261" operator="equal">
      <formula>"V"</formula>
    </cfRule>
  </conditionalFormatting>
  <conditionalFormatting sqref="F56:Q56">
    <cfRule type="cellIs" dxfId="1503" priority="1993" operator="equal">
      <formula>"M"</formula>
    </cfRule>
    <cfRule type="cellIs" dxfId="1502" priority="1994" operator="equal">
      <formula>"G"</formula>
    </cfRule>
    <cfRule type="cellIs" dxfId="1501" priority="1995" operator="equal">
      <formula>"V"</formula>
    </cfRule>
  </conditionalFormatting>
  <conditionalFormatting sqref="G101:G107">
    <cfRule type="cellIs" dxfId="1500" priority="3142" operator="equal">
      <formula>"M"</formula>
    </cfRule>
    <cfRule type="cellIs" dxfId="1499" priority="3143" operator="equal">
      <formula>"G"</formula>
    </cfRule>
    <cfRule type="cellIs" dxfId="1498" priority="3144" operator="equal">
      <formula>"V"</formula>
    </cfRule>
  </conditionalFormatting>
  <conditionalFormatting sqref="G137:J143">
    <cfRule type="cellIs" dxfId="1497" priority="3064" operator="equal">
      <formula>"M"</formula>
    </cfRule>
    <cfRule type="cellIs" dxfId="1496" priority="3065" operator="equal">
      <formula>"G"</formula>
    </cfRule>
    <cfRule type="cellIs" dxfId="1495" priority="3066" operator="equal">
      <formula>"V"</formula>
    </cfRule>
  </conditionalFormatting>
  <conditionalFormatting sqref="G113:S115">
    <cfRule type="cellIs" dxfId="1494" priority="1174" operator="equal">
      <formula>"M"</formula>
    </cfRule>
    <cfRule type="cellIs" dxfId="1493" priority="1175" operator="equal">
      <formula>"G"</formula>
    </cfRule>
    <cfRule type="cellIs" dxfId="1492" priority="1176" operator="equal">
      <formula>"V"</formula>
    </cfRule>
  </conditionalFormatting>
  <conditionalFormatting sqref="H41">
    <cfRule type="cellIs" dxfId="1491" priority="2044" operator="equal">
      <formula>"M"</formula>
    </cfRule>
    <cfRule type="cellIs" dxfId="1490" priority="2045" operator="equal">
      <formula>"G"</formula>
    </cfRule>
    <cfRule type="cellIs" dxfId="1489" priority="2046" operator="equal">
      <formula>"V"</formula>
    </cfRule>
  </conditionalFormatting>
  <conditionalFormatting sqref="H57:H61">
    <cfRule type="cellIs" dxfId="1488" priority="4483" operator="equal">
      <formula>"M"</formula>
    </cfRule>
    <cfRule type="cellIs" dxfId="1487" priority="4484" operator="equal">
      <formula>"G"</formula>
    </cfRule>
    <cfRule type="cellIs" dxfId="1486" priority="4485" operator="equal">
      <formula>"V"</formula>
    </cfRule>
  </conditionalFormatting>
  <conditionalFormatting sqref="H100:H107">
    <cfRule type="cellIs" dxfId="1485" priority="3145" operator="equal">
      <formula>"M"</formula>
    </cfRule>
    <cfRule type="cellIs" dxfId="1484" priority="3146" operator="equal">
      <formula>"G"</formula>
    </cfRule>
    <cfRule type="cellIs" dxfId="1483" priority="3147" operator="equal">
      <formula>"V"</formula>
    </cfRule>
  </conditionalFormatting>
  <conditionalFormatting sqref="H114:H115 Q114:R115">
    <cfRule type="cellIs" dxfId="1482" priority="3922" operator="equal">
      <formula>"M"</formula>
    </cfRule>
    <cfRule type="cellIs" dxfId="1481" priority="3923" operator="equal">
      <formula>"G"</formula>
    </cfRule>
    <cfRule type="cellIs" dxfId="1480" priority="3924" operator="equal">
      <formula>"V"</formula>
    </cfRule>
  </conditionalFormatting>
  <conditionalFormatting sqref="H125">
    <cfRule type="cellIs" dxfId="1479" priority="21634" operator="equal">
      <formula>"M"</formula>
    </cfRule>
    <cfRule type="cellIs" dxfId="1478" priority="21635" operator="equal">
      <formula>"G"</formula>
    </cfRule>
    <cfRule type="cellIs" dxfId="1477" priority="21636" operator="equal">
      <formula>"V"</formula>
    </cfRule>
  </conditionalFormatting>
  <conditionalFormatting sqref="H129:H130">
    <cfRule type="cellIs" dxfId="1476" priority="685" operator="equal">
      <formula>"M"</formula>
    </cfRule>
    <cfRule type="cellIs" dxfId="1475" priority="686" operator="equal">
      <formula>"G"</formula>
    </cfRule>
    <cfRule type="cellIs" dxfId="1474" priority="687" operator="equal">
      <formula>"V"</formula>
    </cfRule>
  </conditionalFormatting>
  <conditionalFormatting sqref="H149:H157">
    <cfRule type="cellIs" dxfId="1473" priority="265" operator="equal">
      <formula>"M"</formula>
    </cfRule>
    <cfRule type="cellIs" dxfId="1472" priority="266" operator="equal">
      <formula>"G"</formula>
    </cfRule>
    <cfRule type="cellIs" dxfId="1471" priority="267" operator="equal">
      <formula>"V"</formula>
    </cfRule>
  </conditionalFormatting>
  <conditionalFormatting sqref="H40:J40">
    <cfRule type="cellIs" dxfId="1470" priority="4837" operator="equal">
      <formula>"M"</formula>
    </cfRule>
    <cfRule type="cellIs" dxfId="1469" priority="4838" operator="equal">
      <formula>"G"</formula>
    </cfRule>
    <cfRule type="cellIs" dxfId="1468" priority="4839" operator="equal">
      <formula>"V"</formula>
    </cfRule>
  </conditionalFormatting>
  <conditionalFormatting sqref="H42:J48">
    <cfRule type="cellIs" dxfId="1467" priority="2050" operator="equal">
      <formula>"M"</formula>
    </cfRule>
    <cfRule type="cellIs" dxfId="1466" priority="2051" operator="equal">
      <formula>"G"</formula>
    </cfRule>
    <cfRule type="cellIs" dxfId="1465" priority="2052" operator="equal">
      <formula>"V"</formula>
    </cfRule>
  </conditionalFormatting>
  <conditionalFormatting sqref="H112:S112">
    <cfRule type="cellIs" dxfId="1464" priority="23725" operator="equal">
      <formula>"M"</formula>
    </cfRule>
    <cfRule type="cellIs" dxfId="1463" priority="23726" operator="equal">
      <formula>"G"</formula>
    </cfRule>
    <cfRule type="cellIs" dxfId="1462" priority="23727" operator="equal">
      <formula>"V"</formula>
    </cfRule>
  </conditionalFormatting>
  <conditionalFormatting sqref="I40:I48">
    <cfRule type="cellIs" dxfId="1461" priority="2038" operator="equal">
      <formula>"M"</formula>
    </cfRule>
    <cfRule type="cellIs" dxfId="1460" priority="2039" operator="equal">
      <formula>"G"</formula>
    </cfRule>
    <cfRule type="cellIs" dxfId="1459" priority="2040" operator="equal">
      <formula>"V"</formula>
    </cfRule>
  </conditionalFormatting>
  <conditionalFormatting sqref="I100:I104">
    <cfRule type="cellIs" dxfId="1458" priority="1795" operator="equal">
      <formula>"M"</formula>
    </cfRule>
    <cfRule type="cellIs" dxfId="1457" priority="1796" operator="equal">
      <formula>"G"</formula>
    </cfRule>
    <cfRule type="cellIs" dxfId="1456" priority="1797" operator="equal">
      <formula>"V"</formula>
    </cfRule>
  </conditionalFormatting>
  <conditionalFormatting sqref="I106:I109">
    <cfRule type="cellIs" dxfId="1455" priority="1474" operator="equal">
      <formula>"M"</formula>
    </cfRule>
    <cfRule type="cellIs" dxfId="1454" priority="1475" operator="equal">
      <formula>"G"</formula>
    </cfRule>
    <cfRule type="cellIs" dxfId="1453" priority="1476" operator="equal">
      <formula>"V"</formula>
    </cfRule>
  </conditionalFormatting>
  <conditionalFormatting sqref="I3:J6">
    <cfRule type="cellIs" dxfId="1452" priority="2329" operator="equal">
      <formula>"M"</formula>
    </cfRule>
    <cfRule type="cellIs" dxfId="1451" priority="2330" operator="equal">
      <formula>"G"</formula>
    </cfRule>
    <cfRule type="cellIs" dxfId="1450" priority="2331" operator="equal">
      <formula>"V"</formula>
    </cfRule>
  </conditionalFormatting>
  <conditionalFormatting sqref="I58:J61">
    <cfRule type="cellIs" dxfId="1449" priority="4537" operator="equal">
      <formula>"M"</formula>
    </cfRule>
    <cfRule type="cellIs" dxfId="1448" priority="4538" operator="equal">
      <formula>"G"</formula>
    </cfRule>
    <cfRule type="cellIs" dxfId="1447" priority="4539" operator="equal">
      <formula>"V"</formula>
    </cfRule>
  </conditionalFormatting>
  <conditionalFormatting sqref="I102:J107">
    <cfRule type="cellIs" dxfId="1446" priority="1225" operator="equal">
      <formula>"M"</formula>
    </cfRule>
    <cfRule type="cellIs" dxfId="1445" priority="1226" operator="equal">
      <formula>"G"</formula>
    </cfRule>
    <cfRule type="cellIs" dxfId="1444" priority="1227" operator="equal">
      <formula>"V"</formula>
    </cfRule>
  </conditionalFormatting>
  <conditionalFormatting sqref="I150:J157">
    <cfRule type="cellIs" dxfId="1443" priority="577" operator="equal">
      <formula>"M"</formula>
    </cfRule>
    <cfRule type="cellIs" dxfId="1442" priority="578" operator="equal">
      <formula>"G"</formula>
    </cfRule>
    <cfRule type="cellIs" dxfId="1441" priority="579" operator="equal">
      <formula>"V"</formula>
    </cfRule>
  </conditionalFormatting>
  <conditionalFormatting sqref="I125:K127 I129:K133">
    <cfRule type="cellIs" dxfId="1440" priority="3088" operator="equal">
      <formula>"M"</formula>
    </cfRule>
    <cfRule type="cellIs" dxfId="1439" priority="3089" operator="equal">
      <formula>"G"</formula>
    </cfRule>
    <cfRule type="cellIs" dxfId="1438" priority="3090" operator="equal">
      <formula>"V"</formula>
    </cfRule>
  </conditionalFormatting>
  <conditionalFormatting sqref="I7:L12">
    <cfRule type="cellIs" dxfId="1437" priority="2296" operator="equal">
      <formula>"M"</formula>
    </cfRule>
    <cfRule type="cellIs" dxfId="1436" priority="2297" operator="equal">
      <formula>"G"</formula>
    </cfRule>
    <cfRule type="cellIs" dxfId="1435" priority="2298" operator="equal">
      <formula>"V"</formula>
    </cfRule>
  </conditionalFormatting>
  <conditionalFormatting sqref="I101:M101 W101:AA102">
    <cfRule type="cellIs" dxfId="1434" priority="3982" operator="equal">
      <formula>"M"</formula>
    </cfRule>
    <cfRule type="cellIs" dxfId="1433" priority="3983" operator="equal">
      <formula>"G"</formula>
    </cfRule>
    <cfRule type="cellIs" dxfId="1432" priority="3984" operator="equal">
      <formula>"V"</formula>
    </cfRule>
  </conditionalFormatting>
  <conditionalFormatting sqref="I137:O139">
    <cfRule type="cellIs" dxfId="1431" priority="3061" operator="equal">
      <formula>"M"</formula>
    </cfRule>
    <cfRule type="cellIs" dxfId="1430" priority="3062" operator="equal">
      <formula>"G"</formula>
    </cfRule>
    <cfRule type="cellIs" dxfId="1429" priority="3063" operator="equal">
      <formula>"V"</formula>
    </cfRule>
  </conditionalFormatting>
  <conditionalFormatting sqref="J41">
    <cfRule type="cellIs" dxfId="1428" priority="2035" operator="equal">
      <formula>"M"</formula>
    </cfRule>
    <cfRule type="cellIs" dxfId="1427" priority="2036" operator="equal">
      <formula>"G"</formula>
    </cfRule>
    <cfRule type="cellIs" dxfId="1426" priority="2037" operator="equal">
      <formula>"V"</formula>
    </cfRule>
  </conditionalFormatting>
  <conditionalFormatting sqref="J108">
    <cfRule type="cellIs" dxfId="1425" priority="1486" operator="equal">
      <formula>"M"</formula>
    </cfRule>
    <cfRule type="cellIs" dxfId="1424" priority="1487" operator="equal">
      <formula>"G"</formula>
    </cfRule>
    <cfRule type="cellIs" dxfId="1423" priority="1488" operator="equal">
      <formula>"V"</formula>
    </cfRule>
  </conditionalFormatting>
  <conditionalFormatting sqref="J114:K114 O114 AE114:AF114">
    <cfRule type="cellIs" dxfId="1422" priority="18004" operator="equal">
      <formula>"M"</formula>
    </cfRule>
    <cfRule type="cellIs" dxfId="1421" priority="18005" operator="equal">
      <formula>"G"</formula>
    </cfRule>
    <cfRule type="cellIs" dxfId="1420" priority="18006" operator="equal">
      <formula>"V"</formula>
    </cfRule>
  </conditionalFormatting>
  <conditionalFormatting sqref="J100:U100">
    <cfRule type="cellIs" dxfId="1419" priority="23926" operator="equal">
      <formula>"M"</formula>
    </cfRule>
    <cfRule type="cellIs" dxfId="1418" priority="23927" operator="equal">
      <formula>"G"</formula>
    </cfRule>
    <cfRule type="cellIs" dxfId="1417" priority="23928" operator="equal">
      <formula>"V"</formula>
    </cfRule>
  </conditionalFormatting>
  <conditionalFormatting sqref="K101:K109">
    <cfRule type="cellIs" dxfId="1416" priority="1228" operator="equal">
      <formula>"M"</formula>
    </cfRule>
    <cfRule type="cellIs" dxfId="1415" priority="1229" operator="equal">
      <formula>"G"</formula>
    </cfRule>
    <cfRule type="cellIs" dxfId="1414" priority="1230" operator="equal">
      <formula>"V"</formula>
    </cfRule>
  </conditionalFormatting>
  <conditionalFormatting sqref="K137:K140">
    <cfRule type="cellIs" dxfId="1413" priority="325" operator="equal">
      <formula>"M"</formula>
    </cfRule>
    <cfRule type="cellIs" dxfId="1412" priority="326" operator="equal">
      <formula>"G"</formula>
    </cfRule>
    <cfRule type="cellIs" dxfId="1411" priority="327" operator="equal">
      <formula>"V"</formula>
    </cfRule>
  </conditionalFormatting>
  <conditionalFormatting sqref="K142:K145">
    <cfRule type="cellIs" dxfId="1410" priority="382" operator="equal">
      <formula>"M"</formula>
    </cfRule>
    <cfRule type="cellIs" dxfId="1409" priority="383" operator="equal">
      <formula>"G"</formula>
    </cfRule>
    <cfRule type="cellIs" dxfId="1408" priority="384" operator="equal">
      <formula>"V"</formula>
    </cfRule>
  </conditionalFormatting>
  <conditionalFormatting sqref="K4:L6">
    <cfRule type="cellIs" dxfId="1407" priority="2326" operator="equal">
      <formula>"M"</formula>
    </cfRule>
    <cfRule type="cellIs" dxfId="1406" priority="2327" operator="equal">
      <formula>"G"</formula>
    </cfRule>
    <cfRule type="cellIs" dxfId="1405" priority="2328" operator="equal">
      <formula>"V"</formula>
    </cfRule>
  </conditionalFormatting>
  <conditionalFormatting sqref="K149:L157">
    <cfRule type="cellIs" dxfId="1404" priority="589" operator="equal">
      <formula>"M"</formula>
    </cfRule>
    <cfRule type="cellIs" dxfId="1403" priority="590" operator="equal">
      <formula>"G"</formula>
    </cfRule>
    <cfRule type="cellIs" dxfId="1402" priority="591" operator="equal">
      <formula>"V"</formula>
    </cfRule>
  </conditionalFormatting>
  <conditionalFormatting sqref="K141:M141">
    <cfRule type="cellIs" dxfId="1401" priority="49" operator="equal">
      <formula>"M"</formula>
    </cfRule>
    <cfRule type="cellIs" dxfId="1400" priority="50" operator="equal">
      <formula>"G"</formula>
    </cfRule>
    <cfRule type="cellIs" dxfId="1399" priority="51" operator="equal">
      <formula>"V"</formula>
    </cfRule>
  </conditionalFormatting>
  <conditionalFormatting sqref="K125:O125">
    <cfRule type="cellIs" dxfId="1398" priority="21631" operator="equal">
      <formula>"M"</formula>
    </cfRule>
    <cfRule type="cellIs" dxfId="1397" priority="21632" operator="equal">
      <formula>"G"</formula>
    </cfRule>
    <cfRule type="cellIs" dxfId="1396" priority="21633" operator="equal">
      <formula>"V"</formula>
    </cfRule>
  </conditionalFormatting>
  <conditionalFormatting sqref="K140:P140">
    <cfRule type="cellIs" dxfId="1395" priority="319" operator="equal">
      <formula>"M"</formula>
    </cfRule>
    <cfRule type="cellIs" dxfId="1394" priority="320" operator="equal">
      <formula>"G"</formula>
    </cfRule>
    <cfRule type="cellIs" dxfId="1393" priority="321" operator="equal">
      <formula>"V"</formula>
    </cfRule>
  </conditionalFormatting>
  <conditionalFormatting sqref="K40:T48">
    <cfRule type="cellIs" dxfId="1392" priority="2029" operator="equal">
      <formula>"M"</formula>
    </cfRule>
    <cfRule type="cellIs" dxfId="1391" priority="2030" operator="equal">
      <formula>"G"</formula>
    </cfRule>
    <cfRule type="cellIs" dxfId="1390" priority="2031" operator="equal">
      <formula>"V"</formula>
    </cfRule>
  </conditionalFormatting>
  <conditionalFormatting sqref="L129:L130 S129:S130 Z129:Z130">
    <cfRule type="cellIs" dxfId="1389" priority="3868" operator="equal">
      <formula>"M"</formula>
    </cfRule>
    <cfRule type="cellIs" dxfId="1388" priority="3869" operator="equal">
      <formula>"G"</formula>
    </cfRule>
    <cfRule type="cellIs" dxfId="1387" priority="3870" operator="equal">
      <formula>"V"</formula>
    </cfRule>
  </conditionalFormatting>
  <conditionalFormatting sqref="L133">
    <cfRule type="cellIs" dxfId="1386" priority="9247" operator="equal">
      <formula>"M"</formula>
    </cfRule>
    <cfRule type="cellIs" dxfId="1385" priority="9248" operator="equal">
      <formula>"G"</formula>
    </cfRule>
    <cfRule type="cellIs" dxfId="1384" priority="9249" operator="equal">
      <formula>"V"</formula>
    </cfRule>
  </conditionalFormatting>
  <conditionalFormatting sqref="L102:M109">
    <cfRule type="cellIs" dxfId="1383" priority="1192" operator="equal">
      <formula>"M"</formula>
    </cfRule>
    <cfRule type="cellIs" dxfId="1382" priority="1193" operator="equal">
      <formula>"G"</formula>
    </cfRule>
    <cfRule type="cellIs" dxfId="1381" priority="1194" operator="equal">
      <formula>"V"</formula>
    </cfRule>
  </conditionalFormatting>
  <conditionalFormatting sqref="L142:M144">
    <cfRule type="cellIs" dxfId="1380" priority="3829" operator="equal">
      <formula>"M"</formula>
    </cfRule>
    <cfRule type="cellIs" dxfId="1379" priority="3830" operator="equal">
      <formula>"G"</formula>
    </cfRule>
    <cfRule type="cellIs" dxfId="1378" priority="3831" operator="equal">
      <formula>"V"</formula>
    </cfRule>
  </conditionalFormatting>
  <conditionalFormatting sqref="L126:O126">
    <cfRule type="cellIs" dxfId="1377" priority="1069" operator="equal">
      <formula>"M"</formula>
    </cfRule>
    <cfRule type="cellIs" dxfId="1376" priority="1070" operator="equal">
      <formula>"G"</formula>
    </cfRule>
    <cfRule type="cellIs" dxfId="1375" priority="1071" operator="equal">
      <formula>"V"</formula>
    </cfRule>
  </conditionalFormatting>
  <conditionalFormatting sqref="L65:P71">
    <cfRule type="cellIs" dxfId="1374" priority="1711" operator="equal">
      <formula>"M"</formula>
    </cfRule>
    <cfRule type="cellIs" dxfId="1373" priority="1712" operator="equal">
      <formula>"G"</formula>
    </cfRule>
    <cfRule type="cellIs" dxfId="1372" priority="1713" operator="equal">
      <formula>"V"</formula>
    </cfRule>
  </conditionalFormatting>
  <conditionalFormatting sqref="L72:R73">
    <cfRule type="cellIs" dxfId="1371" priority="1864" operator="equal">
      <formula>"M"</formula>
    </cfRule>
    <cfRule type="cellIs" dxfId="1370" priority="1865" operator="equal">
      <formula>"G"</formula>
    </cfRule>
    <cfRule type="cellIs" dxfId="1369" priority="1866" operator="equal">
      <formula>"V"</formula>
    </cfRule>
  </conditionalFormatting>
  <conditionalFormatting sqref="M4:M12">
    <cfRule type="cellIs" dxfId="1368" priority="2260" operator="equal">
      <formula>"M"</formula>
    </cfRule>
    <cfRule type="cellIs" dxfId="1367" priority="2261" operator="equal">
      <formula>"G"</formula>
    </cfRule>
    <cfRule type="cellIs" dxfId="1366" priority="2262" operator="equal">
      <formula>"V"</formula>
    </cfRule>
  </conditionalFormatting>
  <conditionalFormatting sqref="M125:M133">
    <cfRule type="cellIs" dxfId="1365" priority="898" operator="equal">
      <formula>"M"</formula>
    </cfRule>
    <cfRule type="cellIs" dxfId="1364" priority="899" operator="equal">
      <formula>"G"</formula>
    </cfRule>
    <cfRule type="cellIs" dxfId="1363" priority="900" operator="equal">
      <formula>"V"</formula>
    </cfRule>
  </conditionalFormatting>
  <conditionalFormatting sqref="M148:O157">
    <cfRule type="cellIs" dxfId="1362" priority="1" operator="equal">
      <formula>"M"</formula>
    </cfRule>
    <cfRule type="cellIs" dxfId="1361" priority="2" operator="equal">
      <formula>"G"</formula>
    </cfRule>
    <cfRule type="cellIs" dxfId="1360" priority="3" operator="equal">
      <formula>"V"</formula>
    </cfRule>
  </conditionalFormatting>
  <conditionalFormatting sqref="M53:Q53 T53:X53">
    <cfRule type="cellIs" dxfId="1359" priority="4660" operator="equal">
      <formula>"M"</formula>
    </cfRule>
    <cfRule type="cellIs" dxfId="1358" priority="4661" operator="equal">
      <formula>"G"</formula>
    </cfRule>
    <cfRule type="cellIs" dxfId="1357" priority="4662" operator="equal">
      <formula>"V"</formula>
    </cfRule>
  </conditionalFormatting>
  <conditionalFormatting sqref="M152:Q153">
    <cfRule type="cellIs" dxfId="1356" priority="259" operator="equal">
      <formula>"M"</formula>
    </cfRule>
    <cfRule type="cellIs" dxfId="1355" priority="260" operator="equal">
      <formula>"G"</formula>
    </cfRule>
    <cfRule type="cellIs" dxfId="1354" priority="261" operator="equal">
      <formula>"V"</formula>
    </cfRule>
  </conditionalFormatting>
  <conditionalFormatting sqref="M155:Q157">
    <cfRule type="cellIs" dxfId="1353" priority="664" operator="equal">
      <formula>"M"</formula>
    </cfRule>
    <cfRule type="cellIs" dxfId="1352" priority="665" operator="equal">
      <formula>"G"</formula>
    </cfRule>
    <cfRule type="cellIs" dxfId="1351" priority="666" operator="equal">
      <formula>"V"</formula>
    </cfRule>
  </conditionalFormatting>
  <conditionalFormatting sqref="M132:S132">
    <cfRule type="cellIs" dxfId="1350" priority="892" operator="equal">
      <formula>"M"</formula>
    </cfRule>
    <cfRule type="cellIs" dxfId="1349" priority="893" operator="equal">
      <formula>"G"</formula>
    </cfRule>
    <cfRule type="cellIs" dxfId="1348" priority="894" operator="equal">
      <formula>"V"</formula>
    </cfRule>
  </conditionalFormatting>
  <conditionalFormatting sqref="N3:N12">
    <cfRule type="cellIs" dxfId="1347" priority="2263" operator="equal">
      <formula>"M"</formula>
    </cfRule>
    <cfRule type="cellIs" dxfId="1346" priority="2264" operator="equal">
      <formula>"G"</formula>
    </cfRule>
    <cfRule type="cellIs" dxfId="1345" priority="2265" operator="equal">
      <formula>"V"</formula>
    </cfRule>
  </conditionalFormatting>
  <conditionalFormatting sqref="N127:O130">
    <cfRule type="cellIs" dxfId="1344" priority="640" operator="equal">
      <formula>"M"</formula>
    </cfRule>
    <cfRule type="cellIs" dxfId="1343" priority="641" operator="equal">
      <formula>"G"</formula>
    </cfRule>
    <cfRule type="cellIs" dxfId="1342" priority="642" operator="equal">
      <formula>"V"</formula>
    </cfRule>
  </conditionalFormatting>
  <conditionalFormatting sqref="N101:P109">
    <cfRule type="cellIs" dxfId="1341" priority="1450" operator="equal">
      <formula>"M"</formula>
    </cfRule>
    <cfRule type="cellIs" dxfId="1340" priority="1451" operator="equal">
      <formula>"G"</formula>
    </cfRule>
    <cfRule type="cellIs" dxfId="1339" priority="1452" operator="equal">
      <formula>"V"</formula>
    </cfRule>
  </conditionalFormatting>
  <conditionalFormatting sqref="N141:P145">
    <cfRule type="cellIs" dxfId="1338" priority="52" operator="equal">
      <formula>"M"</formula>
    </cfRule>
    <cfRule type="cellIs" dxfId="1337" priority="53" operator="equal">
      <formula>"G"</formula>
    </cfRule>
    <cfRule type="cellIs" dxfId="1336" priority="54" operator="equal">
      <formula>"V"</formula>
    </cfRule>
  </conditionalFormatting>
  <conditionalFormatting sqref="N150:Q151 H153:J153 O154:Q154 T154:U154">
    <cfRule type="cellIs" dxfId="1335" priority="1117" operator="equal">
      <formula>"M"</formula>
    </cfRule>
    <cfRule type="cellIs" dxfId="1334" priority="1118" operator="equal">
      <formula>"G"</formula>
    </cfRule>
    <cfRule type="cellIs" dxfId="1333" priority="1119" operator="equal">
      <formula>"V"</formula>
    </cfRule>
  </conditionalFormatting>
  <conditionalFormatting sqref="N16:T23">
    <cfRule type="cellIs" dxfId="1332" priority="2176" operator="equal">
      <formula>"M"</formula>
    </cfRule>
    <cfRule type="cellIs" dxfId="1331" priority="2177" operator="equal">
      <formula>"G"</formula>
    </cfRule>
    <cfRule type="cellIs" dxfId="1330" priority="2178" operator="equal">
      <formula>"V"</formula>
    </cfRule>
  </conditionalFormatting>
  <conditionalFormatting sqref="N117:V121">
    <cfRule type="cellIs" dxfId="1329" priority="1003" operator="equal">
      <formula>"M"</formula>
    </cfRule>
    <cfRule type="cellIs" dxfId="1328" priority="1004" operator="equal">
      <formula>"G"</formula>
    </cfRule>
    <cfRule type="cellIs" dxfId="1327" priority="1005" operator="equal">
      <formula>"V"</formula>
    </cfRule>
  </conditionalFormatting>
  <conditionalFormatting sqref="N133:V133">
    <cfRule type="cellIs" dxfId="1326" priority="628" operator="equal">
      <formula>"M"</formula>
    </cfRule>
    <cfRule type="cellIs" dxfId="1325" priority="629" operator="equal">
      <formula>"G"</formula>
    </cfRule>
    <cfRule type="cellIs" dxfId="1324" priority="630" operator="equal">
      <formula>"V"</formula>
    </cfRule>
  </conditionalFormatting>
  <conditionalFormatting sqref="N24:W24">
    <cfRule type="cellIs" dxfId="1323" priority="3001" operator="equal">
      <formula>"M"</formula>
    </cfRule>
    <cfRule type="cellIs" dxfId="1322" priority="3002" operator="equal">
      <formula>"G"</formula>
    </cfRule>
    <cfRule type="cellIs" dxfId="1321" priority="3003" operator="equal">
      <formula>"V"</formula>
    </cfRule>
  </conditionalFormatting>
  <conditionalFormatting sqref="N116:Y116">
    <cfRule type="cellIs" dxfId="1320" priority="790" operator="equal">
      <formula>"M"</formula>
    </cfRule>
    <cfRule type="cellIs" dxfId="1319" priority="791" operator="equal">
      <formula>"G"</formula>
    </cfRule>
    <cfRule type="cellIs" dxfId="1318" priority="792" operator="equal">
      <formula>"V"</formula>
    </cfRule>
  </conditionalFormatting>
  <conditionalFormatting sqref="O3:O4">
    <cfRule type="cellIs" dxfId="1317" priority="2464" operator="equal">
      <formula>"M"</formula>
    </cfRule>
    <cfRule type="cellIs" dxfId="1316" priority="2465" operator="equal">
      <formula>"G"</formula>
    </cfRule>
    <cfRule type="cellIs" dxfId="1315" priority="2466" operator="equal">
      <formula>"V"</formula>
    </cfRule>
  </conditionalFormatting>
  <conditionalFormatting sqref="O54:Q54 T54:U54">
    <cfRule type="cellIs" dxfId="1314" priority="1921" operator="equal">
      <formula>"M"</formula>
    </cfRule>
    <cfRule type="cellIs" dxfId="1313" priority="1922" operator="equal">
      <formula>"G"</formula>
    </cfRule>
    <cfRule type="cellIs" dxfId="1312" priority="1923" operator="equal">
      <formula>"V"</formula>
    </cfRule>
  </conditionalFormatting>
  <conditionalFormatting sqref="O53:S54">
    <cfRule type="cellIs" dxfId="1311" priority="1906" operator="equal">
      <formula>"M"</formula>
    </cfRule>
    <cfRule type="cellIs" dxfId="1310" priority="1907" operator="equal">
      <formula>"G"</formula>
    </cfRule>
    <cfRule type="cellIs" dxfId="1309" priority="1908" operator="equal">
      <formula>"V"</formula>
    </cfRule>
  </conditionalFormatting>
  <conditionalFormatting sqref="O55:U61">
    <cfRule type="cellIs" dxfId="1308" priority="1939" operator="equal">
      <formula>"M"</formula>
    </cfRule>
    <cfRule type="cellIs" dxfId="1307" priority="1940" operator="equal">
      <formula>"G"</formula>
    </cfRule>
    <cfRule type="cellIs" dxfId="1306" priority="1941" operator="equal">
      <formula>"V"</formula>
    </cfRule>
  </conditionalFormatting>
  <conditionalFormatting sqref="O6:X6">
    <cfRule type="cellIs" dxfId="1305" priority="2284" operator="equal">
      <formula>"M"</formula>
    </cfRule>
    <cfRule type="cellIs" dxfId="1304" priority="2285" operator="equal">
      <formula>"G"</formula>
    </cfRule>
    <cfRule type="cellIs" dxfId="1303" priority="2286" operator="equal">
      <formula>"V"</formula>
    </cfRule>
  </conditionalFormatting>
  <conditionalFormatting sqref="P136:P139">
    <cfRule type="cellIs" dxfId="1302" priority="1066" operator="equal">
      <formula>"M"</formula>
    </cfRule>
    <cfRule type="cellIs" dxfId="1301" priority="1067" operator="equal">
      <formula>"G"</formula>
    </cfRule>
    <cfRule type="cellIs" dxfId="1300" priority="1068" operator="equal">
      <formula>"V"</formula>
    </cfRule>
  </conditionalFormatting>
  <conditionalFormatting sqref="P125:Q131">
    <cfRule type="cellIs" dxfId="1299" priority="880" operator="equal">
      <formula>"M"</formula>
    </cfRule>
    <cfRule type="cellIs" dxfId="1298" priority="881" operator="equal">
      <formula>"G"</formula>
    </cfRule>
    <cfRule type="cellIs" dxfId="1297" priority="882" operator="equal">
      <formula>"V"</formula>
    </cfRule>
  </conditionalFormatting>
  <conditionalFormatting sqref="P149:Q156">
    <cfRule type="cellIs" dxfId="1296" priority="262" operator="equal">
      <formula>"M"</formula>
    </cfRule>
    <cfRule type="cellIs" dxfId="1295" priority="263" operator="equal">
      <formula>"G"</formula>
    </cfRule>
    <cfRule type="cellIs" dxfId="1294" priority="264" operator="equal">
      <formula>"V"</formula>
    </cfRule>
  </conditionalFormatting>
  <conditionalFormatting sqref="P148:S148">
    <cfRule type="cellIs" dxfId="1293" priority="6946" operator="equal">
      <formula>"M"</formula>
    </cfRule>
    <cfRule type="cellIs" dxfId="1292" priority="6947" operator="equal">
      <formula>"G"</formula>
    </cfRule>
    <cfRule type="cellIs" dxfId="1291" priority="6948" operator="equal">
      <formula>"V"</formula>
    </cfRule>
  </conditionalFormatting>
  <conditionalFormatting sqref="P106:T109">
    <cfRule type="cellIs" dxfId="1290" priority="3943" operator="equal">
      <formula>"M"</formula>
    </cfRule>
    <cfRule type="cellIs" dxfId="1289" priority="3944" operator="equal">
      <formula>"G"</formula>
    </cfRule>
    <cfRule type="cellIs" dxfId="1288" priority="3945" operator="equal">
      <formula>"V"</formula>
    </cfRule>
  </conditionalFormatting>
  <conditionalFormatting sqref="P137:T137 AD137:AG137 C137:F139 Q138:T138 AD138:AF138 D140:F140 W140:AA140 I140:J141 W141:Y141 AA141 I142:M143 P142:T144 W142:AA144 S144:S145 P145:Q145 W145:X145">
    <cfRule type="cellIs" dxfId="1287" priority="3781" operator="equal">
      <formula>"M"</formula>
    </cfRule>
    <cfRule type="cellIs" dxfId="1286" priority="3782" operator="equal">
      <formula>"G"</formula>
    </cfRule>
    <cfRule type="cellIs" dxfId="1285" priority="3783" operator="equal">
      <formula>"V"</formula>
    </cfRule>
  </conditionalFormatting>
  <conditionalFormatting sqref="P101:U102 U104:V109">
    <cfRule type="cellIs" dxfId="1284" priority="3130" operator="equal">
      <formula>"M"</formula>
    </cfRule>
    <cfRule type="cellIs" dxfId="1283" priority="3131" operator="equal">
      <formula>"G"</formula>
    </cfRule>
    <cfRule type="cellIs" dxfId="1282" priority="3132" operator="equal">
      <formula>"V"</formula>
    </cfRule>
  </conditionalFormatting>
  <conditionalFormatting sqref="P139:W139">
    <cfRule type="cellIs" dxfId="1281" priority="286" operator="equal">
      <formula>"M"</formula>
    </cfRule>
    <cfRule type="cellIs" dxfId="1280" priority="287" operator="equal">
      <formula>"G"</formula>
    </cfRule>
    <cfRule type="cellIs" dxfId="1279" priority="288" operator="equal">
      <formula>"V"</formula>
    </cfRule>
  </conditionalFormatting>
  <conditionalFormatting sqref="Q64:Q71">
    <cfRule type="cellIs" dxfId="1278" priority="1723" operator="equal">
      <formula>"M"</formula>
    </cfRule>
    <cfRule type="cellIs" dxfId="1277" priority="1724" operator="equal">
      <formula>"G"</formula>
    </cfRule>
    <cfRule type="cellIs" dxfId="1276" priority="1725" operator="equal">
      <formula>"V"</formula>
    </cfRule>
  </conditionalFormatting>
  <conditionalFormatting sqref="Q136:Q140">
    <cfRule type="cellIs" dxfId="1275" priority="433" operator="equal">
      <formula>"M"</formula>
    </cfRule>
    <cfRule type="cellIs" dxfId="1274" priority="434" operator="equal">
      <formula>"G"</formula>
    </cfRule>
    <cfRule type="cellIs" dxfId="1273" priority="435" operator="equal">
      <formula>"V"</formula>
    </cfRule>
  </conditionalFormatting>
  <conditionalFormatting sqref="Q142:R145">
    <cfRule type="cellIs" dxfId="1272" priority="7" operator="equal">
      <formula>"M"</formula>
    </cfRule>
    <cfRule type="cellIs" dxfId="1271" priority="8" operator="equal">
      <formula>"G"</formula>
    </cfRule>
    <cfRule type="cellIs" dxfId="1270" priority="9" operator="equal">
      <formula>"V"</formula>
    </cfRule>
  </conditionalFormatting>
  <conditionalFormatting sqref="Q104:T105">
    <cfRule type="cellIs" dxfId="1269" priority="1465" operator="equal">
      <formula>"M"</formula>
    </cfRule>
    <cfRule type="cellIs" dxfId="1268" priority="1466" operator="equal">
      <formula>"G"</formula>
    </cfRule>
    <cfRule type="cellIs" dxfId="1267" priority="1467" operator="equal">
      <formula>"V"</formula>
    </cfRule>
  </conditionalFormatting>
  <conditionalFormatting sqref="Q141:T141">
    <cfRule type="cellIs" dxfId="1266" priority="1039" operator="equal">
      <formula>"M"</formula>
    </cfRule>
    <cfRule type="cellIs" dxfId="1265" priority="1040" operator="equal">
      <formula>"G"</formula>
    </cfRule>
    <cfRule type="cellIs" dxfId="1264" priority="1041" operator="equal">
      <formula>"V"</formula>
    </cfRule>
  </conditionalFormatting>
  <conditionalFormatting sqref="Q144:T144 W144:Z144">
    <cfRule type="cellIs" dxfId="1263" priority="598" operator="equal">
      <formula>"M"</formula>
    </cfRule>
    <cfRule type="cellIs" dxfId="1262" priority="599" operator="equal">
      <formula>"G"</formula>
    </cfRule>
    <cfRule type="cellIs" dxfId="1261" priority="600" operator="equal">
      <formula>"V"</formula>
    </cfRule>
  </conditionalFormatting>
  <conditionalFormatting sqref="R65:R71">
    <cfRule type="cellIs" dxfId="1260" priority="1831" operator="equal">
      <formula>"M"</formula>
    </cfRule>
    <cfRule type="cellIs" dxfId="1259" priority="1832" operator="equal">
      <formula>"G"</formula>
    </cfRule>
    <cfRule type="cellIs" dxfId="1258" priority="1833" operator="equal">
      <formula>"V"</formula>
    </cfRule>
  </conditionalFormatting>
  <conditionalFormatting sqref="R101:R104">
    <cfRule type="cellIs" dxfId="1257" priority="1438" operator="equal">
      <formula>"M"</formula>
    </cfRule>
    <cfRule type="cellIs" dxfId="1256" priority="1439" operator="equal">
      <formula>"G"</formula>
    </cfRule>
    <cfRule type="cellIs" dxfId="1255" priority="1440" operator="equal">
      <formula>"V"</formula>
    </cfRule>
  </conditionalFormatting>
  <conditionalFormatting sqref="R124:R131">
    <cfRule type="cellIs" dxfId="1254" priority="886" operator="equal">
      <formula>"M"</formula>
    </cfRule>
    <cfRule type="cellIs" dxfId="1253" priority="887" operator="equal">
      <formula>"G"</formula>
    </cfRule>
    <cfRule type="cellIs" dxfId="1252" priority="888" operator="equal">
      <formula>"V"</formula>
    </cfRule>
  </conditionalFormatting>
  <conditionalFormatting sqref="R136:R139">
    <cfRule type="cellIs" dxfId="1251" priority="292" operator="equal">
      <formula>"M"</formula>
    </cfRule>
    <cfRule type="cellIs" dxfId="1250" priority="293" operator="equal">
      <formula>"G"</formula>
    </cfRule>
    <cfRule type="cellIs" dxfId="1249" priority="294" operator="equal">
      <formula>"V"</formula>
    </cfRule>
  </conditionalFormatting>
  <conditionalFormatting sqref="R149:S157">
    <cfRule type="cellIs" dxfId="1248" priority="247" operator="equal">
      <formula>"M"</formula>
    </cfRule>
    <cfRule type="cellIs" dxfId="1247" priority="248" operator="equal">
      <formula>"G"</formula>
    </cfRule>
    <cfRule type="cellIs" dxfId="1246" priority="249" operator="equal">
      <formula>"V"</formula>
    </cfRule>
  </conditionalFormatting>
  <conditionalFormatting sqref="R140:T140">
    <cfRule type="cellIs" dxfId="1245" priority="346" operator="equal">
      <formula>"M"</formula>
    </cfRule>
    <cfRule type="cellIs" dxfId="1244" priority="347" operator="equal">
      <formula>"G"</formula>
    </cfRule>
    <cfRule type="cellIs" dxfId="1243" priority="348" operator="equal">
      <formula>"V"</formula>
    </cfRule>
  </conditionalFormatting>
  <conditionalFormatting sqref="R3:U5 O7:U12">
    <cfRule type="cellIs" dxfId="1242" priority="2275" operator="equal">
      <formula>"M"</formula>
    </cfRule>
    <cfRule type="cellIs" dxfId="1241" priority="2276" operator="equal">
      <formula>"G"</formula>
    </cfRule>
    <cfRule type="cellIs" dxfId="1240" priority="2277" operator="equal">
      <formula>"V"</formula>
    </cfRule>
  </conditionalFormatting>
  <conditionalFormatting sqref="R64:Z64">
    <cfRule type="cellIs" dxfId="1239" priority="24388" operator="equal">
      <formula>"M"</formula>
    </cfRule>
    <cfRule type="cellIs" dxfId="1238" priority="24389" operator="equal">
      <formula>"G"</formula>
    </cfRule>
    <cfRule type="cellIs" dxfId="1237" priority="24390" operator="equal">
      <formula>"V"</formula>
    </cfRule>
  </conditionalFormatting>
  <conditionalFormatting sqref="R125:AC127">
    <cfRule type="cellIs" dxfId="1236" priority="865" operator="equal">
      <formula>"M"</formula>
    </cfRule>
    <cfRule type="cellIs" dxfId="1235" priority="866" operator="equal">
      <formula>"G"</formula>
    </cfRule>
    <cfRule type="cellIs" dxfId="1234" priority="867" operator="equal">
      <formula>"V"</formula>
    </cfRule>
  </conditionalFormatting>
  <conditionalFormatting sqref="S124">
    <cfRule type="cellIs" dxfId="1233" priority="23527" operator="equal">
      <formula>"M"</formula>
    </cfRule>
    <cfRule type="cellIs" dxfId="1232" priority="23528" operator="equal">
      <formula>"G"</formula>
    </cfRule>
    <cfRule type="cellIs" dxfId="1231" priority="23529" operator="equal">
      <formula>"V"</formula>
    </cfRule>
  </conditionalFormatting>
  <conditionalFormatting sqref="S103:V103">
    <cfRule type="cellIs" dxfId="1230" priority="1429" operator="equal">
      <formula>"M"</formula>
    </cfRule>
    <cfRule type="cellIs" dxfId="1229" priority="1430" operator="equal">
      <formula>"G"</formula>
    </cfRule>
    <cfRule type="cellIs" dxfId="1228" priority="1431" operator="equal">
      <formula>"V"</formula>
    </cfRule>
  </conditionalFormatting>
  <conditionalFormatting sqref="S136:V136">
    <cfRule type="cellIs" dxfId="1227" priority="23194" operator="equal">
      <formula>"M"</formula>
    </cfRule>
    <cfRule type="cellIs" dxfId="1226" priority="23195" operator="equal">
      <formula>"G"</formula>
    </cfRule>
    <cfRule type="cellIs" dxfId="1225" priority="23196" operator="equal">
      <formula>"V"</formula>
    </cfRule>
  </conditionalFormatting>
  <conditionalFormatting sqref="S89:X95">
    <cfRule type="cellIs" dxfId="1224" priority="1207" operator="equal">
      <formula>"M"</formula>
    </cfRule>
    <cfRule type="cellIs" dxfId="1223" priority="1208" operator="equal">
      <formula>"G"</formula>
    </cfRule>
    <cfRule type="cellIs" dxfId="1222" priority="1209" operator="equal">
      <formula>"V"</formula>
    </cfRule>
  </conditionalFormatting>
  <conditionalFormatting sqref="S65:Z73">
    <cfRule type="cellIs" dxfId="1221" priority="1708" operator="equal">
      <formula>"M"</formula>
    </cfRule>
    <cfRule type="cellIs" dxfId="1220" priority="1709" operator="equal">
      <formula>"G"</formula>
    </cfRule>
    <cfRule type="cellIs" dxfId="1219" priority="1710" operator="equal">
      <formula>"V"</formula>
    </cfRule>
  </conditionalFormatting>
  <conditionalFormatting sqref="S137:AC138 AB140:AC145">
    <cfRule type="cellIs" dxfId="1218" priority="3055" operator="equal">
      <formula>"M"</formula>
    </cfRule>
    <cfRule type="cellIs" dxfId="1217" priority="3056" operator="equal">
      <formula>"G"</formula>
    </cfRule>
    <cfRule type="cellIs" dxfId="1216" priority="3057" operator="equal">
      <formula>"V"</formula>
    </cfRule>
  </conditionalFormatting>
  <conditionalFormatting sqref="S96:AD97">
    <cfRule type="cellIs" dxfId="1215" priority="1213" operator="equal">
      <formula>"M"</formula>
    </cfRule>
    <cfRule type="cellIs" dxfId="1214" priority="1214" operator="equal">
      <formula>"G"</formula>
    </cfRule>
    <cfRule type="cellIs" dxfId="1213" priority="1215" operator="equal">
      <formula>"V"</formula>
    </cfRule>
  </conditionalFormatting>
  <conditionalFormatting sqref="T52:T54">
    <cfRule type="cellIs" dxfId="1212" priority="1915" operator="equal">
      <formula>"M"</formula>
    </cfRule>
    <cfRule type="cellIs" dxfId="1211" priority="1916" operator="equal">
      <formula>"G"</formula>
    </cfRule>
    <cfRule type="cellIs" dxfId="1210" priority="1917" operator="equal">
      <formula>"V"</formula>
    </cfRule>
  </conditionalFormatting>
  <conditionalFormatting sqref="T112:T115">
    <cfRule type="cellIs" dxfId="1209" priority="3109" operator="equal">
      <formula>"M"</formula>
    </cfRule>
    <cfRule type="cellIs" dxfId="1208" priority="3110" operator="equal">
      <formula>"G"</formula>
    </cfRule>
    <cfRule type="cellIs" dxfId="1207" priority="3111" operator="equal">
      <formula>"V"</formula>
    </cfRule>
  </conditionalFormatting>
  <conditionalFormatting sqref="T124:T126">
    <cfRule type="cellIs" dxfId="1206" priority="9958" operator="equal">
      <formula>"M"</formula>
    </cfRule>
    <cfRule type="cellIs" dxfId="1205" priority="9959" operator="equal">
      <formula>"G"</formula>
    </cfRule>
    <cfRule type="cellIs" dxfId="1204" priority="9960" operator="equal">
      <formula>"V"</formula>
    </cfRule>
  </conditionalFormatting>
  <conditionalFormatting sqref="T128:T133">
    <cfRule type="cellIs" dxfId="1203" priority="871" operator="equal">
      <formula>"M"</formula>
    </cfRule>
    <cfRule type="cellIs" dxfId="1202" priority="872" operator="equal">
      <formula>"G"</formula>
    </cfRule>
    <cfRule type="cellIs" dxfId="1201" priority="873" operator="equal">
      <formula>"V"</formula>
    </cfRule>
  </conditionalFormatting>
  <conditionalFormatting sqref="T145">
    <cfRule type="cellIs" dxfId="1200" priority="616" operator="equal">
      <formula>"M"</formula>
    </cfRule>
    <cfRule type="cellIs" dxfId="1199" priority="617" operator="equal">
      <formula>"G"</formula>
    </cfRule>
    <cfRule type="cellIs" dxfId="1198" priority="618" operator="equal">
      <formula>"V"</formula>
    </cfRule>
  </conditionalFormatting>
  <conditionalFormatting sqref="T148:V157">
    <cfRule type="cellIs" dxfId="1197" priority="64" operator="equal">
      <formula>"M"</formula>
    </cfRule>
    <cfRule type="cellIs" dxfId="1196" priority="65" operator="equal">
      <formula>"G"</formula>
    </cfRule>
    <cfRule type="cellIs" dxfId="1195" priority="66" operator="equal">
      <formula>"V"</formula>
    </cfRule>
  </conditionalFormatting>
  <conditionalFormatting sqref="T77:AB85">
    <cfRule type="cellIs" dxfId="1194" priority="1249" operator="equal">
      <formula>"M"</formula>
    </cfRule>
    <cfRule type="cellIs" dxfId="1193" priority="1250" operator="equal">
      <formula>"G"</formula>
    </cfRule>
    <cfRule type="cellIs" dxfId="1192" priority="1251" operator="equal">
      <formula>"V"</formula>
    </cfRule>
  </conditionalFormatting>
  <conditionalFormatting sqref="T60:AE61">
    <cfRule type="cellIs" dxfId="1191" priority="1981" operator="equal">
      <formula>"M"</formula>
    </cfRule>
    <cfRule type="cellIs" dxfId="1190" priority="1982" operator="equal">
      <formula>"G"</formula>
    </cfRule>
    <cfRule type="cellIs" dxfId="1189" priority="1983" operator="equal">
      <formula>"V"</formula>
    </cfRule>
  </conditionalFormatting>
  <conditionalFormatting sqref="T149:AE153">
    <cfRule type="cellIs" dxfId="1188" priority="94" operator="equal">
      <formula>"M"</formula>
    </cfRule>
    <cfRule type="cellIs" dxfId="1187" priority="95" operator="equal">
      <formula>"G"</formula>
    </cfRule>
    <cfRule type="cellIs" dxfId="1186" priority="96" operator="equal">
      <formula>"V"</formula>
    </cfRule>
  </conditionalFormatting>
  <conditionalFormatting sqref="T155:AE157">
    <cfRule type="cellIs" dxfId="1185" priority="67" operator="equal">
      <formula>"M"</formula>
    </cfRule>
    <cfRule type="cellIs" dxfId="1184" priority="68" operator="equal">
      <formula>"G"</formula>
    </cfRule>
    <cfRule type="cellIs" dxfId="1183" priority="69" operator="equal">
      <formula>"V"</formula>
    </cfRule>
  </conditionalFormatting>
  <conditionalFormatting sqref="U53:U54">
    <cfRule type="cellIs" dxfId="1182" priority="1927" operator="equal">
      <formula>"M"</formula>
    </cfRule>
    <cfRule type="cellIs" dxfId="1181" priority="1928" operator="equal">
      <formula>"G"</formula>
    </cfRule>
    <cfRule type="cellIs" dxfId="1180" priority="1929" operator="equal">
      <formula>"V"</formula>
    </cfRule>
  </conditionalFormatting>
  <conditionalFormatting sqref="U112:U114">
    <cfRule type="cellIs" dxfId="1179" priority="10000" operator="equal">
      <formula>"M"</formula>
    </cfRule>
    <cfRule type="cellIs" dxfId="1178" priority="10001" operator="equal">
      <formula>"G"</formula>
    </cfRule>
    <cfRule type="cellIs" dxfId="1177" priority="10002" operator="equal">
      <formula>"V"</formula>
    </cfRule>
  </conditionalFormatting>
  <conditionalFormatting sqref="U124">
    <cfRule type="cellIs" dxfId="1176" priority="23530" operator="equal">
      <formula>"M"</formula>
    </cfRule>
    <cfRule type="cellIs" dxfId="1175" priority="23531" operator="equal">
      <formula>"G"</formula>
    </cfRule>
    <cfRule type="cellIs" dxfId="1174" priority="23532" operator="equal">
      <formula>"V"</formula>
    </cfRule>
  </conditionalFormatting>
  <conditionalFormatting sqref="U129:V130">
    <cfRule type="cellIs" dxfId="1173" priority="679" operator="equal">
      <formula>"M"</formula>
    </cfRule>
    <cfRule type="cellIs" dxfId="1172" priority="680" operator="equal">
      <formula>"G"</formula>
    </cfRule>
    <cfRule type="cellIs" dxfId="1171" priority="681" operator="equal">
      <formula>"V"</formula>
    </cfRule>
  </conditionalFormatting>
  <conditionalFormatting sqref="U132:V132">
    <cfRule type="cellIs" dxfId="1170" priority="877" operator="equal">
      <formula>"M"</formula>
    </cfRule>
    <cfRule type="cellIs" dxfId="1169" priority="878" operator="equal">
      <formula>"G"</formula>
    </cfRule>
    <cfRule type="cellIs" dxfId="1168" priority="879" operator="equal">
      <formula>"V"</formula>
    </cfRule>
  </conditionalFormatting>
  <conditionalFormatting sqref="U20:W23">
    <cfRule type="cellIs" dxfId="1167" priority="5620" operator="equal">
      <formula>"M"</formula>
    </cfRule>
    <cfRule type="cellIs" dxfId="1166" priority="5621" operator="equal">
      <formula>"G"</formula>
    </cfRule>
    <cfRule type="cellIs" dxfId="1165" priority="5622" operator="equal">
      <formula>"V"</formula>
    </cfRule>
  </conditionalFormatting>
  <conditionalFormatting sqref="U140:W145">
    <cfRule type="cellIs" dxfId="1164" priority="541" operator="equal">
      <formula>"M"</formula>
    </cfRule>
    <cfRule type="cellIs" dxfId="1163" priority="542" operator="equal">
      <formula>"G"</formula>
    </cfRule>
    <cfRule type="cellIs" dxfId="1162" priority="543" operator="equal">
      <formula>"V"</formula>
    </cfRule>
  </conditionalFormatting>
  <conditionalFormatting sqref="U16:X18">
    <cfRule type="cellIs" dxfId="1161" priority="2158" operator="equal">
      <formula>"M"</formula>
    </cfRule>
    <cfRule type="cellIs" dxfId="1160" priority="2159" operator="equal">
      <formula>"G"</formula>
    </cfRule>
    <cfRule type="cellIs" dxfId="1159" priority="2160" operator="equal">
      <formula>"V"</formula>
    </cfRule>
  </conditionalFormatting>
  <conditionalFormatting sqref="U113:Y115">
    <cfRule type="cellIs" dxfId="1158" priority="823" operator="equal">
      <formula>"M"</formula>
    </cfRule>
    <cfRule type="cellIs" dxfId="1157" priority="824" operator="equal">
      <formula>"G"</formula>
    </cfRule>
    <cfRule type="cellIs" dxfId="1156" priority="825" operator="equal">
      <formula>"V"</formula>
    </cfRule>
  </conditionalFormatting>
  <conditionalFormatting sqref="U52:AA52">
    <cfRule type="cellIs" dxfId="1155" priority="24769" operator="equal">
      <formula>"M"</formula>
    </cfRule>
    <cfRule type="cellIs" dxfId="1154" priority="24770" operator="equal">
      <formula>"G"</formula>
    </cfRule>
    <cfRule type="cellIs" dxfId="1153" priority="24771" operator="equal">
      <formula>"V"</formula>
    </cfRule>
  </conditionalFormatting>
  <conditionalFormatting sqref="U39:AB48">
    <cfRule type="cellIs" dxfId="1152" priority="2026" operator="equal">
      <formula>"M"</formula>
    </cfRule>
    <cfRule type="cellIs" dxfId="1151" priority="2027" operator="equal">
      <formula>"G"</formula>
    </cfRule>
    <cfRule type="cellIs" dxfId="1150" priority="2028" operator="equal">
      <formula>"V"</formula>
    </cfRule>
  </conditionalFormatting>
  <conditionalFormatting sqref="U120:AC120">
    <cfRule type="cellIs" dxfId="1149" priority="1018" operator="equal">
      <formula>"M"</formula>
    </cfRule>
    <cfRule type="cellIs" dxfId="1148" priority="1019" operator="equal">
      <formula>"G"</formula>
    </cfRule>
    <cfRule type="cellIs" dxfId="1147" priority="1020" operator="equal">
      <formula>"V"</formula>
    </cfRule>
  </conditionalFormatting>
  <conditionalFormatting sqref="U19:AD19">
    <cfRule type="cellIs" dxfId="1146" priority="2149" operator="equal">
      <formula>"M"</formula>
    </cfRule>
    <cfRule type="cellIs" dxfId="1145" priority="2150" operator="equal">
      <formula>"G"</formula>
    </cfRule>
    <cfRule type="cellIs" dxfId="1144" priority="2151" operator="equal">
      <formula>"V"</formula>
    </cfRule>
  </conditionalFormatting>
  <conditionalFormatting sqref="U121:AF121">
    <cfRule type="cellIs" dxfId="1143" priority="688" operator="equal">
      <formula>"M"</formula>
    </cfRule>
    <cfRule type="cellIs" dxfId="1142" priority="689" operator="equal">
      <formula>"G"</formula>
    </cfRule>
    <cfRule type="cellIs" dxfId="1141" priority="690" operator="equal">
      <formula>"V"</formula>
    </cfRule>
  </conditionalFormatting>
  <conditionalFormatting sqref="V3:V4">
    <cfRule type="cellIs" dxfId="1140" priority="2458" operator="equal">
      <formula>"M"</formula>
    </cfRule>
    <cfRule type="cellIs" dxfId="1139" priority="2459" operator="equal">
      <formula>"G"</formula>
    </cfRule>
    <cfRule type="cellIs" dxfId="1138" priority="2460" operator="equal">
      <formula>"V"</formula>
    </cfRule>
  </conditionalFormatting>
  <conditionalFormatting sqref="V100:V102">
    <cfRule type="cellIs" dxfId="1137" priority="3133" operator="equal">
      <formula>"M"</formula>
    </cfRule>
    <cfRule type="cellIs" dxfId="1136" priority="3134" operator="equal">
      <formula>"G"</formula>
    </cfRule>
    <cfRule type="cellIs" dxfId="1135" priority="3135" operator="equal">
      <formula>"V"</formula>
    </cfRule>
  </conditionalFormatting>
  <conditionalFormatting sqref="V112">
    <cfRule type="cellIs" dxfId="1134" priority="23782" operator="equal">
      <formula>"M"</formula>
    </cfRule>
    <cfRule type="cellIs" dxfId="1133" priority="23783" operator="equal">
      <formula>"G"</formula>
    </cfRule>
    <cfRule type="cellIs" dxfId="1132" priority="23784" operator="equal">
      <formula>"V"</formula>
    </cfRule>
  </conditionalFormatting>
  <conditionalFormatting sqref="V114:V115">
    <cfRule type="cellIs" dxfId="1131" priority="826" operator="equal">
      <formula>"M"</formula>
    </cfRule>
    <cfRule type="cellIs" dxfId="1130" priority="827" operator="equal">
      <formula>"G"</formula>
    </cfRule>
    <cfRule type="cellIs" dxfId="1129" priority="828" operator="equal">
      <formula>"V"</formula>
    </cfRule>
  </conditionalFormatting>
  <conditionalFormatting sqref="V124:V125">
    <cfRule type="cellIs" dxfId="1128" priority="21625" operator="equal">
      <formula>"M"</formula>
    </cfRule>
    <cfRule type="cellIs" dxfId="1127" priority="21626" operator="equal">
      <formula>"G"</formula>
    </cfRule>
    <cfRule type="cellIs" dxfId="1126" priority="21627" operator="equal">
      <formula>"V"</formula>
    </cfRule>
  </conditionalFormatting>
  <conditionalFormatting sqref="V53:AA59">
    <cfRule type="cellIs" dxfId="1125" priority="3253" operator="equal">
      <formula>"M"</formula>
    </cfRule>
    <cfRule type="cellIs" dxfId="1124" priority="3254" operator="equal">
      <formula>"G"</formula>
    </cfRule>
    <cfRule type="cellIs" dxfId="1123" priority="3255" operator="equal">
      <formula>"V"</formula>
    </cfRule>
  </conditionalFormatting>
  <conditionalFormatting sqref="V11:AF12">
    <cfRule type="cellIs" dxfId="1122" priority="2257" operator="equal">
      <formula>"M"</formula>
    </cfRule>
    <cfRule type="cellIs" dxfId="1121" priority="2258" operator="equal">
      <formula>"G"</formula>
    </cfRule>
    <cfRule type="cellIs" dxfId="1120" priority="2259" operator="equal">
      <formula>"V"</formula>
    </cfRule>
  </conditionalFormatting>
  <conditionalFormatting sqref="W100:W109">
    <cfRule type="cellIs" dxfId="1119" priority="1336" operator="equal">
      <formula>"M"</formula>
    </cfRule>
    <cfRule type="cellIs" dxfId="1118" priority="1337" operator="equal">
      <formula>"G"</formula>
    </cfRule>
    <cfRule type="cellIs" dxfId="1117" priority="1338" operator="equal">
      <formula>"V"</formula>
    </cfRule>
  </conditionalFormatting>
  <conditionalFormatting sqref="W112:W119">
    <cfRule type="cellIs" dxfId="1116" priority="784" operator="equal">
      <formula>"M"</formula>
    </cfRule>
    <cfRule type="cellIs" dxfId="1115" priority="785" operator="equal">
      <formula>"G"</formula>
    </cfRule>
    <cfRule type="cellIs" dxfId="1114" priority="786" operator="equal">
      <formula>"V"</formula>
    </cfRule>
  </conditionalFormatting>
  <conditionalFormatting sqref="W136:W138">
    <cfRule type="cellIs" dxfId="1113" priority="13" operator="equal">
      <formula>"M"</formula>
    </cfRule>
    <cfRule type="cellIs" dxfId="1112" priority="14" operator="equal">
      <formula>"G"</formula>
    </cfRule>
    <cfRule type="cellIs" dxfId="1111" priority="15" operator="equal">
      <formula>"V"</formula>
    </cfRule>
  </conditionalFormatting>
  <conditionalFormatting sqref="W153:W154">
    <cfRule type="cellIs" dxfId="1110" priority="148" operator="equal">
      <formula>"M"</formula>
    </cfRule>
    <cfRule type="cellIs" dxfId="1109" priority="149" operator="equal">
      <formula>"G"</formula>
    </cfRule>
    <cfRule type="cellIs" dxfId="1108" priority="150" operator="equal">
      <formula>"V"</formula>
    </cfRule>
  </conditionalFormatting>
  <conditionalFormatting sqref="W124:X124">
    <cfRule type="cellIs" dxfId="1107" priority="23353" operator="equal">
      <formula>"M"</formula>
    </cfRule>
    <cfRule type="cellIs" dxfId="1106" priority="23354" operator="equal">
      <formula>"G"</formula>
    </cfRule>
    <cfRule type="cellIs" dxfId="1105" priority="23355" operator="equal">
      <formula>"V"</formula>
    </cfRule>
  </conditionalFormatting>
  <conditionalFormatting sqref="W149:X152">
    <cfRule type="cellIs" dxfId="1104" priority="109" operator="equal">
      <formula>"M"</formula>
    </cfRule>
    <cfRule type="cellIs" dxfId="1103" priority="110" operator="equal">
      <formula>"G"</formula>
    </cfRule>
    <cfRule type="cellIs" dxfId="1102" priority="111" operator="equal">
      <formula>"V"</formula>
    </cfRule>
  </conditionalFormatting>
  <conditionalFormatting sqref="W128:Y133">
    <cfRule type="cellIs" dxfId="1101" priority="3079" operator="equal">
      <formula>"M"</formula>
    </cfRule>
    <cfRule type="cellIs" dxfId="1100" priority="3080" operator="equal">
      <formula>"G"</formula>
    </cfRule>
    <cfRule type="cellIs" dxfId="1099" priority="3081" operator="equal">
      <formula>"V"</formula>
    </cfRule>
  </conditionalFormatting>
  <conditionalFormatting sqref="W148:AB148">
    <cfRule type="cellIs" dxfId="1098" priority="6937" operator="equal">
      <formula>"M"</formula>
    </cfRule>
    <cfRule type="cellIs" dxfId="1097" priority="6938" operator="equal">
      <formula>"G"</formula>
    </cfRule>
    <cfRule type="cellIs" dxfId="1096" priority="6939" operator="equal">
      <formula>"V"</formula>
    </cfRule>
  </conditionalFormatting>
  <conditionalFormatting sqref="W154:AC154">
    <cfRule type="cellIs" dxfId="1095" priority="145" operator="equal">
      <formula>"M"</formula>
    </cfRule>
    <cfRule type="cellIs" dxfId="1094" priority="146" operator="equal">
      <formula>"G"</formula>
    </cfRule>
    <cfRule type="cellIs" dxfId="1093" priority="147" operator="equal">
      <formula>"V"</formula>
    </cfRule>
  </conditionalFormatting>
  <conditionalFormatting sqref="W3:AG3">
    <cfRule type="cellIs" dxfId="1092" priority="2398" operator="equal">
      <formula>"M"</formula>
    </cfRule>
    <cfRule type="cellIs" dxfId="1091" priority="2399" operator="equal">
      <formula>"G"</formula>
    </cfRule>
    <cfRule type="cellIs" dxfId="1090" priority="2400" operator="equal">
      <formula>"V"</formula>
    </cfRule>
  </conditionalFormatting>
  <conditionalFormatting sqref="X105">
    <cfRule type="cellIs" dxfId="1089" priority="1333" operator="equal">
      <formula>"M"</formula>
    </cfRule>
    <cfRule type="cellIs" dxfId="1088" priority="1334" operator="equal">
      <formula>"G"</formula>
    </cfRule>
    <cfRule type="cellIs" dxfId="1087" priority="1335" operator="equal">
      <formula>"V"</formula>
    </cfRule>
  </conditionalFormatting>
  <conditionalFormatting sqref="X112:Y112">
    <cfRule type="cellIs" dxfId="1086" priority="23608" operator="equal">
      <formula>"M"</formula>
    </cfRule>
    <cfRule type="cellIs" dxfId="1085" priority="23609" operator="equal">
      <formula>"G"</formula>
    </cfRule>
    <cfRule type="cellIs" dxfId="1084" priority="23610" operator="equal">
      <formula>"V"</formula>
    </cfRule>
  </conditionalFormatting>
  <conditionalFormatting sqref="X115:Y119">
    <cfRule type="cellIs" dxfId="1083" priority="787" operator="equal">
      <formula>"M"</formula>
    </cfRule>
    <cfRule type="cellIs" dxfId="1082" priority="788" operator="equal">
      <formula>"G"</formula>
    </cfRule>
    <cfRule type="cellIs" dxfId="1081" priority="789" operator="equal">
      <formula>"V"</formula>
    </cfRule>
  </conditionalFormatting>
  <conditionalFormatting sqref="X136:Y145">
    <cfRule type="cellIs" dxfId="1080" priority="16" operator="equal">
      <formula>"M"</formula>
    </cfRule>
    <cfRule type="cellIs" dxfId="1079" priority="17" operator="equal">
      <formula>"G"</formula>
    </cfRule>
    <cfRule type="cellIs" dxfId="1078" priority="18" operator="equal">
      <formula>"V"</formula>
    </cfRule>
  </conditionalFormatting>
  <conditionalFormatting sqref="X103:AA103">
    <cfRule type="cellIs" dxfId="1077" priority="1444" operator="equal">
      <formula>"M"</formula>
    </cfRule>
    <cfRule type="cellIs" dxfId="1076" priority="1445" operator="equal">
      <formula>"G"</formula>
    </cfRule>
    <cfRule type="cellIs" dxfId="1075" priority="1446" operator="equal">
      <formula>"V"</formula>
    </cfRule>
  </conditionalFormatting>
  <conditionalFormatting sqref="X20:AD24">
    <cfRule type="cellIs" dxfId="1074" priority="2098" operator="equal">
      <formula>"M"</formula>
    </cfRule>
    <cfRule type="cellIs" dxfId="1073" priority="2099" operator="equal">
      <formula>"G"</formula>
    </cfRule>
    <cfRule type="cellIs" dxfId="1072" priority="2100" operator="equal">
      <formula>"V"</formula>
    </cfRule>
  </conditionalFormatting>
  <conditionalFormatting sqref="Y100:Y109">
    <cfRule type="cellIs" dxfId="1071" priority="1330" operator="equal">
      <formula>"M"</formula>
    </cfRule>
    <cfRule type="cellIs" dxfId="1070" priority="1331" operator="equal">
      <formula>"G"</formula>
    </cfRule>
    <cfRule type="cellIs" dxfId="1069" priority="1332" operator="equal">
      <formula>"V"</formula>
    </cfRule>
  </conditionalFormatting>
  <conditionalFormatting sqref="Y124:Y126">
    <cfRule type="cellIs" dxfId="1068" priority="9964" operator="equal">
      <formula>"M"</formula>
    </cfRule>
    <cfRule type="cellIs" dxfId="1067" priority="9965" operator="equal">
      <formula>"G"</formula>
    </cfRule>
    <cfRule type="cellIs" dxfId="1066" priority="9966" operator="equal">
      <formula>"V"</formula>
    </cfRule>
  </conditionalFormatting>
  <conditionalFormatting sqref="Y15:Z18">
    <cfRule type="cellIs" dxfId="1065" priority="2161" operator="equal">
      <formula>"M"</formula>
    </cfRule>
    <cfRule type="cellIs" dxfId="1064" priority="2162" operator="equal">
      <formula>"G"</formula>
    </cfRule>
    <cfRule type="cellIs" dxfId="1063" priority="2163" operator="equal">
      <formula>"V"</formula>
    </cfRule>
  </conditionalFormatting>
  <conditionalFormatting sqref="Y3:AB10">
    <cfRule type="cellIs" dxfId="1062" priority="2386" operator="equal">
      <formula>"M"</formula>
    </cfRule>
    <cfRule type="cellIs" dxfId="1061" priority="2387" operator="equal">
      <formula>"G"</formula>
    </cfRule>
    <cfRule type="cellIs" dxfId="1060" priority="2388" operator="equal">
      <formula>"V"</formula>
    </cfRule>
  </conditionalFormatting>
  <conditionalFormatting sqref="Y133:AC133">
    <cfRule type="cellIs" dxfId="1059" priority="676" operator="equal">
      <formula>"M"</formula>
    </cfRule>
    <cfRule type="cellIs" dxfId="1058" priority="677" operator="equal">
      <formula>"G"</formula>
    </cfRule>
    <cfRule type="cellIs" dxfId="1057" priority="678" operator="equal">
      <formula>"V"</formula>
    </cfRule>
  </conditionalFormatting>
  <conditionalFormatting sqref="Y88:AD95">
    <cfRule type="cellIs" dxfId="1056" priority="1369" operator="equal">
      <formula>"M"</formula>
    </cfRule>
    <cfRule type="cellIs" dxfId="1055" priority="1370" operator="equal">
      <formula>"G"</formula>
    </cfRule>
    <cfRule type="cellIs" dxfId="1054" priority="1371" operator="equal">
      <formula>"V"</formula>
    </cfRule>
  </conditionalFormatting>
  <conditionalFormatting sqref="Y139:AD139">
    <cfRule type="cellIs" dxfId="1053" priority="196" operator="equal">
      <formula>"M"</formula>
    </cfRule>
    <cfRule type="cellIs" dxfId="1052" priority="197" operator="equal">
      <formula>"G"</formula>
    </cfRule>
    <cfRule type="cellIs" dxfId="1051" priority="198" operator="equal">
      <formula>"V"</formula>
    </cfRule>
  </conditionalFormatting>
  <conditionalFormatting sqref="Z124">
    <cfRule type="cellIs" dxfId="1050" priority="23356" operator="equal">
      <formula>"M"</formula>
    </cfRule>
    <cfRule type="cellIs" dxfId="1049" priority="23357" operator="equal">
      <formula>"G"</formula>
    </cfRule>
    <cfRule type="cellIs" dxfId="1048" priority="23358" operator="equal">
      <formula>"V"</formula>
    </cfRule>
  </conditionalFormatting>
  <conditionalFormatting sqref="Z132:Z133">
    <cfRule type="cellIs" dxfId="1047" priority="370" operator="equal">
      <formula>"M"</formula>
    </cfRule>
    <cfRule type="cellIs" dxfId="1046" priority="371" operator="equal">
      <formula>"G"</formula>
    </cfRule>
    <cfRule type="cellIs" dxfId="1045" priority="372" operator="equal">
      <formula>"V"</formula>
    </cfRule>
  </conditionalFormatting>
  <conditionalFormatting sqref="Z140:Z141">
    <cfRule type="cellIs" dxfId="1044" priority="463" operator="equal">
      <formula>"M"</formula>
    </cfRule>
    <cfRule type="cellIs" dxfId="1043" priority="464" operator="equal">
      <formula>"G"</formula>
    </cfRule>
    <cfRule type="cellIs" dxfId="1042" priority="465" operator="equal">
      <formula>"V"</formula>
    </cfRule>
  </conditionalFormatting>
  <conditionalFormatting sqref="Z100:AA100">
    <cfRule type="cellIs" dxfId="1041" priority="23836" operator="equal">
      <formula>"M"</formula>
    </cfRule>
    <cfRule type="cellIs" dxfId="1040" priority="23837" operator="equal">
      <formula>"G"</formula>
    </cfRule>
    <cfRule type="cellIs" dxfId="1039" priority="23838" operator="equal">
      <formula>"V"</formula>
    </cfRule>
  </conditionalFormatting>
  <conditionalFormatting sqref="Z105:AA105">
    <cfRule type="cellIs" dxfId="1038" priority="1324" operator="equal">
      <formula>"M"</formula>
    </cfRule>
    <cfRule type="cellIs" dxfId="1037" priority="1325" operator="equal">
      <formula>"G"</formula>
    </cfRule>
    <cfRule type="cellIs" dxfId="1036" priority="1326" operator="equal">
      <formula>"V"</formula>
    </cfRule>
  </conditionalFormatting>
  <conditionalFormatting sqref="Z112:AA119">
    <cfRule type="cellIs" dxfId="1035" priority="964" operator="equal">
      <formula>"M"</formula>
    </cfRule>
    <cfRule type="cellIs" dxfId="1034" priority="965" operator="equal">
      <formula>"G"</formula>
    </cfRule>
    <cfRule type="cellIs" dxfId="1033" priority="966" operator="equal">
      <formula>"V"</formula>
    </cfRule>
  </conditionalFormatting>
  <conditionalFormatting sqref="Z145:AA145">
    <cfRule type="cellIs" dxfId="1032" priority="730" operator="equal">
      <formula>"M"</formula>
    </cfRule>
    <cfRule type="cellIs" dxfId="1031" priority="731" operator="equal">
      <formula>"G"</formula>
    </cfRule>
    <cfRule type="cellIs" dxfId="1030" priority="732" operator="equal">
      <formula>"V"</formula>
    </cfRule>
  </conditionalFormatting>
  <conditionalFormatting sqref="Z108:AC108">
    <cfRule type="cellIs" dxfId="1029" priority="1408" operator="equal">
      <formula>"M"</formula>
    </cfRule>
    <cfRule type="cellIs" dxfId="1028" priority="1409" operator="equal">
      <formula>"G"</formula>
    </cfRule>
    <cfRule type="cellIs" dxfId="1027" priority="1410" operator="equal">
      <formula>"V"</formula>
    </cfRule>
  </conditionalFormatting>
  <conditionalFormatting sqref="Z136:AC136">
    <cfRule type="cellIs" dxfId="1026" priority="23074" operator="equal">
      <formula>"M"</formula>
    </cfRule>
    <cfRule type="cellIs" dxfId="1025" priority="23075" operator="equal">
      <formula>"G"</formula>
    </cfRule>
    <cfRule type="cellIs" dxfId="1024" priority="23076" operator="equal">
      <formula>"V"</formula>
    </cfRule>
  </conditionalFormatting>
  <conditionalFormatting sqref="AA16:AA18">
    <cfRule type="cellIs" dxfId="1023" priority="2167" operator="equal">
      <formula>"M"</formula>
    </cfRule>
    <cfRule type="cellIs" dxfId="1022" priority="2168" operator="equal">
      <formula>"G"</formula>
    </cfRule>
    <cfRule type="cellIs" dxfId="1021" priority="2169" operator="equal">
      <formula>"V"</formula>
    </cfRule>
  </conditionalFormatting>
  <conditionalFormatting sqref="AA124:AA127">
    <cfRule type="cellIs" dxfId="1020" priority="9961" operator="equal">
      <formula>"M"</formula>
    </cfRule>
    <cfRule type="cellIs" dxfId="1019" priority="9962" operator="equal">
      <formula>"G"</formula>
    </cfRule>
    <cfRule type="cellIs" dxfId="1018" priority="9963" operator="equal">
      <formula>"V"</formula>
    </cfRule>
  </conditionalFormatting>
  <conditionalFormatting sqref="AA129:AA133">
    <cfRule type="cellIs" dxfId="1017" priority="838" operator="equal">
      <formula>"M"</formula>
    </cfRule>
    <cfRule type="cellIs" dxfId="1016" priority="839" operator="equal">
      <formula>"G"</formula>
    </cfRule>
    <cfRule type="cellIs" dxfId="1015" priority="840" operator="equal">
      <formula>"V"</formula>
    </cfRule>
  </conditionalFormatting>
  <conditionalFormatting sqref="AA148:AA153">
    <cfRule type="cellIs" dxfId="1014" priority="97" operator="equal">
      <formula>"M"</formula>
    </cfRule>
    <cfRule type="cellIs" dxfId="1013" priority="98" operator="equal">
      <formula>"G"</formula>
    </cfRule>
    <cfRule type="cellIs" dxfId="1012" priority="99" operator="equal">
      <formula>"V"</formula>
    </cfRule>
  </conditionalFormatting>
  <conditionalFormatting sqref="AA28:AB34">
    <cfRule type="cellIs" dxfId="1011" priority="5356" operator="equal">
      <formula>"M"</formula>
    </cfRule>
    <cfRule type="cellIs" dxfId="1010" priority="5357" operator="equal">
      <formula>"G"</formula>
    </cfRule>
    <cfRule type="cellIs" dxfId="1009" priority="5358" operator="equal">
      <formula>"V"</formula>
    </cfRule>
  </conditionalFormatting>
  <conditionalFormatting sqref="AA129:AC129">
    <cfRule type="cellIs" dxfId="1008" priority="847" operator="equal">
      <formula>"M"</formula>
    </cfRule>
    <cfRule type="cellIs" dxfId="1007" priority="848" operator="equal">
      <formula>"G"</formula>
    </cfRule>
    <cfRule type="cellIs" dxfId="1006" priority="849" operator="equal">
      <formula>"V"</formula>
    </cfRule>
  </conditionalFormatting>
  <conditionalFormatting sqref="AA15:AD15">
    <cfRule type="cellIs" dxfId="1005" priority="3586" operator="equal">
      <formula>"M"</formula>
    </cfRule>
    <cfRule type="cellIs" dxfId="1004" priority="3587" operator="equal">
      <formula>"G"</formula>
    </cfRule>
    <cfRule type="cellIs" dxfId="1003" priority="3588" operator="equal">
      <formula>"V"</formula>
    </cfRule>
  </conditionalFormatting>
  <conditionalFormatting sqref="AA53:AE55 M54:N55 V54:X55 T56:X59">
    <cfRule type="cellIs" dxfId="1002" priority="4525" operator="equal">
      <formula>"M"</formula>
    </cfRule>
    <cfRule type="cellIs" dxfId="1001" priority="4526" operator="equal">
      <formula>"G"</formula>
    </cfRule>
    <cfRule type="cellIs" dxfId="1000" priority="4527" operator="equal">
      <formula>"V"</formula>
    </cfRule>
  </conditionalFormatting>
  <conditionalFormatting sqref="AA57:AE59">
    <cfRule type="cellIs" dxfId="999" priority="2953" operator="equal">
      <formula>"M"</formula>
    </cfRule>
    <cfRule type="cellIs" dxfId="998" priority="2954" operator="equal">
      <formula>"G"</formula>
    </cfRule>
    <cfRule type="cellIs" dxfId="997" priority="2955" operator="equal">
      <formula>"V"</formula>
    </cfRule>
  </conditionalFormatting>
  <conditionalFormatting sqref="AA64:AF73">
    <cfRule type="cellIs" dxfId="996" priority="1300" operator="equal">
      <formula>"M"</formula>
    </cfRule>
    <cfRule type="cellIs" dxfId="995" priority="1301" operator="equal">
      <formula>"G"</formula>
    </cfRule>
    <cfRule type="cellIs" dxfId="994" priority="1302" operator="equal">
      <formula>"V"</formula>
    </cfRule>
  </conditionalFormatting>
  <conditionalFormatting sqref="AA128:AF128">
    <cfRule type="cellIs" dxfId="993" priority="850" operator="equal">
      <formula>"M"</formula>
    </cfRule>
    <cfRule type="cellIs" dxfId="992" priority="851" operator="equal">
      <formula>"G"</formula>
    </cfRule>
    <cfRule type="cellIs" dxfId="991" priority="852" operator="equal">
      <formula>"V"</formula>
    </cfRule>
  </conditionalFormatting>
  <conditionalFormatting sqref="AA35:AG36">
    <cfRule type="cellIs" dxfId="990" priority="2221" operator="equal">
      <formula>"M"</formula>
    </cfRule>
    <cfRule type="cellIs" dxfId="989" priority="2222" operator="equal">
      <formula>"G"</formula>
    </cfRule>
    <cfRule type="cellIs" dxfId="988" priority="2223" operator="equal">
      <formula>"V"</formula>
    </cfRule>
  </conditionalFormatting>
  <conditionalFormatting sqref="AA56:AG56">
    <cfRule type="cellIs" dxfId="987" priority="1975" operator="equal">
      <formula>"M"</formula>
    </cfRule>
    <cfRule type="cellIs" dxfId="986" priority="1976" operator="equal">
      <formula>"G"</formula>
    </cfRule>
    <cfRule type="cellIs" dxfId="985" priority="1977" operator="equal">
      <formula>"V"</formula>
    </cfRule>
  </conditionalFormatting>
  <conditionalFormatting sqref="AB52:AB59">
    <cfRule type="cellIs" dxfId="984" priority="4552" operator="equal">
      <formula>"M"</formula>
    </cfRule>
    <cfRule type="cellIs" dxfId="983" priority="4553" operator="equal">
      <formula>"G"</formula>
    </cfRule>
    <cfRule type="cellIs" dxfId="982" priority="4554" operator="equal">
      <formula>"V"</formula>
    </cfRule>
  </conditionalFormatting>
  <conditionalFormatting sqref="AB112">
    <cfRule type="cellIs" dxfId="981" priority="23563" operator="equal">
      <formula>"M"</formula>
    </cfRule>
    <cfRule type="cellIs" dxfId="980" priority="23564" operator="equal">
      <formula>"G"</formula>
    </cfRule>
    <cfRule type="cellIs" dxfId="979" priority="23565" operator="equal">
      <formula>"V"</formula>
    </cfRule>
  </conditionalFormatting>
  <conditionalFormatting sqref="AB115:AB117">
    <cfRule type="cellIs" dxfId="978" priority="706" operator="equal">
      <formula>"M"</formula>
    </cfRule>
    <cfRule type="cellIs" dxfId="977" priority="707" operator="equal">
      <formula>"G"</formula>
    </cfRule>
    <cfRule type="cellIs" dxfId="976" priority="708" operator="equal">
      <formula>"V"</formula>
    </cfRule>
  </conditionalFormatting>
  <conditionalFormatting sqref="AB100:AC107 W109:AH109">
    <cfRule type="cellIs" dxfId="975" priority="3124" operator="equal">
      <formula>"M"</formula>
    </cfRule>
    <cfRule type="cellIs" dxfId="974" priority="3125" operator="equal">
      <formula>"G"</formula>
    </cfRule>
    <cfRule type="cellIs" dxfId="973" priority="3126" operator="equal">
      <formula>"V"</formula>
    </cfRule>
  </conditionalFormatting>
  <conditionalFormatting sqref="AB113:AC119">
    <cfRule type="cellIs" dxfId="972" priority="712" operator="equal">
      <formula>"M"</formula>
    </cfRule>
    <cfRule type="cellIs" dxfId="971" priority="713" operator="equal">
      <formula>"G"</formula>
    </cfRule>
    <cfRule type="cellIs" dxfId="970" priority="714" operator="equal">
      <formula>"V"</formula>
    </cfRule>
  </conditionalFormatting>
  <conditionalFormatting sqref="AB124:AC125">
    <cfRule type="cellIs" dxfId="969" priority="17917" operator="equal">
      <formula>"M"</formula>
    </cfRule>
    <cfRule type="cellIs" dxfId="968" priority="17918" operator="equal">
      <formula>"G"</formula>
    </cfRule>
    <cfRule type="cellIs" dxfId="967" priority="17919" operator="equal">
      <formula>"V"</formula>
    </cfRule>
  </conditionalFormatting>
  <conditionalFormatting sqref="AB129:AC130">
    <cfRule type="cellIs" dxfId="966" priority="841" operator="equal">
      <formula>"M"</formula>
    </cfRule>
    <cfRule type="cellIs" dxfId="965" priority="842" operator="equal">
      <formula>"G"</formula>
    </cfRule>
    <cfRule type="cellIs" dxfId="964" priority="843" operator="equal">
      <formula>"V"</formula>
    </cfRule>
  </conditionalFormatting>
  <conditionalFormatting sqref="AB18:AE18">
    <cfRule type="cellIs" dxfId="963" priority="2152" operator="equal">
      <formula>"M"</formula>
    </cfRule>
    <cfRule type="cellIs" dxfId="962" priority="2153" operator="equal">
      <formula>"G"</formula>
    </cfRule>
    <cfRule type="cellIs" dxfId="961" priority="2154" operator="equal">
      <formula>"V"</formula>
    </cfRule>
  </conditionalFormatting>
  <conditionalFormatting sqref="AB148:AE156">
    <cfRule type="cellIs" dxfId="960" priority="91" operator="equal">
      <formula>"M"</formula>
    </cfRule>
    <cfRule type="cellIs" dxfId="959" priority="92" operator="equal">
      <formula>"G"</formula>
    </cfRule>
    <cfRule type="cellIs" dxfId="958" priority="93" operator="equal">
      <formula>"V"</formula>
    </cfRule>
  </conditionalFormatting>
  <conditionalFormatting sqref="AB113:AG114">
    <cfRule type="cellIs" dxfId="957" priority="3097" operator="equal">
      <formula>"M"</formula>
    </cfRule>
    <cfRule type="cellIs" dxfId="956" priority="3098" operator="equal">
      <formula>"G"</formula>
    </cfRule>
    <cfRule type="cellIs" dxfId="955" priority="3099" operator="equal">
      <formula>"V"</formula>
    </cfRule>
  </conditionalFormatting>
  <conditionalFormatting sqref="AC3:AC4">
    <cfRule type="cellIs" dxfId="954" priority="2461" operator="equal">
      <formula>"M"</formula>
    </cfRule>
    <cfRule type="cellIs" dxfId="953" priority="2462" operator="equal">
      <formula>"G"</formula>
    </cfRule>
    <cfRule type="cellIs" dxfId="952" priority="2463" operator="equal">
      <formula>"V"</formula>
    </cfRule>
  </conditionalFormatting>
  <conditionalFormatting sqref="AC52:AC55 AC57:AC61">
    <cfRule type="cellIs" dxfId="951" priority="4465" operator="equal">
      <formula>"M"</formula>
    </cfRule>
    <cfRule type="cellIs" dxfId="950" priority="4466" operator="equal">
      <formula>"G"</formula>
    </cfRule>
    <cfRule type="cellIs" dxfId="949" priority="4467" operator="equal">
      <formula>"V"</formula>
    </cfRule>
  </conditionalFormatting>
  <conditionalFormatting sqref="AC112:AC117">
    <cfRule type="cellIs" dxfId="948" priority="709" operator="equal">
      <formula>"M"</formula>
    </cfRule>
    <cfRule type="cellIs" dxfId="947" priority="710" operator="equal">
      <formula>"G"</formula>
    </cfRule>
    <cfRule type="cellIs" dxfId="946" priority="711" operator="equal">
      <formula>"V"</formula>
    </cfRule>
  </conditionalFormatting>
  <conditionalFormatting sqref="AC77:AD81">
    <cfRule type="cellIs" dxfId="945" priority="1558" operator="equal">
      <formula>"M"</formula>
    </cfRule>
    <cfRule type="cellIs" dxfId="944" priority="1559" operator="equal">
      <formula>"G"</formula>
    </cfRule>
    <cfRule type="cellIs" dxfId="943" priority="1560" operator="equal">
      <formula>"V"</formula>
    </cfRule>
  </conditionalFormatting>
  <conditionalFormatting sqref="AC39:AF39">
    <cfRule type="cellIs" dxfId="942" priority="3292" operator="equal">
      <formula>"M"</formula>
    </cfRule>
    <cfRule type="cellIs" dxfId="941" priority="3293" operator="equal">
      <formula>"G"</formula>
    </cfRule>
    <cfRule type="cellIs" dxfId="940" priority="3294" operator="equal">
      <formula>"V"</formula>
    </cfRule>
  </conditionalFormatting>
  <conditionalFormatting sqref="AC7:AG7">
    <cfRule type="cellIs" dxfId="939" priority="2251" operator="equal">
      <formula>"M"</formula>
    </cfRule>
    <cfRule type="cellIs" dxfId="938" priority="2252" operator="equal">
      <formula>"G"</formula>
    </cfRule>
    <cfRule type="cellIs" dxfId="937" priority="2253" operator="equal">
      <formula>"V"</formula>
    </cfRule>
  </conditionalFormatting>
  <conditionalFormatting sqref="AC27:AG34">
    <cfRule type="cellIs" dxfId="936" priority="2986" operator="equal">
      <formula>"M"</formula>
    </cfRule>
    <cfRule type="cellIs" dxfId="935" priority="2987" operator="equal">
      <formula>"G"</formula>
    </cfRule>
    <cfRule type="cellIs" dxfId="934" priority="2988" operator="equal">
      <formula>"V"</formula>
    </cfRule>
  </conditionalFormatting>
  <conditionalFormatting sqref="AC82:AG85">
    <cfRule type="cellIs" dxfId="933" priority="1405" operator="equal">
      <formula>"M"</formula>
    </cfRule>
    <cfRule type="cellIs" dxfId="932" priority="1406" operator="equal">
      <formula>"G"</formula>
    </cfRule>
    <cfRule type="cellIs" dxfId="931" priority="1407" operator="equal">
      <formula>"V"</formula>
    </cfRule>
  </conditionalFormatting>
  <conditionalFormatting sqref="AC40:AH48">
    <cfRule type="cellIs" dxfId="930" priority="2005" operator="equal">
      <formula>"M"</formula>
    </cfRule>
    <cfRule type="cellIs" dxfId="929" priority="2006" operator="equal">
      <formula>"G"</formula>
    </cfRule>
    <cfRule type="cellIs" dxfId="928" priority="2007" operator="equal">
      <formula>"V"</formula>
    </cfRule>
  </conditionalFormatting>
  <conditionalFormatting sqref="AD100:AD109">
    <cfRule type="cellIs" dxfId="927" priority="1411" operator="equal">
      <formula>"M"</formula>
    </cfRule>
    <cfRule type="cellIs" dxfId="926" priority="1412" operator="equal">
      <formula>"G"</formula>
    </cfRule>
    <cfRule type="cellIs" dxfId="925" priority="1413" operator="equal">
      <formula>"V"</formula>
    </cfRule>
  </conditionalFormatting>
  <conditionalFormatting sqref="AD112:AD114">
    <cfRule type="cellIs" dxfId="924" priority="10009" operator="equal">
      <formula>"M"</formula>
    </cfRule>
    <cfRule type="cellIs" dxfId="923" priority="10010" operator="equal">
      <formula>"G"</formula>
    </cfRule>
    <cfRule type="cellIs" dxfId="922" priority="10011" operator="equal">
      <formula>"V"</formula>
    </cfRule>
  </conditionalFormatting>
  <conditionalFormatting sqref="AD116:AD121">
    <cfRule type="cellIs" dxfId="921" priority="691" operator="equal">
      <formula>"M"</formula>
    </cfRule>
    <cfRule type="cellIs" dxfId="920" priority="692" operator="equal">
      <formula>"G"</formula>
    </cfRule>
    <cfRule type="cellIs" dxfId="919" priority="693" operator="equal">
      <formula>"V"</formula>
    </cfRule>
  </conditionalFormatting>
  <conditionalFormatting sqref="AD136:AD138">
    <cfRule type="cellIs" dxfId="918" priority="3757" operator="equal">
      <formula>"M"</formula>
    </cfRule>
    <cfRule type="cellIs" dxfId="917" priority="3758" operator="equal">
      <formula>"G"</formula>
    </cfRule>
    <cfRule type="cellIs" dxfId="916" priority="3759" operator="equal">
      <formula>"V"</formula>
    </cfRule>
  </conditionalFormatting>
  <conditionalFormatting sqref="AD52:AE52">
    <cfRule type="cellIs" dxfId="915" priority="11296" operator="equal">
      <formula>"M"</formula>
    </cfRule>
    <cfRule type="cellIs" dxfId="914" priority="11297" operator="equal">
      <formula>"G"</formula>
    </cfRule>
    <cfRule type="cellIs" dxfId="913" priority="11298" operator="equal">
      <formula>"V"</formula>
    </cfRule>
  </conditionalFormatting>
  <conditionalFormatting sqref="AD58:AE61">
    <cfRule type="cellIs" dxfId="912" priority="4528" operator="equal">
      <formula>"M"</formula>
    </cfRule>
    <cfRule type="cellIs" dxfId="911" priority="4529" operator="equal">
      <formula>"G"</formula>
    </cfRule>
    <cfRule type="cellIs" dxfId="910" priority="4530" operator="equal">
      <formula>"V"</formula>
    </cfRule>
  </conditionalFormatting>
  <conditionalFormatting sqref="AD140:AE144">
    <cfRule type="cellIs" dxfId="909" priority="334" operator="equal">
      <formula>"M"</formula>
    </cfRule>
    <cfRule type="cellIs" dxfId="908" priority="335" operator="equal">
      <formula>"G"</formula>
    </cfRule>
    <cfRule type="cellIs" dxfId="907" priority="336" operator="equal">
      <formula>"V"</formula>
    </cfRule>
  </conditionalFormatting>
  <conditionalFormatting sqref="AD148:AE148">
    <cfRule type="cellIs" dxfId="906" priority="6814" operator="equal">
      <formula>"M"</formula>
    </cfRule>
    <cfRule type="cellIs" dxfId="905" priority="6815" operator="equal">
      <formula>"G"</formula>
    </cfRule>
    <cfRule type="cellIs" dxfId="904" priority="6816" operator="equal">
      <formula>"V"</formula>
    </cfRule>
  </conditionalFormatting>
  <conditionalFormatting sqref="AD101:AF103 P103:Q103 W104:AA104 AD104:AE104 AD105:AF107 W106:AA107 C108 W108:X108">
    <cfRule type="cellIs" dxfId="903" priority="3952" operator="equal">
      <formula>"M"</formula>
    </cfRule>
    <cfRule type="cellIs" dxfId="902" priority="3953" operator="equal">
      <formula>"G"</formula>
    </cfRule>
    <cfRule type="cellIs" dxfId="901" priority="3954" operator="equal">
      <formula>"V"</formula>
    </cfRule>
  </conditionalFormatting>
  <conditionalFormatting sqref="AD117:AF120">
    <cfRule type="cellIs" dxfId="900" priority="928" operator="equal">
      <formula>"M"</formula>
    </cfRule>
    <cfRule type="cellIs" dxfId="899" priority="929" operator="equal">
      <formula>"G"</formula>
    </cfRule>
    <cfRule type="cellIs" dxfId="898" priority="930" operator="equal">
      <formula>"V"</formula>
    </cfRule>
  </conditionalFormatting>
  <conditionalFormatting sqref="AD124:AF127">
    <cfRule type="cellIs" dxfId="897" priority="3076" operator="equal">
      <formula>"M"</formula>
    </cfRule>
    <cfRule type="cellIs" dxfId="896" priority="3077" operator="equal">
      <formula>"G"</formula>
    </cfRule>
    <cfRule type="cellIs" dxfId="895" priority="3078" operator="equal">
      <formula>"V"</formula>
    </cfRule>
  </conditionalFormatting>
  <conditionalFormatting sqref="AD129:AF133">
    <cfRule type="cellIs" dxfId="894" priority="835" operator="equal">
      <formula>"M"</formula>
    </cfRule>
    <cfRule type="cellIs" dxfId="893" priority="836" operator="equal">
      <formula>"G"</formula>
    </cfRule>
    <cfRule type="cellIs" dxfId="892" priority="837" operator="equal">
      <formula>"V"</formula>
    </cfRule>
  </conditionalFormatting>
  <conditionalFormatting sqref="AD115:AG115">
    <cfRule type="cellIs" dxfId="891" priority="916" operator="equal">
      <formula>"M"</formula>
    </cfRule>
    <cfRule type="cellIs" dxfId="890" priority="917" operator="equal">
      <formula>"G"</formula>
    </cfRule>
    <cfRule type="cellIs" dxfId="889" priority="918" operator="equal">
      <formula>"V"</formula>
    </cfRule>
  </conditionalFormatting>
  <conditionalFormatting sqref="AD143:AG145">
    <cfRule type="cellIs" dxfId="888" priority="271" operator="equal">
      <formula>"M"</formula>
    </cfRule>
    <cfRule type="cellIs" dxfId="887" priority="272" operator="equal">
      <formula>"G"</formula>
    </cfRule>
    <cfRule type="cellIs" dxfId="886" priority="273" operator="equal">
      <formula>"V"</formula>
    </cfRule>
  </conditionalFormatting>
  <conditionalFormatting sqref="AE15:AE17">
    <cfRule type="cellIs" dxfId="885" priority="3577" operator="equal">
      <formula>"M"</formula>
    </cfRule>
    <cfRule type="cellIs" dxfId="884" priority="3578" operator="equal">
      <formula>"G"</formula>
    </cfRule>
    <cfRule type="cellIs" dxfId="883" priority="3579" operator="equal">
      <formula>"V"</formula>
    </cfRule>
  </conditionalFormatting>
  <conditionalFormatting sqref="AE19:AE24">
    <cfRule type="cellIs" dxfId="882" priority="2146" operator="equal">
      <formula>"M"</formula>
    </cfRule>
    <cfRule type="cellIs" dxfId="881" priority="2147" operator="equal">
      <formula>"G"</formula>
    </cfRule>
    <cfRule type="cellIs" dxfId="880" priority="2148" operator="equal">
      <formula>"V"</formula>
    </cfRule>
  </conditionalFormatting>
  <conditionalFormatting sqref="AE88:AE97">
    <cfRule type="cellIs" dxfId="879" priority="3160" operator="equal">
      <formula>"M"</formula>
    </cfRule>
    <cfRule type="cellIs" dxfId="878" priority="3161" operator="equal">
      <formula>"G"</formula>
    </cfRule>
    <cfRule type="cellIs" dxfId="877" priority="3162" operator="equal">
      <formula>"V"</formula>
    </cfRule>
  </conditionalFormatting>
  <conditionalFormatting sqref="AE108">
    <cfRule type="cellIs" dxfId="876" priority="1423" operator="equal">
      <formula>"M"</formula>
    </cfRule>
    <cfRule type="cellIs" dxfId="875" priority="1424" operator="equal">
      <formula>"G"</formula>
    </cfRule>
    <cfRule type="cellIs" dxfId="874" priority="1425" operator="equal">
      <formula>"V"</formula>
    </cfRule>
  </conditionalFormatting>
  <conditionalFormatting sqref="AE136:AE139">
    <cfRule type="cellIs" dxfId="873" priority="208" operator="equal">
      <formula>"M"</formula>
    </cfRule>
    <cfRule type="cellIs" dxfId="872" priority="209" operator="equal">
      <formula>"G"</formula>
    </cfRule>
    <cfRule type="cellIs" dxfId="871" priority="210" operator="equal">
      <formula>"V"</formula>
    </cfRule>
  </conditionalFormatting>
  <conditionalFormatting sqref="AE100:AF100">
    <cfRule type="cellIs" dxfId="870" priority="3151" operator="equal">
      <formula>"M"</formula>
    </cfRule>
    <cfRule type="cellIs" dxfId="869" priority="3152" operator="equal">
      <formula>"G"</formula>
    </cfRule>
    <cfRule type="cellIs" dxfId="868" priority="3153" operator="equal">
      <formula>"V"</formula>
    </cfRule>
  </conditionalFormatting>
  <conditionalFormatting sqref="AE116:AF116">
    <cfRule type="cellIs" dxfId="867" priority="757" operator="equal">
      <formula>"M"</formula>
    </cfRule>
    <cfRule type="cellIs" dxfId="866" priority="758" operator="equal">
      <formula>"G"</formula>
    </cfRule>
    <cfRule type="cellIs" dxfId="865" priority="759" operator="equal">
      <formula>"V"</formula>
    </cfRule>
  </conditionalFormatting>
  <conditionalFormatting sqref="AE76:AG81">
    <cfRule type="cellIs" dxfId="864" priority="1750" operator="equal">
      <formula>"M"</formula>
    </cfRule>
    <cfRule type="cellIs" dxfId="863" priority="1751" operator="equal">
      <formula>"G"</formula>
    </cfRule>
    <cfRule type="cellIs" dxfId="862" priority="1752" operator="equal">
      <formula>"V"</formula>
    </cfRule>
  </conditionalFormatting>
  <conditionalFormatting sqref="AE112:AG112">
    <cfRule type="cellIs" dxfId="861" priority="3148" operator="equal">
      <formula>"M"</formula>
    </cfRule>
    <cfRule type="cellIs" dxfId="860" priority="3149" operator="equal">
      <formula>"G"</formula>
    </cfRule>
    <cfRule type="cellIs" dxfId="859" priority="3150" operator="equal">
      <formula>"V"</formula>
    </cfRule>
  </conditionalFormatting>
  <conditionalFormatting sqref="AF101:AF109">
    <cfRule type="cellIs" dxfId="858" priority="1186" operator="equal">
      <formula>"M"</formula>
    </cfRule>
    <cfRule type="cellIs" dxfId="857" priority="1187" operator="equal">
      <formula>"G"</formula>
    </cfRule>
    <cfRule type="cellIs" dxfId="856" priority="1188" operator="equal">
      <formula>"V"</formula>
    </cfRule>
  </conditionalFormatting>
  <conditionalFormatting sqref="AF52:AG55 AF57:AG61">
    <cfRule type="cellIs" dxfId="855" priority="3250" operator="equal">
      <formula>"M"</formula>
    </cfRule>
    <cfRule type="cellIs" dxfId="854" priority="3251" operator="equal">
      <formula>"G"</formula>
    </cfRule>
    <cfRule type="cellIs" dxfId="853" priority="3252" operator="equal">
      <formula>"V"</formula>
    </cfRule>
  </conditionalFormatting>
  <conditionalFormatting sqref="AF88:AG88">
    <cfRule type="cellIs" dxfId="852" priority="3178" operator="equal">
      <formula>"M"</formula>
    </cfRule>
    <cfRule type="cellIs" dxfId="851" priority="3179" operator="equal">
      <formula>"G"</formula>
    </cfRule>
    <cfRule type="cellIs" dxfId="850" priority="3180" operator="equal">
      <formula>"V"</formula>
    </cfRule>
  </conditionalFormatting>
  <conditionalFormatting sqref="AF136:AG145">
    <cfRule type="cellIs" dxfId="849" priority="274" operator="equal">
      <formula>"M"</formula>
    </cfRule>
    <cfRule type="cellIs" dxfId="848" priority="275" operator="equal">
      <formula>"G"</formula>
    </cfRule>
    <cfRule type="cellIs" dxfId="847" priority="276" operator="equal">
      <formula>"V"</formula>
    </cfRule>
  </conditionalFormatting>
  <conditionalFormatting sqref="AF148:AG157">
    <cfRule type="cellIs" dxfId="846" priority="112" operator="equal">
      <formula>"M"</formula>
    </cfRule>
    <cfRule type="cellIs" dxfId="845" priority="113" operator="equal">
      <formula>"G"</formula>
    </cfRule>
    <cfRule type="cellIs" dxfId="844" priority="114" operator="equal">
      <formula>"V"</formula>
    </cfRule>
  </conditionalFormatting>
  <conditionalFormatting sqref="AF16:AH24">
    <cfRule type="cellIs" dxfId="843" priority="7993" operator="equal">
      <formula>"M"</formula>
    </cfRule>
    <cfRule type="cellIs" dxfId="842" priority="7994" operator="equal">
      <formula>"G"</formula>
    </cfRule>
    <cfRule type="cellIs" dxfId="841" priority="7995" operator="equal">
      <formula>"V"</formula>
    </cfRule>
  </conditionalFormatting>
  <conditionalFormatting sqref="AF89:AH97">
    <cfRule type="cellIs" dxfId="840" priority="1201" operator="equal">
      <formula>"M"</formula>
    </cfRule>
    <cfRule type="cellIs" dxfId="839" priority="1202" operator="equal">
      <formula>"G"</formula>
    </cfRule>
    <cfRule type="cellIs" dxfId="838" priority="1203" operator="equal">
      <formula>"V"</formula>
    </cfRule>
  </conditionalFormatting>
  <conditionalFormatting sqref="AG3:AG6">
    <cfRule type="cellIs" dxfId="837" priority="2410" operator="equal">
      <formula>"M"</formula>
    </cfRule>
    <cfRule type="cellIs" dxfId="836" priority="2411" operator="equal">
      <formula>"G"</formula>
    </cfRule>
    <cfRule type="cellIs" dxfId="835" priority="2412" operator="equal">
      <formula>"V"</formula>
    </cfRule>
  </conditionalFormatting>
  <conditionalFormatting sqref="AG8:AG12">
    <cfRule type="cellIs" dxfId="834" priority="2254" operator="equal">
      <formula>"M"</formula>
    </cfRule>
    <cfRule type="cellIs" dxfId="833" priority="2255" operator="equal">
      <formula>"G"</formula>
    </cfRule>
    <cfRule type="cellIs" dxfId="832" priority="2256" operator="equal">
      <formula>"V"</formula>
    </cfRule>
  </conditionalFormatting>
  <conditionalFormatting sqref="AG116:AG121">
    <cfRule type="cellIs" dxfId="831" priority="922" operator="equal">
      <formula>"M"</formula>
    </cfRule>
    <cfRule type="cellIs" dxfId="830" priority="923" operator="equal">
      <formula>"G"</formula>
    </cfRule>
    <cfRule type="cellIs" dxfId="829" priority="924" operator="equal">
      <formula>"V"</formula>
    </cfRule>
  </conditionalFormatting>
  <conditionalFormatting sqref="AG65:AH73">
    <cfRule type="cellIs" dxfId="828" priority="8146" operator="equal">
      <formula>"M"</formula>
    </cfRule>
    <cfRule type="cellIs" dxfId="827" priority="8147" operator="equal">
      <formula>"G"</formula>
    </cfRule>
    <cfRule type="cellIs" dxfId="826" priority="8148" operator="equal">
      <formula>"V"</formula>
    </cfRule>
  </conditionalFormatting>
  <conditionalFormatting sqref="AG101:AH108">
    <cfRule type="cellIs" dxfId="825" priority="7978" operator="equal">
      <formula>"M"</formula>
    </cfRule>
    <cfRule type="cellIs" dxfId="824" priority="7979" operator="equal">
      <formula>"G"</formula>
    </cfRule>
    <cfRule type="cellIs" dxfId="823" priority="7980" operator="equal">
      <formula>"V"</formula>
    </cfRule>
  </conditionalFormatting>
  <conditionalFormatting sqref="AG126:AH133">
    <cfRule type="cellIs" dxfId="822" priority="856" operator="equal">
      <formula>"M"</formula>
    </cfRule>
    <cfRule type="cellIs" dxfId="821" priority="857" operator="equal">
      <formula>"G"</formula>
    </cfRule>
    <cfRule type="cellIs" dxfId="820" priority="858" operator="equal">
      <formula>"V"</formula>
    </cfRule>
  </conditionalFormatting>
  <conditionalFormatting sqref="AH4:AH12">
    <cfRule type="cellIs" dxfId="819" priority="2551" operator="equal">
      <formula>"M"</formula>
    </cfRule>
    <cfRule type="cellIs" dxfId="818" priority="2552" operator="equal">
      <formula>"G"</formula>
    </cfRule>
    <cfRule type="cellIs" dxfId="817" priority="2553" operator="equal">
      <formula>"V"</formula>
    </cfRule>
  </conditionalFormatting>
  <conditionalFormatting sqref="AH28:AH36">
    <cfRule type="cellIs" dxfId="816" priority="8008" operator="equal">
      <formula>"M"</formula>
    </cfRule>
    <cfRule type="cellIs" dxfId="815" priority="8009" operator="equal">
      <formula>"G"</formula>
    </cfRule>
    <cfRule type="cellIs" dxfId="814" priority="8010" operator="equal">
      <formula>"V"</formula>
    </cfRule>
  </conditionalFormatting>
  <conditionalFormatting sqref="AH53:AH61">
    <cfRule type="cellIs" dxfId="813" priority="8014" operator="equal">
      <formula>"M"</formula>
    </cfRule>
    <cfRule type="cellIs" dxfId="812" priority="8015" operator="equal">
      <formula>"G"</formula>
    </cfRule>
    <cfRule type="cellIs" dxfId="811" priority="8016" operator="equal">
      <formula>"V"</formula>
    </cfRule>
  </conditionalFormatting>
  <conditionalFormatting sqref="AH77:AH85">
    <cfRule type="cellIs" dxfId="810" priority="7984" operator="equal">
      <formula>"M"</formula>
    </cfRule>
    <cfRule type="cellIs" dxfId="809" priority="7985" operator="equal">
      <formula>"G"</formula>
    </cfRule>
    <cfRule type="cellIs" dxfId="808" priority="7986" operator="equal">
      <formula>"V"</formula>
    </cfRule>
  </conditionalFormatting>
  <conditionalFormatting sqref="AH113:AH121">
    <cfRule type="cellIs" dxfId="807" priority="7969" operator="equal">
      <formula>"M"</formula>
    </cfRule>
    <cfRule type="cellIs" dxfId="806" priority="7970" operator="equal">
      <formula>"G"</formula>
    </cfRule>
    <cfRule type="cellIs" dxfId="805" priority="7971" operator="equal">
      <formula>"V"</formula>
    </cfRule>
  </conditionalFormatting>
  <conditionalFormatting sqref="AH137:AH145">
    <cfRule type="cellIs" dxfId="804" priority="9208" operator="equal">
      <formula>"M"</formula>
    </cfRule>
    <cfRule type="cellIs" dxfId="803" priority="9209" operator="equal">
      <formula>"G"</formula>
    </cfRule>
    <cfRule type="cellIs" dxfId="802" priority="9210" operator="equal">
      <formula>"V"</formula>
    </cfRule>
  </conditionalFormatting>
  <conditionalFormatting sqref="AH149:AH157">
    <cfRule type="cellIs" dxfId="801" priority="175" operator="equal">
      <formula>"M"</formula>
    </cfRule>
    <cfRule type="cellIs" dxfId="800" priority="176" operator="equal">
      <formula>"G"</formula>
    </cfRule>
    <cfRule type="cellIs" dxfId="799" priority="177" operator="equal">
      <formula>"V"</formula>
    </cfRule>
  </conditionalFormatting>
  <conditionalFormatting sqref="AI32">
    <cfRule type="cellIs" dxfId="798" priority="8677" operator="equal">
      <formula>"M"</formula>
    </cfRule>
    <cfRule type="cellIs" dxfId="797" priority="8678" operator="equal">
      <formula>"G"</formula>
    </cfRule>
    <cfRule type="cellIs" dxfId="796" priority="8679" operator="equal">
      <formula>"V"</formula>
    </cfRule>
  </conditionalFormatting>
  <pageMargins left="0.5" right="0.5" top="1" bottom="0.5" header="0.5" footer="0.5"/>
  <pageSetup fitToHeight="4" orientation="landscape" horizontalDpi="300" verticalDpi="300" r:id="rId1"/>
  <headerFooter>
    <oddFooter>&amp;A&amp;RPage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8FD2-52F8-4F49-BE6F-C82D03884A54}">
  <sheetPr>
    <tabColor rgb="FF00B0F0"/>
  </sheetPr>
  <dimension ref="A1:AK41"/>
  <sheetViews>
    <sheetView zoomScale="115" zoomScaleNormal="115" workbookViewId="0">
      <pane ySplit="1" topLeftCell="A8" activePane="bottomLeft" state="frozen"/>
      <selection pane="bottomLeft" activeCell="M8" sqref="M8:N10"/>
    </sheetView>
  </sheetViews>
  <sheetFormatPr defaultColWidth="11.42578125" defaultRowHeight="15"/>
  <cols>
    <col min="1" max="1" width="22.42578125" bestFit="1" customWidth="1"/>
    <col min="2" max="2" width="4.140625" bestFit="1" customWidth="1"/>
    <col min="3" max="3" width="13.85546875" bestFit="1" customWidth="1"/>
    <col min="4" max="5" width="2.7109375" customWidth="1"/>
    <col min="6" max="6" width="2.85546875" customWidth="1"/>
    <col min="7" max="35" width="2.7109375" customWidth="1"/>
    <col min="36" max="36" width="17.42578125" bestFit="1" customWidth="1"/>
    <col min="37" max="37" width="31" bestFit="1" customWidth="1"/>
  </cols>
  <sheetData>
    <row r="1" spans="1:37" ht="15.75" thickBot="1">
      <c r="A1" s="116" t="s">
        <v>30</v>
      </c>
      <c r="B1" s="117" t="s">
        <v>31</v>
      </c>
      <c r="C1" s="118" t="s">
        <v>32</v>
      </c>
      <c r="D1" s="119">
        <v>42491</v>
      </c>
      <c r="E1" s="119">
        <v>42492</v>
      </c>
      <c r="F1" s="119">
        <v>42493</v>
      </c>
      <c r="G1" s="119">
        <v>42494</v>
      </c>
      <c r="H1" s="119">
        <v>42495</v>
      </c>
      <c r="I1" s="119">
        <v>42496</v>
      </c>
      <c r="J1" s="119">
        <v>42497</v>
      </c>
      <c r="K1" s="119">
        <v>42498</v>
      </c>
      <c r="L1" s="119">
        <v>42499</v>
      </c>
      <c r="M1" s="119">
        <v>42500</v>
      </c>
      <c r="N1" s="119">
        <v>42501</v>
      </c>
      <c r="O1" s="119">
        <v>42502</v>
      </c>
      <c r="P1" s="119">
        <v>42503</v>
      </c>
      <c r="Q1" s="119">
        <v>42504</v>
      </c>
      <c r="R1" s="119">
        <v>42505</v>
      </c>
      <c r="S1" s="119">
        <v>42506</v>
      </c>
      <c r="T1" s="119">
        <v>42507</v>
      </c>
      <c r="U1" s="119">
        <v>42508</v>
      </c>
      <c r="V1" s="119">
        <v>42509</v>
      </c>
      <c r="W1" s="119">
        <v>42510</v>
      </c>
      <c r="X1" s="119">
        <v>42511</v>
      </c>
      <c r="Y1" s="119">
        <v>42512</v>
      </c>
      <c r="Z1" s="119">
        <v>42513</v>
      </c>
      <c r="AA1" s="119">
        <v>42514</v>
      </c>
      <c r="AB1" s="119">
        <v>42515</v>
      </c>
      <c r="AC1" s="119">
        <v>42516</v>
      </c>
      <c r="AD1" s="119">
        <v>42517</v>
      </c>
      <c r="AE1" s="119">
        <v>42518</v>
      </c>
      <c r="AF1" s="119">
        <v>42519</v>
      </c>
      <c r="AG1" s="119">
        <v>42520</v>
      </c>
      <c r="AH1" s="359">
        <v>42521</v>
      </c>
    </row>
    <row r="2" spans="1:37">
      <c r="A2" s="255" t="s">
        <v>33</v>
      </c>
      <c r="B2" s="149" t="s">
        <v>34</v>
      </c>
      <c r="C2" s="129" t="s">
        <v>35</v>
      </c>
      <c r="D2" s="247" t="s">
        <v>14</v>
      </c>
      <c r="E2" s="247" t="s">
        <v>14</v>
      </c>
      <c r="F2" s="248" t="s">
        <v>14</v>
      </c>
      <c r="G2" s="247"/>
      <c r="H2" s="247"/>
      <c r="I2" s="247"/>
      <c r="J2" s="324"/>
      <c r="K2" s="319"/>
      <c r="L2" s="319"/>
      <c r="M2" s="319"/>
      <c r="N2" s="247"/>
      <c r="O2" s="247"/>
      <c r="P2" s="319"/>
      <c r="Q2" s="319"/>
      <c r="R2" s="319"/>
      <c r="S2" s="319"/>
      <c r="T2" s="248" t="s">
        <v>14</v>
      </c>
      <c r="U2" s="248" t="s">
        <v>14</v>
      </c>
      <c r="V2" s="248" t="s">
        <v>14</v>
      </c>
      <c r="W2" s="248" t="s">
        <v>14</v>
      </c>
      <c r="X2" s="248" t="s">
        <v>14</v>
      </c>
      <c r="Y2" s="248" t="s">
        <v>14</v>
      </c>
      <c r="Z2" s="248" t="s">
        <v>14</v>
      </c>
      <c r="AA2" s="319"/>
      <c r="AB2" s="247"/>
      <c r="AC2" s="247"/>
      <c r="AD2" s="319"/>
      <c r="AE2" s="319"/>
      <c r="AF2" s="319"/>
      <c r="AG2" s="319"/>
      <c r="AH2" s="392" t="s">
        <v>14</v>
      </c>
      <c r="AJ2" s="383" t="s">
        <v>36</v>
      </c>
      <c r="AK2" s="384" t="s">
        <v>37</v>
      </c>
    </row>
    <row r="3" spans="1:37">
      <c r="A3" s="122" t="s">
        <v>38</v>
      </c>
      <c r="B3" s="125" t="s">
        <v>34</v>
      </c>
      <c r="C3" s="129" t="s">
        <v>35</v>
      </c>
      <c r="D3" s="252"/>
      <c r="E3" s="315" t="s">
        <v>36</v>
      </c>
      <c r="F3" s="315" t="s">
        <v>36</v>
      </c>
      <c r="G3" s="250"/>
      <c r="H3" s="250"/>
      <c r="I3" s="302"/>
      <c r="J3" s="249" t="s">
        <v>36</v>
      </c>
      <c r="K3" s="249" t="s">
        <v>36</v>
      </c>
      <c r="L3" s="317"/>
      <c r="M3" s="306" t="s">
        <v>14</v>
      </c>
      <c r="N3" s="307" t="s">
        <v>14</v>
      </c>
      <c r="O3" s="307" t="s">
        <v>14</v>
      </c>
      <c r="P3" s="307" t="s">
        <v>14</v>
      </c>
      <c r="Q3" s="307" t="s">
        <v>14</v>
      </c>
      <c r="R3" s="307" t="s">
        <v>14</v>
      </c>
      <c r="S3" s="307" t="s">
        <v>14</v>
      </c>
      <c r="T3" s="317"/>
      <c r="U3" s="250"/>
      <c r="V3" s="250"/>
      <c r="W3" s="317"/>
      <c r="X3" s="317"/>
      <c r="Y3" s="317"/>
      <c r="Z3" s="317"/>
      <c r="AA3" s="317"/>
      <c r="AB3" s="250"/>
      <c r="AC3" s="250"/>
      <c r="AD3" s="317"/>
      <c r="AE3" s="317"/>
      <c r="AF3" s="317"/>
      <c r="AG3" s="317"/>
      <c r="AH3" s="393"/>
      <c r="AJ3" s="385" t="s">
        <v>9</v>
      </c>
      <c r="AK3" s="386" t="s">
        <v>39</v>
      </c>
    </row>
    <row r="4" spans="1:37" ht="15.75" thickBot="1">
      <c r="A4" s="126" t="s">
        <v>40</v>
      </c>
      <c r="B4" s="127" t="s">
        <v>34</v>
      </c>
      <c r="C4" s="308" t="s">
        <v>35</v>
      </c>
      <c r="D4" s="251"/>
      <c r="E4" s="316" t="s">
        <v>36</v>
      </c>
      <c r="F4" s="303" t="s">
        <v>36</v>
      </c>
      <c r="G4" s="304" t="s">
        <v>14</v>
      </c>
      <c r="H4" s="305" t="s">
        <v>14</v>
      </c>
      <c r="I4" s="304" t="s">
        <v>14</v>
      </c>
      <c r="J4" s="305" t="s">
        <v>14</v>
      </c>
      <c r="K4" s="304" t="s">
        <v>14</v>
      </c>
      <c r="L4" s="305" t="s">
        <v>14</v>
      </c>
      <c r="M4" s="318"/>
      <c r="N4" s="251"/>
      <c r="O4" s="251"/>
      <c r="P4" s="318"/>
      <c r="Q4" s="318"/>
      <c r="R4" s="318"/>
      <c r="S4" s="318"/>
      <c r="T4" s="318"/>
      <c r="U4" s="251"/>
      <c r="V4" s="251"/>
      <c r="W4" s="318"/>
      <c r="X4" s="318"/>
      <c r="Y4" s="318"/>
      <c r="Z4" s="318"/>
      <c r="AA4" s="394" t="s">
        <v>14</v>
      </c>
      <c r="AB4" s="305" t="s">
        <v>14</v>
      </c>
      <c r="AC4" s="304" t="s">
        <v>14</v>
      </c>
      <c r="AD4" s="305" t="s">
        <v>14</v>
      </c>
      <c r="AE4" s="304" t="s">
        <v>14</v>
      </c>
      <c r="AF4" s="305" t="s">
        <v>14</v>
      </c>
      <c r="AG4" s="304" t="s">
        <v>14</v>
      </c>
      <c r="AH4" s="395"/>
      <c r="AJ4" s="387" t="s">
        <v>41</v>
      </c>
      <c r="AK4" s="386" t="s">
        <v>42</v>
      </c>
    </row>
    <row r="5" spans="1:37">
      <c r="A5" s="255" t="s">
        <v>33</v>
      </c>
      <c r="B5" s="149" t="s">
        <v>34</v>
      </c>
      <c r="C5" s="129" t="s">
        <v>43</v>
      </c>
      <c r="D5" s="248" t="s">
        <v>14</v>
      </c>
      <c r="E5" s="248" t="s">
        <v>14</v>
      </c>
      <c r="F5" s="248" t="s">
        <v>14</v>
      </c>
      <c r="G5" s="248" t="s">
        <v>14</v>
      </c>
      <c r="H5" s="248" t="s">
        <v>14</v>
      </c>
      <c r="I5" s="248" t="s">
        <v>14</v>
      </c>
      <c r="J5" s="319"/>
      <c r="K5" s="247"/>
      <c r="L5" s="421" t="s">
        <v>44</v>
      </c>
      <c r="M5" s="421" t="s">
        <v>44</v>
      </c>
      <c r="N5" s="421" t="s">
        <v>44</v>
      </c>
      <c r="O5" s="421" t="s">
        <v>44</v>
      </c>
      <c r="P5" s="421" t="s">
        <v>44</v>
      </c>
      <c r="Q5" s="421" t="s">
        <v>44</v>
      </c>
      <c r="R5" s="247"/>
      <c r="S5" s="247"/>
      <c r="T5" s="319"/>
      <c r="U5" s="319"/>
      <c r="V5" s="319"/>
      <c r="W5" s="319"/>
      <c r="X5" s="319"/>
      <c r="Y5" s="247"/>
      <c r="Z5" s="247"/>
      <c r="AA5" s="319"/>
      <c r="AB5" s="319"/>
      <c r="AC5" s="319"/>
      <c r="AD5" s="319"/>
      <c r="AE5" s="248" t="s">
        <v>14</v>
      </c>
      <c r="AF5" s="339"/>
      <c r="AG5" s="339"/>
      <c r="AH5" s="346"/>
      <c r="AJ5" s="391" t="s">
        <v>44</v>
      </c>
      <c r="AK5" s="388" t="s">
        <v>45</v>
      </c>
    </row>
    <row r="6" spans="1:37" ht="15.75" thickBot="1">
      <c r="A6" s="122" t="s">
        <v>38</v>
      </c>
      <c r="B6" s="125" t="s">
        <v>34</v>
      </c>
      <c r="C6" s="129" t="s">
        <v>43</v>
      </c>
      <c r="D6" s="250"/>
      <c r="E6" s="250"/>
      <c r="F6" s="317"/>
      <c r="G6" s="317"/>
      <c r="H6" s="317"/>
      <c r="I6" s="317"/>
      <c r="J6" s="317" t="s">
        <v>14</v>
      </c>
      <c r="K6" s="250" t="s">
        <v>14</v>
      </c>
      <c r="L6" s="250" t="s">
        <v>14</v>
      </c>
      <c r="M6" s="317" t="s">
        <v>14</v>
      </c>
      <c r="N6" s="317" t="s">
        <v>14</v>
      </c>
      <c r="O6" s="317" t="s">
        <v>14</v>
      </c>
      <c r="P6" s="317" t="s">
        <v>14</v>
      </c>
      <c r="Q6" s="317"/>
      <c r="R6" s="250"/>
      <c r="S6" s="250"/>
      <c r="T6" s="317"/>
      <c r="U6" s="317"/>
      <c r="V6" s="317"/>
      <c r="W6" s="317"/>
      <c r="X6" s="422" t="s">
        <v>14</v>
      </c>
      <c r="Y6" s="422" t="s">
        <v>14</v>
      </c>
      <c r="Z6" s="422" t="s">
        <v>14</v>
      </c>
      <c r="AA6" s="422" t="s">
        <v>14</v>
      </c>
      <c r="AB6" s="422" t="s">
        <v>14</v>
      </c>
      <c r="AC6" s="422" t="s">
        <v>14</v>
      </c>
      <c r="AD6" s="422" t="s">
        <v>14</v>
      </c>
      <c r="AE6" s="317"/>
      <c r="AF6" s="327"/>
      <c r="AG6" s="327"/>
      <c r="AH6" s="347"/>
      <c r="AI6" s="345"/>
      <c r="AJ6" s="389" t="s">
        <v>14</v>
      </c>
      <c r="AK6" s="390" t="s">
        <v>46</v>
      </c>
    </row>
    <row r="7" spans="1:37" ht="15.75" thickBot="1">
      <c r="A7" s="126" t="s">
        <v>40</v>
      </c>
      <c r="B7" s="127" t="s">
        <v>34</v>
      </c>
      <c r="C7" s="128" t="s">
        <v>43</v>
      </c>
      <c r="D7" s="251"/>
      <c r="E7" s="251"/>
      <c r="F7" s="318"/>
      <c r="G7" s="318"/>
      <c r="H7" s="318"/>
      <c r="I7" s="318"/>
      <c r="J7" s="318"/>
      <c r="K7" s="251"/>
      <c r="L7" s="251"/>
      <c r="M7" s="318"/>
      <c r="N7" s="423"/>
      <c r="O7" s="424"/>
      <c r="P7" s="424"/>
      <c r="Q7" s="425" t="s">
        <v>14</v>
      </c>
      <c r="R7" s="425" t="s">
        <v>14</v>
      </c>
      <c r="S7" s="425" t="s">
        <v>14</v>
      </c>
      <c r="T7" s="425" t="s">
        <v>14</v>
      </c>
      <c r="U7" s="425" t="s">
        <v>14</v>
      </c>
      <c r="V7" s="425" t="s">
        <v>14</v>
      </c>
      <c r="W7" s="425" t="s">
        <v>14</v>
      </c>
      <c r="X7" s="318"/>
      <c r="Y7" s="251"/>
      <c r="Z7" s="251"/>
      <c r="AA7" s="318"/>
      <c r="AB7" s="318"/>
      <c r="AC7" s="318"/>
      <c r="AD7" s="318" t="s">
        <v>9</v>
      </c>
      <c r="AE7" s="318" t="s">
        <v>9</v>
      </c>
      <c r="AF7" s="329"/>
      <c r="AG7" s="329"/>
      <c r="AH7" s="348"/>
    </row>
    <row r="8" spans="1:37">
      <c r="A8" s="122" t="s">
        <v>33</v>
      </c>
      <c r="B8" s="123" t="s">
        <v>34</v>
      </c>
      <c r="C8" s="124" t="s">
        <v>47</v>
      </c>
      <c r="D8" s="248" t="s">
        <v>14</v>
      </c>
      <c r="E8" s="248" t="s">
        <v>14</v>
      </c>
      <c r="F8" s="248" t="s">
        <v>14</v>
      </c>
      <c r="G8" s="248" t="s">
        <v>14</v>
      </c>
      <c r="H8" s="248" t="s">
        <v>14</v>
      </c>
      <c r="I8" s="248" t="s">
        <v>14</v>
      </c>
      <c r="J8" s="319"/>
      <c r="K8" s="247"/>
      <c r="L8" s="247"/>
      <c r="M8" s="319"/>
      <c r="N8" s="319"/>
      <c r="O8" s="320"/>
      <c r="P8" s="320"/>
      <c r="Q8" s="320"/>
      <c r="R8" s="168"/>
      <c r="S8" s="168"/>
      <c r="T8" s="320"/>
      <c r="U8" s="320"/>
      <c r="V8" s="320"/>
      <c r="W8" s="320"/>
      <c r="X8" s="121" t="s">
        <v>14</v>
      </c>
      <c r="Y8" s="121" t="s">
        <v>14</v>
      </c>
      <c r="Z8" s="121" t="s">
        <v>14</v>
      </c>
      <c r="AA8" s="167" t="s">
        <v>14</v>
      </c>
      <c r="AB8" s="167" t="s">
        <v>14</v>
      </c>
      <c r="AC8" s="167" t="s">
        <v>14</v>
      </c>
      <c r="AD8" s="167" t="s">
        <v>14</v>
      </c>
      <c r="AE8" s="320"/>
      <c r="AF8" s="168"/>
      <c r="AG8" s="168"/>
      <c r="AH8" s="349"/>
      <c r="AJ8" s="156" t="s">
        <v>48</v>
      </c>
    </row>
    <row r="9" spans="1:37">
      <c r="A9" s="122" t="s">
        <v>38</v>
      </c>
      <c r="B9" s="125" t="s">
        <v>34</v>
      </c>
      <c r="C9" s="129" t="s">
        <v>47</v>
      </c>
      <c r="D9" s="250"/>
      <c r="E9" s="250"/>
      <c r="F9" s="317"/>
      <c r="G9" s="317"/>
      <c r="H9" s="317"/>
      <c r="I9" s="317"/>
      <c r="J9" s="317"/>
      <c r="K9" s="250"/>
      <c r="L9" s="250"/>
      <c r="M9" s="317"/>
      <c r="N9" s="317"/>
      <c r="O9" s="322"/>
      <c r="P9" s="322"/>
      <c r="Q9" s="121" t="s">
        <v>14</v>
      </c>
      <c r="R9" s="121" t="s">
        <v>14</v>
      </c>
      <c r="S9" s="121" t="s">
        <v>14</v>
      </c>
      <c r="T9" s="121" t="s">
        <v>14</v>
      </c>
      <c r="U9" s="121" t="s">
        <v>14</v>
      </c>
      <c r="V9" s="121" t="s">
        <v>14</v>
      </c>
      <c r="W9" s="121" t="s">
        <v>14</v>
      </c>
      <c r="X9" s="322"/>
      <c r="Y9" s="115"/>
      <c r="Z9" s="115"/>
      <c r="AA9" s="322"/>
      <c r="AB9" s="322"/>
      <c r="AC9" s="322"/>
      <c r="AD9" s="322"/>
      <c r="AE9" s="322"/>
      <c r="AF9" s="115"/>
      <c r="AG9" s="115"/>
      <c r="AH9" s="350"/>
      <c r="AJ9" s="156" t="s">
        <v>49</v>
      </c>
    </row>
    <row r="10" spans="1:37" ht="15.75" thickBot="1">
      <c r="A10" s="126" t="s">
        <v>40</v>
      </c>
      <c r="B10" s="127" t="s">
        <v>34</v>
      </c>
      <c r="C10" s="128" t="s">
        <v>47</v>
      </c>
      <c r="D10" s="251"/>
      <c r="E10" s="251"/>
      <c r="F10" s="318"/>
      <c r="G10" s="318"/>
      <c r="H10" s="318"/>
      <c r="I10" s="318"/>
      <c r="J10" s="425" t="s">
        <v>14</v>
      </c>
      <c r="K10" s="425" t="s">
        <v>14</v>
      </c>
      <c r="L10" s="425" t="s">
        <v>14</v>
      </c>
      <c r="M10" s="425" t="s">
        <v>14</v>
      </c>
      <c r="N10" s="425" t="s">
        <v>14</v>
      </c>
      <c r="O10" s="309" t="s">
        <v>14</v>
      </c>
      <c r="P10" s="309" t="s">
        <v>14</v>
      </c>
      <c r="Q10" s="325"/>
      <c r="R10" s="310"/>
      <c r="S10" s="310"/>
      <c r="T10" s="325"/>
      <c r="U10" s="325"/>
      <c r="V10" s="325"/>
      <c r="W10" s="325"/>
      <c r="X10" s="325"/>
      <c r="Y10" s="310"/>
      <c r="Z10" s="310"/>
      <c r="AA10" s="325"/>
      <c r="AB10" s="325"/>
      <c r="AC10" s="325"/>
      <c r="AD10" s="325"/>
      <c r="AE10" s="309" t="s">
        <v>14</v>
      </c>
      <c r="AF10" s="309" t="s">
        <v>14</v>
      </c>
      <c r="AG10" s="309" t="s">
        <v>14</v>
      </c>
      <c r="AH10" s="357" t="s">
        <v>14</v>
      </c>
    </row>
    <row r="11" spans="1:37">
      <c r="A11" s="122" t="s">
        <v>33</v>
      </c>
      <c r="B11" s="123" t="s">
        <v>34</v>
      </c>
      <c r="C11" s="299" t="s">
        <v>50</v>
      </c>
      <c r="D11" s="320"/>
      <c r="E11" s="320"/>
      <c r="F11" s="320"/>
      <c r="G11" s="322"/>
      <c r="H11" s="115"/>
      <c r="I11" s="115"/>
      <c r="J11" s="322"/>
      <c r="K11" s="322"/>
      <c r="L11" s="322"/>
      <c r="M11" s="322"/>
      <c r="N11" s="121" t="s">
        <v>14</v>
      </c>
      <c r="O11" s="121" t="s">
        <v>14</v>
      </c>
      <c r="P11" s="121" t="s">
        <v>14</v>
      </c>
      <c r="Q11" s="121" t="s">
        <v>9</v>
      </c>
      <c r="R11" s="121" t="s">
        <v>9</v>
      </c>
      <c r="S11" s="121" t="s">
        <v>9</v>
      </c>
      <c r="T11" s="121" t="s">
        <v>14</v>
      </c>
      <c r="U11" s="168"/>
      <c r="V11" s="168"/>
      <c r="W11" s="168"/>
      <c r="X11" s="326"/>
      <c r="Y11" s="326"/>
      <c r="Z11" s="326"/>
      <c r="AA11" s="326"/>
      <c r="AB11" s="322"/>
      <c r="AC11" s="115"/>
      <c r="AD11" s="115"/>
      <c r="AE11" s="322"/>
      <c r="AF11" s="322"/>
      <c r="AG11" s="322"/>
      <c r="AH11" s="347"/>
    </row>
    <row r="12" spans="1:37">
      <c r="A12" s="122" t="s">
        <v>38</v>
      </c>
      <c r="B12" s="125" t="s">
        <v>34</v>
      </c>
      <c r="C12" s="129" t="s">
        <v>50</v>
      </c>
      <c r="D12" s="320"/>
      <c r="E12" s="322"/>
      <c r="F12" s="322"/>
      <c r="G12" s="121" t="s">
        <v>14</v>
      </c>
      <c r="H12" s="121" t="s">
        <v>14</v>
      </c>
      <c r="I12" s="121" t="s">
        <v>14</v>
      </c>
      <c r="J12" s="121" t="s">
        <v>14</v>
      </c>
      <c r="K12" s="121" t="s">
        <v>14</v>
      </c>
      <c r="L12" s="121" t="s">
        <v>14</v>
      </c>
      <c r="M12" s="121" t="s">
        <v>14</v>
      </c>
      <c r="N12" s="322"/>
      <c r="O12" s="115"/>
      <c r="P12" s="115"/>
      <c r="Q12" s="322"/>
      <c r="R12" s="322"/>
      <c r="S12" s="322"/>
      <c r="T12" s="115"/>
      <c r="U12" s="121" t="s">
        <v>14</v>
      </c>
      <c r="V12" s="121" t="s">
        <v>14</v>
      </c>
      <c r="W12" s="121" t="s">
        <v>14</v>
      </c>
      <c r="X12" s="121" t="s">
        <v>14</v>
      </c>
      <c r="Y12" s="121" t="s">
        <v>14</v>
      </c>
      <c r="Z12" s="121" t="s">
        <v>14</v>
      </c>
      <c r="AA12" s="121" t="s">
        <v>14</v>
      </c>
      <c r="AB12" s="121"/>
      <c r="AC12" s="115"/>
      <c r="AD12" s="115"/>
      <c r="AE12" s="121"/>
      <c r="AF12" s="121"/>
      <c r="AG12" s="121"/>
      <c r="AH12" s="347"/>
    </row>
    <row r="13" spans="1:37" ht="15.75" thickBot="1">
      <c r="A13" s="126" t="s">
        <v>40</v>
      </c>
      <c r="B13" s="127" t="s">
        <v>34</v>
      </c>
      <c r="C13" s="128" t="s">
        <v>50</v>
      </c>
      <c r="D13" s="325" t="s">
        <v>14</v>
      </c>
      <c r="E13" s="325" t="s">
        <v>14</v>
      </c>
      <c r="F13" s="325" t="s">
        <v>14</v>
      </c>
      <c r="G13" s="325"/>
      <c r="H13" s="310"/>
      <c r="I13" s="310"/>
      <c r="J13" s="325"/>
      <c r="K13" s="325"/>
      <c r="L13" s="325"/>
      <c r="M13" s="325"/>
      <c r="N13" s="325"/>
      <c r="O13" s="310"/>
      <c r="P13" s="310"/>
      <c r="Q13" s="325" t="s">
        <v>9</v>
      </c>
      <c r="R13" s="325" t="s">
        <v>9</v>
      </c>
      <c r="S13" s="325" t="s">
        <v>9</v>
      </c>
      <c r="T13" s="310"/>
      <c r="U13" s="310"/>
      <c r="V13" s="310"/>
      <c r="W13" s="310"/>
      <c r="X13" s="309"/>
      <c r="Y13" s="309"/>
      <c r="Z13" s="309"/>
      <c r="AA13" s="309"/>
      <c r="AB13" s="309" t="s">
        <v>14</v>
      </c>
      <c r="AC13" s="309" t="s">
        <v>14</v>
      </c>
      <c r="AD13" s="309" t="s">
        <v>14</v>
      </c>
      <c r="AE13" s="309" t="s">
        <v>14</v>
      </c>
      <c r="AF13" s="309" t="s">
        <v>14</v>
      </c>
      <c r="AG13" s="309" t="s">
        <v>14</v>
      </c>
      <c r="AH13" s="348"/>
    </row>
    <row r="14" spans="1:37">
      <c r="A14" s="122" t="s">
        <v>33</v>
      </c>
      <c r="B14" s="123" t="s">
        <v>34</v>
      </c>
      <c r="C14" s="124" t="s">
        <v>51</v>
      </c>
      <c r="D14" s="168"/>
      <c r="E14" s="167" t="s">
        <v>14</v>
      </c>
      <c r="F14" s="167" t="s">
        <v>14</v>
      </c>
      <c r="G14" s="167" t="s">
        <v>14</v>
      </c>
      <c r="H14" s="167" t="s">
        <v>14</v>
      </c>
      <c r="I14" s="167" t="s">
        <v>14</v>
      </c>
      <c r="J14" s="167" t="s">
        <v>14</v>
      </c>
      <c r="K14" s="167" t="s">
        <v>14</v>
      </c>
      <c r="L14" s="320"/>
      <c r="M14" s="168"/>
      <c r="N14" s="168"/>
      <c r="O14" s="320"/>
      <c r="P14" s="320"/>
      <c r="Q14" s="320"/>
      <c r="R14" s="168"/>
      <c r="S14" s="320"/>
      <c r="T14" s="168"/>
      <c r="U14" s="168"/>
      <c r="V14" s="320"/>
      <c r="W14" s="320"/>
      <c r="X14" s="320"/>
      <c r="Y14" s="320"/>
      <c r="Z14" s="121" t="s">
        <v>14</v>
      </c>
      <c r="AA14" s="121" t="s">
        <v>14</v>
      </c>
      <c r="AB14" s="121" t="s">
        <v>14</v>
      </c>
      <c r="AC14" s="121" t="s">
        <v>14</v>
      </c>
      <c r="AD14" s="121" t="s">
        <v>14</v>
      </c>
      <c r="AE14" s="121" t="s">
        <v>14</v>
      </c>
      <c r="AF14" s="121" t="s">
        <v>14</v>
      </c>
      <c r="AG14" s="320"/>
      <c r="AH14" s="352"/>
    </row>
    <row r="15" spans="1:37">
      <c r="A15" s="122" t="s">
        <v>38</v>
      </c>
      <c r="B15" s="125" t="s">
        <v>34</v>
      </c>
      <c r="C15" s="129" t="s">
        <v>51</v>
      </c>
      <c r="D15" s="115"/>
      <c r="E15" s="115"/>
      <c r="F15" s="115"/>
      <c r="G15" s="115"/>
      <c r="H15" s="322"/>
      <c r="I15" s="322"/>
      <c r="J15" s="322"/>
      <c r="K15" s="322"/>
      <c r="L15" s="322"/>
      <c r="M15" s="115"/>
      <c r="N15" s="115"/>
      <c r="O15" s="322"/>
      <c r="P15" s="322"/>
      <c r="Q15" s="322"/>
      <c r="R15" s="115"/>
      <c r="S15" s="121" t="s">
        <v>14</v>
      </c>
      <c r="T15" s="121" t="s">
        <v>14</v>
      </c>
      <c r="U15" s="121" t="s">
        <v>14</v>
      </c>
      <c r="V15" s="121" t="s">
        <v>14</v>
      </c>
      <c r="W15" s="121" t="s">
        <v>14</v>
      </c>
      <c r="X15" s="121" t="s">
        <v>14</v>
      </c>
      <c r="Y15" s="121" t="s">
        <v>14</v>
      </c>
      <c r="Z15" s="322"/>
      <c r="AA15" s="115"/>
      <c r="AB15" s="115"/>
      <c r="AC15" s="322"/>
      <c r="AD15" s="322"/>
      <c r="AE15" s="322"/>
      <c r="AF15" s="322"/>
      <c r="AG15" s="322"/>
      <c r="AH15" s="353"/>
    </row>
    <row r="16" spans="1:37" ht="15.75" thickBot="1">
      <c r="A16" s="126" t="s">
        <v>40</v>
      </c>
      <c r="B16" s="127" t="s">
        <v>34</v>
      </c>
      <c r="C16" s="243" t="s">
        <v>51</v>
      </c>
      <c r="D16" s="309" t="s">
        <v>14</v>
      </c>
      <c r="E16" s="310"/>
      <c r="F16" s="310"/>
      <c r="G16" s="310"/>
      <c r="H16" s="325"/>
      <c r="I16" s="325"/>
      <c r="J16" s="325"/>
      <c r="K16" s="325"/>
      <c r="L16" s="309" t="s">
        <v>14</v>
      </c>
      <c r="M16" s="309" t="s">
        <v>14</v>
      </c>
      <c r="N16" s="309" t="s">
        <v>14</v>
      </c>
      <c r="O16" s="309" t="s">
        <v>14</v>
      </c>
      <c r="P16" s="309" t="s">
        <v>14</v>
      </c>
      <c r="Q16" s="309" t="s">
        <v>14</v>
      </c>
      <c r="R16" s="309" t="s">
        <v>14</v>
      </c>
      <c r="S16" s="325"/>
      <c r="T16" s="310"/>
      <c r="U16" s="310"/>
      <c r="V16" s="325"/>
      <c r="W16" s="325"/>
      <c r="X16" s="325"/>
      <c r="Y16" s="325"/>
      <c r="Z16" s="328"/>
      <c r="AA16" s="310"/>
      <c r="AB16" s="310"/>
      <c r="AC16" s="325"/>
      <c r="AD16" s="325"/>
      <c r="AE16" s="325"/>
      <c r="AF16" s="325"/>
      <c r="AG16" s="309" t="s">
        <v>14</v>
      </c>
      <c r="AH16" s="357" t="s">
        <v>14</v>
      </c>
    </row>
    <row r="17" spans="1:36">
      <c r="A17" s="122" t="s">
        <v>33</v>
      </c>
      <c r="B17" s="123" t="s">
        <v>34</v>
      </c>
      <c r="C17" s="124" t="s">
        <v>52</v>
      </c>
      <c r="D17" s="168"/>
      <c r="E17" s="320"/>
      <c r="F17" s="320"/>
      <c r="G17" s="320"/>
      <c r="H17" s="320"/>
      <c r="I17" s="320"/>
      <c r="J17" s="168"/>
      <c r="K17" s="168"/>
      <c r="L17" s="320"/>
      <c r="M17" s="320"/>
      <c r="N17" s="320"/>
      <c r="O17" s="320"/>
      <c r="P17" s="121" t="s">
        <v>14</v>
      </c>
      <c r="Q17" s="121" t="s">
        <v>14</v>
      </c>
      <c r="R17" s="121" t="s">
        <v>14</v>
      </c>
      <c r="S17" s="121" t="s">
        <v>14</v>
      </c>
      <c r="T17" s="121" t="s">
        <v>14</v>
      </c>
      <c r="U17" s="121" t="s">
        <v>14</v>
      </c>
      <c r="V17" s="121" t="s">
        <v>14</v>
      </c>
      <c r="W17" s="320"/>
      <c r="X17" s="168"/>
      <c r="Y17" s="168"/>
      <c r="Z17" s="320"/>
      <c r="AA17" s="320"/>
      <c r="AB17" s="320"/>
      <c r="AC17" s="320"/>
      <c r="AD17" s="320"/>
      <c r="AE17" s="168"/>
      <c r="AF17" s="168"/>
      <c r="AG17" s="320"/>
      <c r="AH17" s="355"/>
    </row>
    <row r="18" spans="1:36">
      <c r="A18" s="122" t="s">
        <v>38</v>
      </c>
      <c r="B18" s="125" t="s">
        <v>34</v>
      </c>
      <c r="C18" s="129" t="s">
        <v>52</v>
      </c>
      <c r="D18" s="115"/>
      <c r="E18" s="322"/>
      <c r="F18" s="322"/>
      <c r="G18" s="322"/>
      <c r="H18" s="322"/>
      <c r="I18" s="121" t="s">
        <v>14</v>
      </c>
      <c r="J18" s="121" t="s">
        <v>14</v>
      </c>
      <c r="K18" s="121" t="s">
        <v>14</v>
      </c>
      <c r="L18" s="121" t="s">
        <v>14</v>
      </c>
      <c r="M18" s="121" t="s">
        <v>14</v>
      </c>
      <c r="N18" s="121" t="s">
        <v>14</v>
      </c>
      <c r="O18" s="121" t="s">
        <v>14</v>
      </c>
      <c r="P18" s="322"/>
      <c r="Q18" s="115"/>
      <c r="R18" s="115"/>
      <c r="S18" s="322"/>
      <c r="T18" s="322"/>
      <c r="U18" s="322"/>
      <c r="V18" s="322"/>
      <c r="W18" s="322"/>
      <c r="X18" s="115"/>
      <c r="Y18" s="115"/>
      <c r="Z18" s="322"/>
      <c r="AA18" s="322"/>
      <c r="AB18" s="322"/>
      <c r="AC18" s="322"/>
      <c r="AD18" s="121" t="s">
        <v>14</v>
      </c>
      <c r="AE18" s="121" t="s">
        <v>14</v>
      </c>
      <c r="AF18" s="121" t="s">
        <v>14</v>
      </c>
      <c r="AG18" s="121" t="s">
        <v>14</v>
      </c>
      <c r="AH18" s="347"/>
    </row>
    <row r="19" spans="1:36" ht="15.75" thickBot="1">
      <c r="A19" s="126" t="s">
        <v>40</v>
      </c>
      <c r="B19" s="127" t="s">
        <v>34</v>
      </c>
      <c r="C19" s="128" t="s">
        <v>52</v>
      </c>
      <c r="D19" s="309" t="s">
        <v>14</v>
      </c>
      <c r="E19" s="309" t="s">
        <v>14</v>
      </c>
      <c r="F19" s="309" t="s">
        <v>14</v>
      </c>
      <c r="G19" s="309" t="s">
        <v>14</v>
      </c>
      <c r="H19" s="309" t="s">
        <v>14</v>
      </c>
      <c r="I19" s="325"/>
      <c r="J19" s="310"/>
      <c r="K19" s="310"/>
      <c r="L19" s="325"/>
      <c r="M19" s="325"/>
      <c r="N19" s="325"/>
      <c r="O19" s="325"/>
      <c r="P19" s="325"/>
      <c r="Q19" s="310"/>
      <c r="R19" s="310"/>
      <c r="S19" s="325"/>
      <c r="T19" s="325"/>
      <c r="U19" s="325"/>
      <c r="V19" s="325"/>
      <c r="W19" s="309" t="s">
        <v>14</v>
      </c>
      <c r="X19" s="309" t="s">
        <v>14</v>
      </c>
      <c r="Y19" s="309" t="s">
        <v>14</v>
      </c>
      <c r="Z19" s="309" t="s">
        <v>14</v>
      </c>
      <c r="AA19" s="309" t="s">
        <v>14</v>
      </c>
      <c r="AB19" s="309" t="s">
        <v>14</v>
      </c>
      <c r="AC19" s="309" t="s">
        <v>14</v>
      </c>
      <c r="AD19" s="325"/>
      <c r="AE19" s="310"/>
      <c r="AF19" s="310"/>
      <c r="AG19" s="325"/>
      <c r="AH19" s="348"/>
    </row>
    <row r="20" spans="1:36">
      <c r="A20" s="122" t="s">
        <v>33</v>
      </c>
      <c r="B20" s="123" t="s">
        <v>34</v>
      </c>
      <c r="C20" s="124" t="s">
        <v>53</v>
      </c>
      <c r="D20" s="320"/>
      <c r="E20" s="320"/>
      <c r="F20" s="320"/>
      <c r="G20" s="121" t="s">
        <v>14</v>
      </c>
      <c r="H20" s="121" t="s">
        <v>14</v>
      </c>
      <c r="I20" s="121" t="s">
        <v>14</v>
      </c>
      <c r="J20" s="121" t="s">
        <v>14</v>
      </c>
      <c r="K20" s="121" t="s">
        <v>14</v>
      </c>
      <c r="L20" s="121" t="s">
        <v>14</v>
      </c>
      <c r="M20" s="121" t="s">
        <v>14</v>
      </c>
      <c r="N20" s="320"/>
      <c r="O20" s="342"/>
      <c r="P20" s="337"/>
      <c r="Q20" s="320" t="s">
        <v>9</v>
      </c>
      <c r="R20" s="320" t="s">
        <v>9</v>
      </c>
      <c r="S20" s="320" t="s">
        <v>9</v>
      </c>
      <c r="T20" s="320" t="s">
        <v>9</v>
      </c>
      <c r="U20" s="343" t="s">
        <v>9</v>
      </c>
      <c r="V20" s="342"/>
      <c r="W20" s="337"/>
      <c r="X20" s="334" t="s">
        <v>9</v>
      </c>
      <c r="Y20" s="336" t="s">
        <v>9</v>
      </c>
      <c r="Z20" s="336" t="s">
        <v>9</v>
      </c>
      <c r="AA20" s="336" t="s">
        <v>9</v>
      </c>
      <c r="AB20" s="379"/>
      <c r="AC20" s="342"/>
      <c r="AD20" s="337"/>
      <c r="AE20" s="334" t="s">
        <v>9</v>
      </c>
      <c r="AF20" s="336" t="s">
        <v>9</v>
      </c>
      <c r="AG20" s="336" t="s">
        <v>9</v>
      </c>
      <c r="AH20" s="378" t="s">
        <v>9</v>
      </c>
    </row>
    <row r="21" spans="1:36">
      <c r="A21" s="122" t="s">
        <v>38</v>
      </c>
      <c r="B21" s="125" t="s">
        <v>34</v>
      </c>
      <c r="C21" s="129" t="s">
        <v>53</v>
      </c>
      <c r="D21" s="121" t="s">
        <v>14</v>
      </c>
      <c r="E21" s="121" t="s">
        <v>14</v>
      </c>
      <c r="F21" s="121" t="s">
        <v>14</v>
      </c>
      <c r="G21" s="322"/>
      <c r="H21" s="115"/>
      <c r="I21" s="115"/>
      <c r="J21" s="322"/>
      <c r="K21" s="322"/>
      <c r="L21" s="322"/>
      <c r="M21" s="322"/>
      <c r="N21" s="320"/>
      <c r="O21" s="115"/>
      <c r="P21" s="115"/>
      <c r="Q21" s="322"/>
      <c r="R21" s="322"/>
      <c r="S21" s="322"/>
      <c r="T21" s="322"/>
      <c r="U21" s="121" t="s">
        <v>14</v>
      </c>
      <c r="V21" s="121" t="s">
        <v>14</v>
      </c>
      <c r="W21" s="121" t="s">
        <v>14</v>
      </c>
      <c r="X21" s="121" t="s">
        <v>14</v>
      </c>
      <c r="Y21" s="121" t="s">
        <v>14</v>
      </c>
      <c r="Z21" s="121" t="s">
        <v>14</v>
      </c>
      <c r="AA21" s="121" t="s">
        <v>14</v>
      </c>
      <c r="AB21" s="242"/>
      <c r="AC21" s="168"/>
      <c r="AD21" s="168"/>
      <c r="AE21" s="321"/>
      <c r="AF21" s="321"/>
      <c r="AG21" s="321"/>
      <c r="AH21" s="350"/>
    </row>
    <row r="22" spans="1:36" ht="15.75" thickBot="1">
      <c r="A22" s="126" t="s">
        <v>40</v>
      </c>
      <c r="B22" s="127" t="s">
        <v>34</v>
      </c>
      <c r="C22" s="128" t="s">
        <v>53</v>
      </c>
      <c r="D22" s="325"/>
      <c r="E22" s="325"/>
      <c r="F22" s="325"/>
      <c r="G22" s="325"/>
      <c r="H22" s="310"/>
      <c r="I22" s="310"/>
      <c r="J22" s="325"/>
      <c r="K22" s="325"/>
      <c r="L22" s="325"/>
      <c r="M22" s="325"/>
      <c r="N22" s="309" t="s">
        <v>14</v>
      </c>
      <c r="O22" s="309" t="s">
        <v>14</v>
      </c>
      <c r="P22" s="309" t="s">
        <v>14</v>
      </c>
      <c r="Q22" s="309" t="s">
        <v>14</v>
      </c>
      <c r="R22" s="309" t="s">
        <v>14</v>
      </c>
      <c r="S22" s="309" t="s">
        <v>14</v>
      </c>
      <c r="T22" s="309" t="s">
        <v>14</v>
      </c>
      <c r="U22" s="325"/>
      <c r="V22" s="310"/>
      <c r="W22" s="310"/>
      <c r="X22" s="325"/>
      <c r="Y22" s="325"/>
      <c r="Z22" s="325"/>
      <c r="AA22" s="325"/>
      <c r="AB22" s="309" t="s">
        <v>14</v>
      </c>
      <c r="AC22" s="309" t="s">
        <v>14</v>
      </c>
      <c r="AD22" s="309" t="s">
        <v>14</v>
      </c>
      <c r="AE22" s="309" t="s">
        <v>14</v>
      </c>
      <c r="AF22" s="309" t="s">
        <v>14</v>
      </c>
      <c r="AG22" s="309" t="s">
        <v>14</v>
      </c>
      <c r="AH22" s="357" t="s">
        <v>14</v>
      </c>
    </row>
    <row r="23" spans="1:36">
      <c r="A23" s="122" t="s">
        <v>33</v>
      </c>
      <c r="B23" s="123" t="s">
        <v>34</v>
      </c>
      <c r="C23" s="124" t="s">
        <v>54</v>
      </c>
      <c r="D23" s="121" t="s">
        <v>14</v>
      </c>
      <c r="E23" s="121" t="s">
        <v>14</v>
      </c>
      <c r="F23" s="121" t="s">
        <v>14</v>
      </c>
      <c r="G23" s="121" t="s">
        <v>14</v>
      </c>
      <c r="H23" s="121" t="s">
        <v>14</v>
      </c>
      <c r="I23" s="121" t="s">
        <v>14</v>
      </c>
      <c r="J23" s="121" t="s">
        <v>14</v>
      </c>
      <c r="K23" s="320"/>
      <c r="L23" s="168"/>
      <c r="M23" s="168"/>
      <c r="N23" s="320"/>
      <c r="O23" s="320"/>
      <c r="P23" s="320"/>
      <c r="Q23" s="320"/>
      <c r="R23" s="121" t="s">
        <v>14</v>
      </c>
      <c r="S23" s="121" t="s">
        <v>14</v>
      </c>
      <c r="T23" s="121" t="s">
        <v>14</v>
      </c>
      <c r="U23" s="121" t="s">
        <v>14</v>
      </c>
      <c r="V23" s="121" t="s">
        <v>14</v>
      </c>
      <c r="W23" s="121" t="s">
        <v>14</v>
      </c>
      <c r="X23" s="121" t="s">
        <v>14</v>
      </c>
      <c r="Y23" s="320"/>
      <c r="Z23" s="342"/>
      <c r="AA23" s="337"/>
      <c r="AB23" s="320"/>
      <c r="AC23" s="320"/>
      <c r="AD23" s="320"/>
      <c r="AE23" s="320"/>
      <c r="AF23" s="320"/>
      <c r="AG23" s="168"/>
      <c r="AH23" s="352"/>
    </row>
    <row r="24" spans="1:36">
      <c r="A24" s="122" t="s">
        <v>38</v>
      </c>
      <c r="B24" s="125" t="s">
        <v>34</v>
      </c>
      <c r="C24" s="129" t="s">
        <v>54</v>
      </c>
      <c r="D24" s="333"/>
      <c r="E24" s="340"/>
      <c r="F24" s="115"/>
      <c r="G24" s="322"/>
      <c r="H24" s="331"/>
      <c r="I24" s="331"/>
      <c r="J24" s="331"/>
      <c r="K24" s="121" t="s">
        <v>14</v>
      </c>
      <c r="L24" s="121" t="s">
        <v>14</v>
      </c>
      <c r="M24" s="121" t="s">
        <v>14</v>
      </c>
      <c r="N24" s="121" t="s">
        <v>14</v>
      </c>
      <c r="O24" s="121" t="s">
        <v>14</v>
      </c>
      <c r="P24" s="121" t="s">
        <v>14</v>
      </c>
      <c r="Q24" s="121" t="s">
        <v>14</v>
      </c>
      <c r="R24" s="115"/>
      <c r="S24" s="115"/>
      <c r="T24" s="115"/>
      <c r="U24" s="321"/>
      <c r="V24" s="321"/>
      <c r="W24" s="321"/>
      <c r="X24" s="321"/>
      <c r="Y24" s="322"/>
      <c r="Z24" s="115"/>
      <c r="AA24" s="115"/>
      <c r="AB24" s="322"/>
      <c r="AC24" s="322"/>
      <c r="AD24" s="322"/>
      <c r="AE24" s="322"/>
      <c r="AF24" s="121" t="s">
        <v>14</v>
      </c>
      <c r="AG24" s="121" t="s">
        <v>14</v>
      </c>
      <c r="AH24" s="356" t="s">
        <v>14</v>
      </c>
    </row>
    <row r="25" spans="1:36" ht="15.75" thickBot="1">
      <c r="A25" s="126" t="s">
        <v>40</v>
      </c>
      <c r="B25" s="127" t="s">
        <v>34</v>
      </c>
      <c r="C25" s="128" t="s">
        <v>54</v>
      </c>
      <c r="D25" s="325"/>
      <c r="E25" s="256"/>
      <c r="F25" s="256"/>
      <c r="G25" s="325" t="s">
        <v>9</v>
      </c>
      <c r="H25" s="325" t="s">
        <v>9</v>
      </c>
      <c r="I25" s="325" t="s">
        <v>9</v>
      </c>
      <c r="J25" s="325" t="s">
        <v>9</v>
      </c>
      <c r="K25" s="325" t="s">
        <v>9</v>
      </c>
      <c r="L25" s="256"/>
      <c r="M25" s="256"/>
      <c r="N25" s="325" t="s">
        <v>9</v>
      </c>
      <c r="O25" s="325" t="s">
        <v>9</v>
      </c>
      <c r="P25" s="325" t="s">
        <v>9</v>
      </c>
      <c r="Q25" s="325" t="s">
        <v>9</v>
      </c>
      <c r="R25" s="344"/>
      <c r="S25" s="310"/>
      <c r="T25" s="310"/>
      <c r="U25" s="325"/>
      <c r="V25" s="325"/>
      <c r="W25" s="325"/>
      <c r="X25" s="325"/>
      <c r="Y25" s="309" t="s">
        <v>14</v>
      </c>
      <c r="Z25" s="309" t="s">
        <v>14</v>
      </c>
      <c r="AA25" s="309" t="s">
        <v>14</v>
      </c>
      <c r="AB25" s="309" t="s">
        <v>14</v>
      </c>
      <c r="AC25" s="309" t="s">
        <v>14</v>
      </c>
      <c r="AD25" s="309" t="s">
        <v>14</v>
      </c>
      <c r="AE25" s="309" t="s">
        <v>14</v>
      </c>
      <c r="AF25" s="325"/>
      <c r="AG25" s="310"/>
      <c r="AH25" s="354"/>
    </row>
    <row r="26" spans="1:36">
      <c r="A26" s="122" t="s">
        <v>33</v>
      </c>
      <c r="B26" s="123" t="s">
        <v>34</v>
      </c>
      <c r="C26" s="124" t="s">
        <v>55</v>
      </c>
      <c r="D26" s="320"/>
      <c r="E26" s="336"/>
      <c r="F26" s="336"/>
      <c r="G26" s="336"/>
      <c r="H26" s="121" t="s">
        <v>14</v>
      </c>
      <c r="I26" s="121" t="s">
        <v>14</v>
      </c>
      <c r="J26" s="121" t="s">
        <v>14</v>
      </c>
      <c r="K26" s="121" t="s">
        <v>14</v>
      </c>
      <c r="L26" s="121" t="s">
        <v>14</v>
      </c>
      <c r="M26" s="121" t="s">
        <v>14</v>
      </c>
      <c r="N26" s="121" t="s">
        <v>14</v>
      </c>
      <c r="O26" s="320"/>
      <c r="P26" s="342"/>
      <c r="Q26" s="337"/>
      <c r="R26" s="320"/>
      <c r="S26" s="320"/>
      <c r="T26" s="320"/>
      <c r="U26" s="320"/>
      <c r="V26" s="326"/>
      <c r="W26" s="332"/>
      <c r="X26" s="332"/>
      <c r="Y26" s="326"/>
      <c r="Z26" s="326"/>
      <c r="AA26" s="326"/>
      <c r="AB26" s="326"/>
      <c r="AC26" s="121" t="s">
        <v>9</v>
      </c>
      <c r="AD26" s="121" t="s">
        <v>14</v>
      </c>
      <c r="AE26" s="121" t="s">
        <v>14</v>
      </c>
      <c r="AF26" s="121" t="s">
        <v>14</v>
      </c>
      <c r="AG26" s="121" t="s">
        <v>14</v>
      </c>
      <c r="AH26" s="355"/>
      <c r="AJ26" t="s">
        <v>56</v>
      </c>
    </row>
    <row r="27" spans="1:36">
      <c r="A27" s="122" t="s">
        <v>38</v>
      </c>
      <c r="B27" s="125" t="s">
        <v>34</v>
      </c>
      <c r="C27" s="129" t="s">
        <v>55</v>
      </c>
      <c r="D27" s="121" t="s">
        <v>14</v>
      </c>
      <c r="E27" s="121" t="s">
        <v>14</v>
      </c>
      <c r="F27" s="121" t="s">
        <v>14</v>
      </c>
      <c r="G27" s="121" t="s">
        <v>14</v>
      </c>
      <c r="H27" s="322"/>
      <c r="I27" s="115"/>
      <c r="J27" s="115"/>
      <c r="K27" s="322"/>
      <c r="L27" s="322"/>
      <c r="M27" s="322"/>
      <c r="N27" s="322"/>
      <c r="O27" s="322"/>
      <c r="P27" s="115"/>
      <c r="Q27" s="115"/>
      <c r="R27" s="322"/>
      <c r="S27" s="322"/>
      <c r="T27" s="322"/>
      <c r="U27" s="322"/>
      <c r="V27" s="121" t="s">
        <v>14</v>
      </c>
      <c r="W27" s="121" t="s">
        <v>14</v>
      </c>
      <c r="X27" s="121" t="s">
        <v>14</v>
      </c>
      <c r="Y27" s="121" t="s">
        <v>14</v>
      </c>
      <c r="Z27" s="121" t="s">
        <v>14</v>
      </c>
      <c r="AA27" s="121" t="s">
        <v>14</v>
      </c>
      <c r="AB27" s="121" t="s">
        <v>14</v>
      </c>
      <c r="AC27" s="322"/>
      <c r="AD27" s="115"/>
      <c r="AE27" s="115"/>
      <c r="AF27" s="322"/>
      <c r="AG27" s="322"/>
      <c r="AH27" s="347"/>
    </row>
    <row r="28" spans="1:36" ht="15.75" thickBot="1">
      <c r="A28" s="126" t="s">
        <v>40</v>
      </c>
      <c r="B28" s="127" t="s">
        <v>34</v>
      </c>
      <c r="C28" s="128" t="s">
        <v>55</v>
      </c>
      <c r="D28" s="325"/>
      <c r="E28" s="325"/>
      <c r="F28" s="325"/>
      <c r="G28" s="325"/>
      <c r="H28" s="325"/>
      <c r="I28" s="310"/>
      <c r="J28" s="341"/>
      <c r="K28" s="325"/>
      <c r="L28" s="325"/>
      <c r="M28" s="325"/>
      <c r="N28" s="325"/>
      <c r="O28" s="309" t="s">
        <v>14</v>
      </c>
      <c r="P28" s="309" t="s">
        <v>14</v>
      </c>
      <c r="Q28" s="309" t="s">
        <v>14</v>
      </c>
      <c r="R28" s="309" t="s">
        <v>14</v>
      </c>
      <c r="S28" s="309" t="s">
        <v>14</v>
      </c>
      <c r="T28" s="309" t="s">
        <v>14</v>
      </c>
      <c r="U28" s="309" t="s">
        <v>14</v>
      </c>
      <c r="V28" s="325"/>
      <c r="W28" s="310"/>
      <c r="X28" s="310"/>
      <c r="Y28" s="325"/>
      <c r="Z28" s="325"/>
      <c r="AA28" s="325"/>
      <c r="AB28" s="325"/>
      <c r="AC28" s="325"/>
      <c r="AD28" s="341"/>
      <c r="AE28" s="310"/>
      <c r="AF28" s="325"/>
      <c r="AG28" s="325"/>
      <c r="AH28" s="348"/>
    </row>
    <row r="29" spans="1:36">
      <c r="A29" s="122" t="s">
        <v>33</v>
      </c>
      <c r="B29" s="123" t="s">
        <v>34</v>
      </c>
      <c r="C29" s="124" t="s">
        <v>57</v>
      </c>
      <c r="D29" s="121" t="s">
        <v>14</v>
      </c>
      <c r="E29" s="121" t="s">
        <v>14</v>
      </c>
      <c r="F29" s="320"/>
      <c r="G29" s="342"/>
      <c r="H29" s="337"/>
      <c r="I29" s="320"/>
      <c r="J29" s="320"/>
      <c r="K29" s="320"/>
      <c r="L29" s="320"/>
      <c r="M29" s="320"/>
      <c r="N29" s="168"/>
      <c r="O29" s="168"/>
      <c r="P29" s="320"/>
      <c r="Q29" s="320"/>
      <c r="R29" s="320"/>
      <c r="S29" s="320"/>
      <c r="T29" s="121" t="s">
        <v>14</v>
      </c>
      <c r="U29" s="121" t="s">
        <v>14</v>
      </c>
      <c r="V29" s="121" t="s">
        <v>14</v>
      </c>
      <c r="W29" s="121" t="s">
        <v>14</v>
      </c>
      <c r="X29" s="121" t="s">
        <v>14</v>
      </c>
      <c r="Y29" s="121" t="s">
        <v>14</v>
      </c>
      <c r="Z29" s="121" t="s">
        <v>14</v>
      </c>
      <c r="AA29" s="320"/>
      <c r="AB29" s="342"/>
      <c r="AC29" s="337"/>
      <c r="AD29" s="320"/>
      <c r="AE29" s="320"/>
      <c r="AF29" s="320"/>
      <c r="AG29" s="320"/>
      <c r="AH29" s="349"/>
    </row>
    <row r="30" spans="1:36">
      <c r="A30" s="122" t="s">
        <v>38</v>
      </c>
      <c r="B30" s="125" t="s">
        <v>34</v>
      </c>
      <c r="C30" s="129" t="s">
        <v>57</v>
      </c>
      <c r="D30" s="322"/>
      <c r="E30" s="322"/>
      <c r="F30" s="322"/>
      <c r="G30" s="115"/>
      <c r="H30" s="115"/>
      <c r="I30" s="322"/>
      <c r="J30" s="322"/>
      <c r="K30" s="322"/>
      <c r="L30" s="322"/>
      <c r="M30" s="121" t="s">
        <v>14</v>
      </c>
      <c r="N30" s="121" t="s">
        <v>14</v>
      </c>
      <c r="O30" s="121" t="s">
        <v>14</v>
      </c>
      <c r="P30" s="121" t="s">
        <v>14</v>
      </c>
      <c r="Q30" s="121" t="s">
        <v>14</v>
      </c>
      <c r="R30" s="121" t="s">
        <v>14</v>
      </c>
      <c r="S30" s="121" t="s">
        <v>14</v>
      </c>
      <c r="T30" s="321"/>
      <c r="U30" s="115"/>
      <c r="V30" s="115"/>
      <c r="W30" s="321"/>
      <c r="X30" s="321"/>
      <c r="Y30" s="321"/>
      <c r="Z30" s="321"/>
      <c r="AA30" s="322"/>
      <c r="AB30" s="115"/>
      <c r="AC30" s="115"/>
      <c r="AD30" s="322"/>
      <c r="AE30" s="322"/>
      <c r="AF30" s="322"/>
      <c r="AG30" s="322"/>
      <c r="AH30" s="356" t="s">
        <v>14</v>
      </c>
    </row>
    <row r="31" spans="1:36" ht="15.75" thickBot="1">
      <c r="A31" s="126" t="s">
        <v>40</v>
      </c>
      <c r="B31" s="127" t="s">
        <v>34</v>
      </c>
      <c r="C31" s="128" t="s">
        <v>57</v>
      </c>
      <c r="D31" s="325"/>
      <c r="E31" s="325"/>
      <c r="F31" s="309" t="s">
        <v>14</v>
      </c>
      <c r="G31" s="309" t="s">
        <v>14</v>
      </c>
      <c r="H31" s="309" t="s">
        <v>14</v>
      </c>
      <c r="I31" s="309" t="s">
        <v>14</v>
      </c>
      <c r="J31" s="309" t="s">
        <v>14</v>
      </c>
      <c r="K31" s="309" t="s">
        <v>14</v>
      </c>
      <c r="L31" s="309" t="s">
        <v>14</v>
      </c>
      <c r="M31" s="325"/>
      <c r="N31" s="310"/>
      <c r="O31" s="310"/>
      <c r="P31" s="325"/>
      <c r="Q31" s="325"/>
      <c r="R31" s="325"/>
      <c r="S31" s="325"/>
      <c r="T31" s="325"/>
      <c r="U31" s="310"/>
      <c r="V31" s="310"/>
      <c r="W31" s="325"/>
      <c r="X31" s="325"/>
      <c r="Y31" s="325"/>
      <c r="Z31" s="325"/>
      <c r="AA31" s="309" t="s">
        <v>14</v>
      </c>
      <c r="AB31" s="309" t="s">
        <v>14</v>
      </c>
      <c r="AC31" s="309" t="s">
        <v>14</v>
      </c>
      <c r="AD31" s="309" t="s">
        <v>14</v>
      </c>
      <c r="AE31" s="309" t="s">
        <v>14</v>
      </c>
      <c r="AF31" s="309" t="s">
        <v>14</v>
      </c>
      <c r="AG31" s="309" t="s">
        <v>14</v>
      </c>
      <c r="AH31" s="351"/>
    </row>
    <row r="32" spans="1:36">
      <c r="A32" s="122" t="s">
        <v>33</v>
      </c>
      <c r="B32" s="123" t="s">
        <v>34</v>
      </c>
      <c r="C32" s="124" t="s">
        <v>58</v>
      </c>
      <c r="D32" s="332"/>
      <c r="E32" s="332"/>
      <c r="F32" s="326"/>
      <c r="G32" s="326"/>
      <c r="H32" s="326"/>
      <c r="I32" s="330"/>
      <c r="J32" s="121" t="s">
        <v>14</v>
      </c>
      <c r="K32" s="121" t="s">
        <v>14</v>
      </c>
      <c r="L32" s="121" t="s">
        <v>14</v>
      </c>
      <c r="M32" s="121" t="s">
        <v>14</v>
      </c>
      <c r="N32" s="121" t="s">
        <v>14</v>
      </c>
      <c r="O32" s="121" t="s">
        <v>14</v>
      </c>
      <c r="P32" s="121" t="s">
        <v>14</v>
      </c>
      <c r="Q32" s="320"/>
      <c r="R32" s="342"/>
      <c r="S32" s="337"/>
      <c r="T32" s="320"/>
      <c r="U32" s="320"/>
      <c r="V32" s="320"/>
      <c r="W32" s="320"/>
      <c r="X32" s="326"/>
      <c r="Y32" s="332"/>
      <c r="Z32" s="332"/>
      <c r="AA32" s="326"/>
      <c r="AB32" s="326"/>
      <c r="AC32" s="326"/>
      <c r="AD32" s="326"/>
      <c r="AE32" s="121" t="s">
        <v>14</v>
      </c>
      <c r="AF32" s="121" t="s">
        <v>14</v>
      </c>
      <c r="AG32" s="121" t="s">
        <v>14</v>
      </c>
      <c r="AH32" s="355"/>
    </row>
    <row r="33" spans="1:34">
      <c r="A33" s="122" t="s">
        <v>38</v>
      </c>
      <c r="B33" s="125" t="s">
        <v>34</v>
      </c>
      <c r="C33" s="129" t="s">
        <v>58</v>
      </c>
      <c r="D33" s="121" t="s">
        <v>14</v>
      </c>
      <c r="E33" s="121" t="s">
        <v>14</v>
      </c>
      <c r="F33" s="121" t="s">
        <v>14</v>
      </c>
      <c r="G33" s="121" t="s">
        <v>14</v>
      </c>
      <c r="H33" s="121" t="s">
        <v>14</v>
      </c>
      <c r="I33" s="121" t="s">
        <v>14</v>
      </c>
      <c r="J33" s="321"/>
      <c r="K33" s="115"/>
      <c r="L33" s="115"/>
      <c r="M33" s="321"/>
      <c r="N33" s="321"/>
      <c r="O33" s="321"/>
      <c r="P33" s="321"/>
      <c r="Q33" s="322"/>
      <c r="R33" s="115"/>
      <c r="S33" s="115"/>
      <c r="T33" s="322"/>
      <c r="U33" s="322"/>
      <c r="V33" s="322"/>
      <c r="W33" s="322"/>
      <c r="X33" s="121" t="s">
        <v>14</v>
      </c>
      <c r="Y33" s="121" t="s">
        <v>14</v>
      </c>
      <c r="Z33" s="121" t="s">
        <v>14</v>
      </c>
      <c r="AA33" s="121" t="s">
        <v>14</v>
      </c>
      <c r="AB33" s="121" t="s">
        <v>14</v>
      </c>
      <c r="AC33" s="121" t="s">
        <v>14</v>
      </c>
      <c r="AD33" s="121" t="s">
        <v>14</v>
      </c>
      <c r="AE33" s="322"/>
      <c r="AF33" s="115"/>
      <c r="AG33" s="115"/>
      <c r="AH33" s="347"/>
    </row>
    <row r="34" spans="1:34" ht="15.75" thickBot="1">
      <c r="A34" s="126" t="s">
        <v>40</v>
      </c>
      <c r="B34" s="127" t="s">
        <v>34</v>
      </c>
      <c r="C34" s="128" t="s">
        <v>58</v>
      </c>
      <c r="D34" s="256"/>
      <c r="E34" s="256"/>
      <c r="F34" s="325"/>
      <c r="G34" s="325"/>
      <c r="H34" s="325"/>
      <c r="I34" s="325"/>
      <c r="J34" s="325"/>
      <c r="K34" s="310"/>
      <c r="L34" s="310"/>
      <c r="M34" s="325"/>
      <c r="N34" s="325"/>
      <c r="O34" s="325"/>
      <c r="P34" s="325"/>
      <c r="Q34" s="309" t="s">
        <v>14</v>
      </c>
      <c r="R34" s="309" t="s">
        <v>14</v>
      </c>
      <c r="S34" s="309" t="s">
        <v>14</v>
      </c>
      <c r="T34" s="309" t="s">
        <v>14</v>
      </c>
      <c r="U34" s="309" t="s">
        <v>14</v>
      </c>
      <c r="V34" s="309" t="s">
        <v>14</v>
      </c>
      <c r="W34" s="309" t="s">
        <v>14</v>
      </c>
      <c r="X34" s="325"/>
      <c r="Y34" s="256"/>
      <c r="Z34" s="256"/>
      <c r="AA34" s="325" t="s">
        <v>9</v>
      </c>
      <c r="AB34" s="325" t="s">
        <v>9</v>
      </c>
      <c r="AC34" s="325" t="s">
        <v>9</v>
      </c>
      <c r="AD34" s="325" t="s">
        <v>9</v>
      </c>
      <c r="AE34" s="325" t="s">
        <v>9</v>
      </c>
      <c r="AF34" s="310"/>
      <c r="AG34" s="310"/>
      <c r="AH34" s="348"/>
    </row>
    <row r="35" spans="1:34">
      <c r="A35" s="360" t="s">
        <v>33</v>
      </c>
      <c r="B35" s="311" t="s">
        <v>34</v>
      </c>
      <c r="C35" s="312" t="s">
        <v>59</v>
      </c>
      <c r="D35" s="121" t="s">
        <v>14</v>
      </c>
      <c r="E35" s="121" t="s">
        <v>14</v>
      </c>
      <c r="F35" s="121" t="s">
        <v>14</v>
      </c>
      <c r="G35" s="121" t="s">
        <v>14</v>
      </c>
      <c r="H35" s="320"/>
      <c r="I35" s="342"/>
      <c r="J35" s="342"/>
      <c r="K35" s="337"/>
      <c r="L35" s="320"/>
      <c r="M35" s="320"/>
      <c r="N35" s="320"/>
      <c r="O35" s="334"/>
      <c r="P35" s="337"/>
      <c r="Q35" s="337"/>
      <c r="R35" s="334"/>
      <c r="S35" s="335"/>
      <c r="T35" s="334"/>
      <c r="U35" s="334"/>
      <c r="V35" s="121" t="s">
        <v>14</v>
      </c>
      <c r="W35" s="121" t="s">
        <v>14</v>
      </c>
      <c r="X35" s="121" t="s">
        <v>14</v>
      </c>
      <c r="Y35" s="121" t="s">
        <v>14</v>
      </c>
      <c r="Z35" s="121" t="s">
        <v>14</v>
      </c>
      <c r="AA35" s="121" t="s">
        <v>14</v>
      </c>
      <c r="AB35" s="121" t="s">
        <v>14</v>
      </c>
      <c r="AC35" s="320"/>
      <c r="AD35" s="342"/>
      <c r="AE35" s="337"/>
      <c r="AF35" s="320"/>
      <c r="AG35" s="320"/>
      <c r="AH35" s="349"/>
    </row>
    <row r="36" spans="1:34">
      <c r="A36" s="361" t="s">
        <v>38</v>
      </c>
      <c r="B36" s="254" t="s">
        <v>34</v>
      </c>
      <c r="C36" s="253" t="s">
        <v>59</v>
      </c>
      <c r="D36" s="321"/>
      <c r="E36" s="321"/>
      <c r="F36" s="321"/>
      <c r="G36" s="321"/>
      <c r="H36" s="331"/>
      <c r="I36" s="242"/>
      <c r="J36" s="242"/>
      <c r="K36" s="242"/>
      <c r="L36" s="338"/>
      <c r="M36" s="321"/>
      <c r="N36" s="321"/>
      <c r="O36" s="121" t="s">
        <v>14</v>
      </c>
      <c r="P36" s="121" t="s">
        <v>14</v>
      </c>
      <c r="Q36" s="121" t="s">
        <v>14</v>
      </c>
      <c r="R36" s="121" t="s">
        <v>14</v>
      </c>
      <c r="S36" s="121" t="s">
        <v>14</v>
      </c>
      <c r="T36" s="121" t="s">
        <v>14</v>
      </c>
      <c r="U36" s="121" t="s">
        <v>14</v>
      </c>
      <c r="V36" s="321"/>
      <c r="W36" s="115"/>
      <c r="X36" s="115"/>
      <c r="Y36" s="321"/>
      <c r="Z36" s="321"/>
      <c r="AA36" s="321"/>
      <c r="AB36" s="115"/>
      <c r="AC36" s="321"/>
      <c r="AD36" s="242"/>
      <c r="AE36" s="242"/>
      <c r="AF36" s="321"/>
      <c r="AG36" s="321"/>
      <c r="AH36" s="358"/>
    </row>
    <row r="37" spans="1:34" ht="15.75" thickBot="1">
      <c r="A37" s="362" t="s">
        <v>40</v>
      </c>
      <c r="B37" s="313" t="s">
        <v>34</v>
      </c>
      <c r="C37" s="314" t="s">
        <v>59</v>
      </c>
      <c r="D37" s="323"/>
      <c r="E37" s="323"/>
      <c r="F37" s="323"/>
      <c r="G37" s="323"/>
      <c r="H37" s="309" t="s">
        <v>14</v>
      </c>
      <c r="I37" s="309" t="s">
        <v>14</v>
      </c>
      <c r="J37" s="309" t="s">
        <v>14</v>
      </c>
      <c r="K37" s="309" t="s">
        <v>14</v>
      </c>
      <c r="L37" s="309" t="s">
        <v>14</v>
      </c>
      <c r="M37" s="309" t="s">
        <v>14</v>
      </c>
      <c r="N37" s="309" t="s">
        <v>14</v>
      </c>
      <c r="O37" s="323"/>
      <c r="P37" s="256"/>
      <c r="Q37" s="256"/>
      <c r="R37" s="323"/>
      <c r="S37" s="323"/>
      <c r="T37" s="323"/>
      <c r="U37" s="323"/>
      <c r="V37" s="323"/>
      <c r="W37" s="256"/>
      <c r="X37" s="256"/>
      <c r="Y37" s="323"/>
      <c r="Z37" s="323"/>
      <c r="AA37" s="323"/>
      <c r="AB37" s="256"/>
      <c r="AC37" s="309" t="s">
        <v>14</v>
      </c>
      <c r="AD37" s="309" t="s">
        <v>14</v>
      </c>
      <c r="AE37" s="309" t="s">
        <v>14</v>
      </c>
      <c r="AF37" s="309" t="s">
        <v>14</v>
      </c>
      <c r="AG37" s="309" t="s">
        <v>14</v>
      </c>
      <c r="AH37" s="357" t="s">
        <v>14</v>
      </c>
    </row>
    <row r="38" spans="1:34">
      <c r="A38" s="255" t="s">
        <v>33</v>
      </c>
      <c r="B38" s="149" t="s">
        <v>34</v>
      </c>
      <c r="C38" s="129" t="s">
        <v>60</v>
      </c>
      <c r="D38" s="168"/>
      <c r="E38" s="320" t="s">
        <v>9</v>
      </c>
      <c r="F38" s="168"/>
      <c r="G38" s="168"/>
      <c r="H38" s="320" t="s">
        <v>9</v>
      </c>
      <c r="I38" s="168"/>
      <c r="J38" s="320" t="s">
        <v>9</v>
      </c>
      <c r="K38" s="320"/>
      <c r="L38" s="121" t="s">
        <v>14</v>
      </c>
      <c r="M38" s="121" t="s">
        <v>14</v>
      </c>
      <c r="N38" s="121" t="s">
        <v>14</v>
      </c>
      <c r="O38" s="121" t="s">
        <v>14</v>
      </c>
      <c r="P38" s="121" t="s">
        <v>14</v>
      </c>
      <c r="Q38" s="121" t="s">
        <v>14</v>
      </c>
      <c r="R38" s="121" t="s">
        <v>14</v>
      </c>
      <c r="S38" s="334"/>
      <c r="T38" s="342"/>
      <c r="U38" s="337"/>
      <c r="V38" s="334"/>
      <c r="W38" s="334"/>
      <c r="X38" s="334"/>
      <c r="Y38" s="334"/>
      <c r="Z38" s="320"/>
      <c r="AA38" s="168"/>
      <c r="AB38" s="168"/>
      <c r="AC38" s="320"/>
      <c r="AD38" s="320"/>
      <c r="AE38" s="320"/>
      <c r="AF38" s="320"/>
      <c r="AG38" s="121" t="s">
        <v>14</v>
      </c>
      <c r="AH38" s="356" t="s">
        <v>14</v>
      </c>
    </row>
    <row r="39" spans="1:34">
      <c r="A39" s="122" t="s">
        <v>38</v>
      </c>
      <c r="B39" s="125" t="s">
        <v>34</v>
      </c>
      <c r="C39" s="129" t="s">
        <v>60</v>
      </c>
      <c r="D39" s="168"/>
      <c r="E39" s="121" t="s">
        <v>14</v>
      </c>
      <c r="F39" s="121" t="s">
        <v>14</v>
      </c>
      <c r="G39" s="121" t="s">
        <v>14</v>
      </c>
      <c r="H39" s="121" t="s">
        <v>14</v>
      </c>
      <c r="I39" s="121" t="s">
        <v>14</v>
      </c>
      <c r="J39" s="121" t="s">
        <v>14</v>
      </c>
      <c r="K39" s="121" t="s">
        <v>14</v>
      </c>
      <c r="L39" s="322"/>
      <c r="M39" s="115"/>
      <c r="N39" s="115"/>
      <c r="O39" s="322"/>
      <c r="P39" s="322"/>
      <c r="Q39" s="322"/>
      <c r="R39" s="322"/>
      <c r="S39" s="322"/>
      <c r="T39" s="115"/>
      <c r="U39" s="115"/>
      <c r="V39" s="322"/>
      <c r="W39" s="322"/>
      <c r="X39" s="322"/>
      <c r="Y39" s="322"/>
      <c r="Z39" s="121" t="s">
        <v>14</v>
      </c>
      <c r="AA39" s="121" t="s">
        <v>14</v>
      </c>
      <c r="AB39" s="121" t="s">
        <v>14</v>
      </c>
      <c r="AC39" s="121" t="s">
        <v>14</v>
      </c>
      <c r="AD39" s="121" t="s">
        <v>14</v>
      </c>
      <c r="AE39" s="121" t="s">
        <v>14</v>
      </c>
      <c r="AF39" s="121" t="s">
        <v>14</v>
      </c>
      <c r="AG39" s="322"/>
      <c r="AH39" s="353"/>
    </row>
    <row r="40" spans="1:34" ht="15.75" thickBot="1">
      <c r="A40" s="126" t="s">
        <v>40</v>
      </c>
      <c r="B40" s="127" t="s">
        <v>34</v>
      </c>
      <c r="C40" s="129" t="s">
        <v>60</v>
      </c>
      <c r="D40" s="309" t="s">
        <v>14</v>
      </c>
      <c r="E40" s="325" t="s">
        <v>9</v>
      </c>
      <c r="F40" s="310"/>
      <c r="G40" s="310"/>
      <c r="H40" s="325" t="s">
        <v>9</v>
      </c>
      <c r="I40" s="310"/>
      <c r="J40" s="325" t="s">
        <v>9</v>
      </c>
      <c r="K40" s="325" t="s">
        <v>9</v>
      </c>
      <c r="L40" s="325" t="s">
        <v>9</v>
      </c>
      <c r="M40" s="310"/>
      <c r="N40" s="310"/>
      <c r="O40" s="325"/>
      <c r="P40" s="325"/>
      <c r="Q40" s="325"/>
      <c r="R40" s="325"/>
      <c r="S40" s="309" t="s">
        <v>14</v>
      </c>
      <c r="T40" s="309" t="s">
        <v>14</v>
      </c>
      <c r="U40" s="309" t="s">
        <v>14</v>
      </c>
      <c r="V40" s="309" t="s">
        <v>14</v>
      </c>
      <c r="W40" s="309" t="s">
        <v>14</v>
      </c>
      <c r="X40" s="309" t="s">
        <v>14</v>
      </c>
      <c r="Y40" s="309" t="s">
        <v>14</v>
      </c>
      <c r="Z40" s="325"/>
      <c r="AA40" s="256"/>
      <c r="AB40" s="256"/>
      <c r="AC40" s="325"/>
      <c r="AD40" s="325"/>
      <c r="AE40" s="325"/>
      <c r="AF40" s="325"/>
      <c r="AG40" s="323"/>
      <c r="AH40" s="354"/>
    </row>
    <row r="41" spans="1:34" ht="15.75" thickBot="1">
      <c r="A41" s="116" t="s">
        <v>30</v>
      </c>
      <c r="B41" s="117" t="s">
        <v>31</v>
      </c>
      <c r="C41" s="118" t="s">
        <v>32</v>
      </c>
      <c r="D41" s="119">
        <v>42491</v>
      </c>
      <c r="E41" s="119">
        <v>42492</v>
      </c>
      <c r="F41" s="119">
        <v>42493</v>
      </c>
      <c r="G41" s="119">
        <v>42494</v>
      </c>
      <c r="H41" s="119">
        <v>42495</v>
      </c>
      <c r="I41" s="119">
        <v>42496</v>
      </c>
      <c r="J41" s="119">
        <v>42497</v>
      </c>
      <c r="K41" s="119">
        <v>42498</v>
      </c>
      <c r="L41" s="119">
        <v>42499</v>
      </c>
      <c r="M41" s="119">
        <v>42500</v>
      </c>
      <c r="N41" s="119">
        <v>42501</v>
      </c>
      <c r="O41" s="119">
        <v>42502</v>
      </c>
      <c r="P41" s="119">
        <v>42503</v>
      </c>
      <c r="Q41" s="119">
        <v>42504</v>
      </c>
      <c r="R41" s="119">
        <v>42505</v>
      </c>
      <c r="S41" s="119">
        <v>42506</v>
      </c>
      <c r="T41" s="119">
        <v>42507</v>
      </c>
      <c r="U41" s="119">
        <v>42508</v>
      </c>
      <c r="V41" s="119">
        <v>42509</v>
      </c>
      <c r="W41" s="119">
        <v>42510</v>
      </c>
      <c r="X41" s="119">
        <v>42511</v>
      </c>
      <c r="Y41" s="119">
        <v>42512</v>
      </c>
      <c r="Z41" s="119">
        <v>42513</v>
      </c>
      <c r="AA41" s="119">
        <v>42514</v>
      </c>
      <c r="AB41" s="119">
        <v>42515</v>
      </c>
      <c r="AC41" s="119">
        <v>42516</v>
      </c>
      <c r="AD41" s="119">
        <v>42517</v>
      </c>
      <c r="AE41" s="119">
        <v>42518</v>
      </c>
      <c r="AF41" s="119">
        <v>42519</v>
      </c>
      <c r="AG41" s="119">
        <v>42520</v>
      </c>
      <c r="AH41" s="120">
        <v>31</v>
      </c>
    </row>
  </sheetData>
  <conditionalFormatting sqref="D5:I6 J6:AK6">
    <cfRule type="cellIs" dxfId="795" priority="41" operator="equal">
      <formula>"G"</formula>
    </cfRule>
    <cfRule type="cellIs" dxfId="794" priority="42" operator="equal">
      <formula>"V"</formula>
    </cfRule>
  </conditionalFormatting>
  <conditionalFormatting sqref="D1:AH4">
    <cfRule type="cellIs" dxfId="793" priority="37" operator="equal">
      <formula>"G"</formula>
    </cfRule>
    <cfRule type="cellIs" dxfId="792" priority="38" operator="equal">
      <formula>"V"</formula>
    </cfRule>
  </conditionalFormatting>
  <conditionalFormatting sqref="D7:AH41">
    <cfRule type="cellIs" dxfId="791" priority="1" operator="equal">
      <formula>"G"</formula>
    </cfRule>
    <cfRule type="cellIs" dxfId="790" priority="2" operator="equal">
      <formula>"V"</formula>
    </cfRule>
  </conditionalFormatting>
  <conditionalFormatting sqref="J5:AH5">
    <cfRule type="cellIs" dxfId="789" priority="45" operator="equal">
      <formula>"G"</formula>
    </cfRule>
    <cfRule type="cellIs" dxfId="788" priority="46" operator="equal">
      <formula>"V"</formula>
    </cfRule>
  </conditionalFormatting>
  <conditionalFormatting sqref="AJ2:AJ3">
    <cfRule type="cellIs" dxfId="787" priority="235" operator="equal">
      <formula>"G"</formula>
    </cfRule>
    <cfRule type="cellIs" dxfId="786" priority="236" operator="equal">
      <formula>"V"</formula>
    </cfRule>
  </conditionalFormatting>
  <hyperlinks>
    <hyperlink ref="AJ8" r:id="rId1" xr:uid="{BF575E8F-0126-4877-860F-A6EC0DE14616}"/>
    <hyperlink ref="AJ9" r:id="rId2" xr:uid="{FE9C0A56-49EC-41A5-9E82-FABF5A670CED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6"/>
  </sheetPr>
  <dimension ref="A1:AY119"/>
  <sheetViews>
    <sheetView workbookViewId="0">
      <pane xSplit="1" ySplit="1" topLeftCell="B2" activePane="bottomRight" state="frozen"/>
      <selection pane="bottomRight" activeCell="AI37" sqref="AI37"/>
      <selection pane="bottomLeft" activeCell="A3" sqref="A3"/>
      <selection pane="topRight" activeCell="B1" sqref="B1"/>
    </sheetView>
  </sheetViews>
  <sheetFormatPr defaultColWidth="9.140625" defaultRowHeight="15"/>
  <cols>
    <col min="1" max="1" width="0.85546875" style="50" customWidth="1"/>
    <col min="2" max="2" width="19.5703125" customWidth="1"/>
    <col min="3" max="3" width="2.85546875" bestFit="1" customWidth="1"/>
    <col min="4" max="4" width="3.28515625" bestFit="1" customWidth="1"/>
    <col min="5" max="5" width="3.5703125" bestFit="1" customWidth="1"/>
    <col min="6" max="6" width="3" bestFit="1" customWidth="1"/>
    <col min="7" max="7" width="3.85546875" bestFit="1" customWidth="1"/>
    <col min="8" max="8" width="3.140625" bestFit="1" customWidth="1"/>
    <col min="9" max="9" width="3" bestFit="1" customWidth="1"/>
    <col min="10" max="12" width="3" customWidth="1"/>
    <col min="13" max="13" width="3" bestFit="1" customWidth="1"/>
    <col min="14" max="14" width="3.85546875" bestFit="1" customWidth="1"/>
    <col min="15" max="15" width="3.140625" bestFit="1" customWidth="1"/>
    <col min="16" max="16" width="3" bestFit="1" customWidth="1"/>
    <col min="17" max="17" width="2.85546875" bestFit="1" customWidth="1"/>
    <col min="18" max="18" width="3.28515625" bestFit="1" customWidth="1"/>
    <col min="19" max="19" width="3.5703125" bestFit="1" customWidth="1"/>
    <col min="20" max="20" width="3.7109375" customWidth="1"/>
    <col min="21" max="21" width="3.85546875" bestFit="1" customWidth="1"/>
    <col min="22" max="22" width="3.140625" bestFit="1" customWidth="1"/>
    <col min="23" max="23" width="3" bestFit="1" customWidth="1"/>
    <col min="24" max="24" width="2.85546875" bestFit="1" customWidth="1"/>
    <col min="25" max="25" width="3.28515625" bestFit="1" customWidth="1"/>
    <col min="26" max="26" width="3.5703125" bestFit="1" customWidth="1"/>
    <col min="27" max="27" width="3" bestFit="1" customWidth="1"/>
    <col min="28" max="28" width="3.85546875" bestFit="1" customWidth="1"/>
    <col min="29" max="29" width="3.140625" bestFit="1" customWidth="1"/>
    <col min="30" max="30" width="3" bestFit="1" customWidth="1"/>
    <col min="31" max="31" width="2.85546875" bestFit="1" customWidth="1"/>
    <col min="32" max="32" width="3.28515625" bestFit="1" customWidth="1"/>
    <col min="33" max="33" width="3.5703125" bestFit="1" customWidth="1"/>
    <col min="34" max="34" width="3.7109375" customWidth="1"/>
    <col min="35" max="35" width="28.140625" style="50" customWidth="1"/>
    <col min="36" max="51" width="9.140625" style="50"/>
  </cols>
  <sheetData>
    <row r="1" spans="2:35">
      <c r="B1" s="50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2:35">
      <c r="B2" s="5">
        <v>45658</v>
      </c>
      <c r="C2" s="893"/>
      <c r="D2" s="894"/>
      <c r="E2" s="894"/>
      <c r="F2" s="894"/>
      <c r="G2" s="894"/>
      <c r="H2" s="894"/>
      <c r="I2" s="894"/>
      <c r="J2" s="894"/>
      <c r="K2" s="894"/>
      <c r="L2" s="894"/>
      <c r="M2" s="894"/>
      <c r="N2" s="894"/>
      <c r="O2" s="894"/>
      <c r="P2" s="894"/>
      <c r="Q2" s="894"/>
      <c r="R2" s="894"/>
      <c r="S2" s="894"/>
      <c r="T2" s="894"/>
      <c r="U2" s="894"/>
      <c r="V2" s="894"/>
      <c r="W2" s="894"/>
      <c r="X2" s="894"/>
      <c r="Y2" s="894"/>
      <c r="Z2" s="894"/>
      <c r="AA2" s="894"/>
      <c r="AB2" s="894"/>
      <c r="AC2" s="894"/>
      <c r="AD2" s="894"/>
      <c r="AE2" s="894"/>
      <c r="AF2" s="894"/>
      <c r="AG2" s="894"/>
      <c r="AH2" s="894"/>
      <c r="AI2" s="156" t="s">
        <v>48</v>
      </c>
    </row>
    <row r="3" spans="2:35">
      <c r="B3" s="9"/>
      <c r="C3" s="18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 t="s">
        <v>6</v>
      </c>
      <c r="I3" s="18" t="s">
        <v>7</v>
      </c>
      <c r="J3" s="18" t="s">
        <v>1</v>
      </c>
      <c r="K3" s="18" t="s">
        <v>2</v>
      </c>
      <c r="L3" s="18" t="s">
        <v>3</v>
      </c>
      <c r="M3" s="18" t="s">
        <v>4</v>
      </c>
      <c r="N3" s="18" t="s">
        <v>5</v>
      </c>
      <c r="O3" s="18" t="s">
        <v>6</v>
      </c>
      <c r="P3" s="18" t="s">
        <v>7</v>
      </c>
      <c r="Q3" s="18" t="s">
        <v>1</v>
      </c>
      <c r="R3" s="18" t="s">
        <v>2</v>
      </c>
      <c r="S3" s="18" t="s">
        <v>3</v>
      </c>
      <c r="T3" s="18" t="s">
        <v>4</v>
      </c>
      <c r="U3" s="18" t="s">
        <v>5</v>
      </c>
      <c r="V3" s="18" t="s">
        <v>6</v>
      </c>
      <c r="W3" s="18" t="s">
        <v>7</v>
      </c>
      <c r="X3" s="18" t="s">
        <v>1</v>
      </c>
      <c r="Y3" s="18" t="s">
        <v>2</v>
      </c>
      <c r="Z3" s="18" t="s">
        <v>3</v>
      </c>
      <c r="AA3" s="18" t="s">
        <v>4</v>
      </c>
      <c r="AB3" s="18" t="s">
        <v>5</v>
      </c>
      <c r="AC3" s="18" t="s">
        <v>6</v>
      </c>
      <c r="AD3" s="18" t="s">
        <v>7</v>
      </c>
      <c r="AE3" s="18" t="s">
        <v>1</v>
      </c>
      <c r="AF3" s="18" t="s">
        <v>2</v>
      </c>
      <c r="AG3" s="18" t="s">
        <v>3</v>
      </c>
      <c r="AH3" s="49"/>
      <c r="AI3" s="296"/>
    </row>
    <row r="4" spans="2:35">
      <c r="B4" s="363" t="s">
        <v>61</v>
      </c>
      <c r="C4" s="8">
        <v>1</v>
      </c>
      <c r="D4" s="56">
        <v>2</v>
      </c>
      <c r="E4" s="56">
        <v>3</v>
      </c>
      <c r="F4" s="6">
        <v>4</v>
      </c>
      <c r="G4" s="6">
        <v>5</v>
      </c>
      <c r="H4" s="8">
        <v>6</v>
      </c>
      <c r="I4" s="56">
        <v>7</v>
      </c>
      <c r="J4" s="56">
        <v>8</v>
      </c>
      <c r="K4" s="56">
        <v>9</v>
      </c>
      <c r="L4" s="56">
        <v>10</v>
      </c>
      <c r="M4" s="6">
        <v>11</v>
      </c>
      <c r="N4" s="6">
        <v>12</v>
      </c>
      <c r="O4" s="56">
        <v>13</v>
      </c>
      <c r="P4" s="56">
        <v>14</v>
      </c>
      <c r="Q4" s="56">
        <v>15</v>
      </c>
      <c r="R4" s="56">
        <v>16</v>
      </c>
      <c r="S4" s="56">
        <v>17</v>
      </c>
      <c r="T4" s="6">
        <v>18</v>
      </c>
      <c r="U4" s="6">
        <v>19</v>
      </c>
      <c r="V4" s="56">
        <v>20</v>
      </c>
      <c r="W4" s="56">
        <v>21</v>
      </c>
      <c r="X4" s="56">
        <v>22</v>
      </c>
      <c r="Y4" s="56" t="s">
        <v>9</v>
      </c>
      <c r="Z4" s="56" t="s">
        <v>9</v>
      </c>
      <c r="AA4" s="6">
        <v>25</v>
      </c>
      <c r="AB4" s="6">
        <v>26</v>
      </c>
      <c r="AC4" s="56" t="s">
        <v>9</v>
      </c>
      <c r="AD4" s="56" t="s">
        <v>9</v>
      </c>
      <c r="AE4" s="56" t="s">
        <v>9</v>
      </c>
      <c r="AF4" s="56" t="s">
        <v>9</v>
      </c>
      <c r="AG4" s="56" t="s">
        <v>9</v>
      </c>
      <c r="AH4" s="49"/>
      <c r="AI4" s="296"/>
    </row>
    <row r="5" spans="2:35">
      <c r="B5" s="363" t="s">
        <v>24</v>
      </c>
      <c r="C5" s="8">
        <v>1</v>
      </c>
      <c r="D5" s="56" t="s">
        <v>9</v>
      </c>
      <c r="E5" s="56" t="s">
        <v>9</v>
      </c>
      <c r="F5" s="6">
        <v>4</v>
      </c>
      <c r="G5" s="6">
        <v>5</v>
      </c>
      <c r="H5" s="8">
        <v>6</v>
      </c>
      <c r="I5" s="56" t="s">
        <v>9</v>
      </c>
      <c r="J5" s="56" t="s">
        <v>9</v>
      </c>
      <c r="K5" s="56" t="s">
        <v>9</v>
      </c>
      <c r="L5" s="56" t="s">
        <v>9</v>
      </c>
      <c r="M5" s="6">
        <v>11</v>
      </c>
      <c r="N5" s="6">
        <v>12</v>
      </c>
      <c r="O5" s="56">
        <v>13</v>
      </c>
      <c r="P5" s="56">
        <v>14</v>
      </c>
      <c r="Q5" s="8" t="s">
        <v>14</v>
      </c>
      <c r="R5" s="8" t="s">
        <v>14</v>
      </c>
      <c r="S5" s="8" t="s">
        <v>14</v>
      </c>
      <c r="T5" s="8" t="s">
        <v>14</v>
      </c>
      <c r="U5" s="8" t="s">
        <v>14</v>
      </c>
      <c r="V5" s="8" t="s">
        <v>14</v>
      </c>
      <c r="W5" s="8" t="s">
        <v>14</v>
      </c>
      <c r="X5" s="56">
        <v>22</v>
      </c>
      <c r="Y5" s="34" t="s">
        <v>9</v>
      </c>
      <c r="Z5" s="56">
        <v>24</v>
      </c>
      <c r="AA5" s="6">
        <v>25</v>
      </c>
      <c r="AB5" s="6">
        <v>26</v>
      </c>
      <c r="AC5" s="56">
        <v>27</v>
      </c>
      <c r="AD5" s="56">
        <v>28</v>
      </c>
      <c r="AE5" s="56">
        <v>29</v>
      </c>
      <c r="AF5" s="56">
        <v>30</v>
      </c>
      <c r="AG5" s="56" t="s">
        <v>9</v>
      </c>
      <c r="AH5" s="49"/>
      <c r="AI5" s="296"/>
    </row>
    <row r="6" spans="2:35">
      <c r="B6" s="363" t="s">
        <v>15</v>
      </c>
      <c r="C6" s="8">
        <v>1</v>
      </c>
      <c r="D6" s="56">
        <v>2</v>
      </c>
      <c r="E6" s="56">
        <v>3</v>
      </c>
      <c r="F6" s="6">
        <v>4</v>
      </c>
      <c r="G6" s="6">
        <v>5</v>
      </c>
      <c r="H6" s="8">
        <v>6</v>
      </c>
      <c r="I6" s="56">
        <v>7</v>
      </c>
      <c r="J6" s="56">
        <v>8</v>
      </c>
      <c r="K6" s="56">
        <v>9</v>
      </c>
      <c r="L6" s="56">
        <v>10</v>
      </c>
      <c r="M6" s="6">
        <v>11</v>
      </c>
      <c r="N6" s="6">
        <v>12</v>
      </c>
      <c r="O6" s="56">
        <v>13</v>
      </c>
      <c r="P6" s="56">
        <v>14</v>
      </c>
      <c r="Q6" s="56">
        <v>15</v>
      </c>
      <c r="R6" s="56">
        <v>16</v>
      </c>
      <c r="S6" s="56">
        <v>17</v>
      </c>
      <c r="T6" s="6">
        <v>18</v>
      </c>
      <c r="U6" s="6">
        <v>19</v>
      </c>
      <c r="V6" s="56">
        <v>20</v>
      </c>
      <c r="W6" s="56">
        <v>21</v>
      </c>
      <c r="X6" s="8" t="s">
        <v>14</v>
      </c>
      <c r="Y6" s="8" t="s">
        <v>14</v>
      </c>
      <c r="Z6" s="8" t="s">
        <v>14</v>
      </c>
      <c r="AA6" s="8" t="s">
        <v>14</v>
      </c>
      <c r="AB6" s="8" t="s">
        <v>14</v>
      </c>
      <c r="AC6" s="8" t="s">
        <v>14</v>
      </c>
      <c r="AD6" s="8" t="s">
        <v>14</v>
      </c>
      <c r="AE6" s="56">
        <v>29</v>
      </c>
      <c r="AF6" s="56">
        <v>30</v>
      </c>
      <c r="AG6" s="56">
        <v>31</v>
      </c>
      <c r="AH6" s="49"/>
      <c r="AI6" s="296"/>
    </row>
    <row r="7" spans="2:35">
      <c r="B7" s="363" t="s">
        <v>18</v>
      </c>
      <c r="C7" s="8" t="s">
        <v>14</v>
      </c>
      <c r="D7" s="8" t="s">
        <v>14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  <c r="J7" s="56">
        <v>8</v>
      </c>
      <c r="K7" s="56">
        <v>9</v>
      </c>
      <c r="L7" s="56">
        <v>10</v>
      </c>
      <c r="M7" s="6">
        <v>11</v>
      </c>
      <c r="N7" s="6">
        <v>12</v>
      </c>
      <c r="O7" s="56">
        <v>13</v>
      </c>
      <c r="P7" s="56">
        <v>14</v>
      </c>
      <c r="Q7" s="56">
        <v>15</v>
      </c>
      <c r="R7" s="56">
        <v>16</v>
      </c>
      <c r="S7" s="56">
        <v>17</v>
      </c>
      <c r="T7" s="6">
        <v>18</v>
      </c>
      <c r="U7" s="6">
        <v>19</v>
      </c>
      <c r="V7" s="56">
        <v>20</v>
      </c>
      <c r="W7" s="56">
        <v>21</v>
      </c>
      <c r="X7" s="56">
        <v>22</v>
      </c>
      <c r="Y7" s="56">
        <v>23</v>
      </c>
      <c r="Z7" s="56">
        <v>24</v>
      </c>
      <c r="AA7" s="6">
        <v>25</v>
      </c>
      <c r="AB7" s="6">
        <v>26</v>
      </c>
      <c r="AC7" s="56">
        <v>27</v>
      </c>
      <c r="AD7" s="56">
        <v>28</v>
      </c>
      <c r="AE7" s="56">
        <v>29</v>
      </c>
      <c r="AF7" s="56">
        <v>30</v>
      </c>
      <c r="AG7" s="56">
        <v>31</v>
      </c>
      <c r="AH7" s="49"/>
      <c r="AI7" s="296"/>
    </row>
    <row r="8" spans="2:35">
      <c r="B8" s="363" t="s">
        <v>21</v>
      </c>
      <c r="C8" s="8">
        <v>1</v>
      </c>
      <c r="D8" s="56" t="s">
        <v>9</v>
      </c>
      <c r="E8" s="56" t="s">
        <v>9</v>
      </c>
      <c r="F8" s="6">
        <v>4</v>
      </c>
      <c r="G8" s="6">
        <v>5</v>
      </c>
      <c r="H8" s="8">
        <v>6</v>
      </c>
      <c r="I8" s="56">
        <v>7</v>
      </c>
      <c r="J8" s="56">
        <v>8</v>
      </c>
      <c r="K8" s="56">
        <v>9</v>
      </c>
      <c r="L8" s="56">
        <v>10</v>
      </c>
      <c r="M8" s="6">
        <v>11</v>
      </c>
      <c r="N8" s="6">
        <v>12</v>
      </c>
      <c r="O8" s="56">
        <v>13</v>
      </c>
      <c r="P8" s="56">
        <v>14</v>
      </c>
      <c r="Q8" s="56">
        <v>15</v>
      </c>
      <c r="R8" s="56">
        <v>16</v>
      </c>
      <c r="S8" s="56">
        <v>17</v>
      </c>
      <c r="T8" s="6">
        <v>18</v>
      </c>
      <c r="U8" s="6">
        <v>19</v>
      </c>
      <c r="V8" s="56">
        <v>20</v>
      </c>
      <c r="W8" s="56">
        <v>21</v>
      </c>
      <c r="X8" s="56">
        <v>22</v>
      </c>
      <c r="Y8" s="56">
        <v>23</v>
      </c>
      <c r="Z8" s="56">
        <v>24</v>
      </c>
      <c r="AA8" s="6">
        <v>25</v>
      </c>
      <c r="AB8" s="6">
        <v>26</v>
      </c>
      <c r="AC8" s="56">
        <v>27</v>
      </c>
      <c r="AD8" s="56">
        <v>28</v>
      </c>
      <c r="AE8" s="56">
        <v>29</v>
      </c>
      <c r="AF8" s="56" t="s">
        <v>9</v>
      </c>
      <c r="AG8" s="56">
        <v>31</v>
      </c>
      <c r="AH8" s="49"/>
      <c r="AI8" s="296"/>
    </row>
    <row r="9" spans="2:35">
      <c r="B9" s="363" t="s">
        <v>62</v>
      </c>
      <c r="C9" s="8">
        <v>1</v>
      </c>
      <c r="D9" s="56" t="s">
        <v>9</v>
      </c>
      <c r="E9" s="56" t="s">
        <v>9</v>
      </c>
      <c r="F9" s="6">
        <v>4</v>
      </c>
      <c r="G9" s="6">
        <v>5</v>
      </c>
      <c r="H9" s="8">
        <v>6</v>
      </c>
      <c r="I9" s="56">
        <v>7</v>
      </c>
      <c r="J9" s="8" t="s">
        <v>14</v>
      </c>
      <c r="K9" s="8" t="s">
        <v>14</v>
      </c>
      <c r="L9" s="8" t="s">
        <v>14</v>
      </c>
      <c r="M9" s="8" t="s">
        <v>14</v>
      </c>
      <c r="N9" s="8" t="s">
        <v>14</v>
      </c>
      <c r="O9" s="8" t="s">
        <v>14</v>
      </c>
      <c r="P9" s="8" t="s">
        <v>14</v>
      </c>
      <c r="Q9" s="56">
        <v>15</v>
      </c>
      <c r="R9" s="56">
        <v>16</v>
      </c>
      <c r="S9" s="56">
        <v>17</v>
      </c>
      <c r="T9" s="6">
        <v>18</v>
      </c>
      <c r="U9" s="6">
        <v>19</v>
      </c>
      <c r="V9" s="56">
        <v>20</v>
      </c>
      <c r="W9" s="56">
        <v>21</v>
      </c>
      <c r="X9" s="56">
        <v>22</v>
      </c>
      <c r="Y9" s="56">
        <v>23</v>
      </c>
      <c r="Z9" s="56">
        <v>24</v>
      </c>
      <c r="AA9" s="6">
        <v>25</v>
      </c>
      <c r="AB9" s="6">
        <v>26</v>
      </c>
      <c r="AC9" s="56">
        <v>27</v>
      </c>
      <c r="AD9" s="56">
        <v>28</v>
      </c>
      <c r="AE9" s="56">
        <v>29</v>
      </c>
      <c r="AF9" s="56">
        <v>30</v>
      </c>
      <c r="AG9" s="56">
        <v>31</v>
      </c>
      <c r="AH9" s="49"/>
      <c r="AI9" s="296"/>
    </row>
    <row r="10" spans="2:35" ht="14.45" customHeight="1">
      <c r="B10" s="364" t="s">
        <v>63</v>
      </c>
      <c r="C10" s="8">
        <v>1</v>
      </c>
      <c r="D10" s="56">
        <v>2</v>
      </c>
      <c r="E10" s="56">
        <v>3</v>
      </c>
      <c r="F10" s="6">
        <v>4</v>
      </c>
      <c r="G10" s="6">
        <v>5</v>
      </c>
      <c r="H10" s="8">
        <v>6</v>
      </c>
      <c r="I10" s="56">
        <v>7</v>
      </c>
      <c r="J10" s="56">
        <v>8</v>
      </c>
      <c r="K10" s="56">
        <v>9</v>
      </c>
      <c r="L10" s="56">
        <v>10</v>
      </c>
      <c r="M10" s="6">
        <v>11</v>
      </c>
      <c r="N10" s="6">
        <v>12</v>
      </c>
      <c r="O10" s="56">
        <v>13</v>
      </c>
      <c r="P10" s="56">
        <v>14</v>
      </c>
      <c r="Q10" s="56">
        <v>15</v>
      </c>
      <c r="R10" s="56">
        <v>16</v>
      </c>
      <c r="S10" s="56">
        <v>17</v>
      </c>
      <c r="T10" s="6">
        <v>18</v>
      </c>
      <c r="U10" s="6">
        <v>19</v>
      </c>
      <c r="V10" s="56">
        <v>20</v>
      </c>
      <c r="W10" s="56">
        <v>21</v>
      </c>
      <c r="X10" s="56">
        <v>22</v>
      </c>
      <c r="Y10" s="56">
        <v>23</v>
      </c>
      <c r="Z10" s="56" t="s">
        <v>9</v>
      </c>
      <c r="AA10" s="6">
        <v>25</v>
      </c>
      <c r="AB10" s="6">
        <v>26</v>
      </c>
      <c r="AC10" s="56" t="s">
        <v>9</v>
      </c>
      <c r="AD10" s="56" t="s">
        <v>9</v>
      </c>
      <c r="AE10" s="56" t="s">
        <v>9</v>
      </c>
      <c r="AF10" s="56" t="s">
        <v>9</v>
      </c>
      <c r="AG10" s="56" t="s">
        <v>9</v>
      </c>
      <c r="AH10" s="49"/>
      <c r="AI10" s="296"/>
    </row>
    <row r="11" spans="2:35">
      <c r="B11" s="5">
        <v>45323</v>
      </c>
      <c r="C11" s="893"/>
      <c r="D11" s="894"/>
      <c r="E11" s="894"/>
      <c r="F11" s="894"/>
      <c r="G11" s="894"/>
      <c r="H11" s="894"/>
      <c r="I11" s="894"/>
      <c r="J11" s="894"/>
      <c r="K11" s="894"/>
      <c r="L11" s="894"/>
      <c r="M11" s="894"/>
      <c r="N11" s="894"/>
      <c r="O11" s="894"/>
      <c r="P11" s="894"/>
      <c r="Q11" s="894"/>
      <c r="R11" s="894"/>
      <c r="S11" s="894"/>
      <c r="T11" s="894"/>
      <c r="U11" s="894"/>
      <c r="V11" s="894"/>
      <c r="W11" s="894"/>
      <c r="X11" s="894"/>
      <c r="Y11" s="894"/>
      <c r="Z11" s="894"/>
      <c r="AA11" s="894"/>
      <c r="AB11" s="894"/>
      <c r="AC11" s="894"/>
      <c r="AD11" s="894"/>
      <c r="AE11" s="894"/>
      <c r="AF11" s="896"/>
      <c r="AG11" s="896"/>
      <c r="AH11" s="896"/>
      <c r="AI11" s="296"/>
    </row>
    <row r="12" spans="2:35">
      <c r="B12" s="9"/>
      <c r="C12" s="18" t="s">
        <v>4</v>
      </c>
      <c r="D12" s="18" t="s">
        <v>5</v>
      </c>
      <c r="E12" s="18" t="s">
        <v>6</v>
      </c>
      <c r="F12" s="18" t="s">
        <v>7</v>
      </c>
      <c r="G12" s="18" t="s">
        <v>1</v>
      </c>
      <c r="H12" s="18" t="s">
        <v>2</v>
      </c>
      <c r="I12" s="18" t="s">
        <v>3</v>
      </c>
      <c r="J12" s="18" t="s">
        <v>4</v>
      </c>
      <c r="K12" s="18" t="s">
        <v>5</v>
      </c>
      <c r="L12" s="18" t="s">
        <v>6</v>
      </c>
      <c r="M12" s="18" t="s">
        <v>7</v>
      </c>
      <c r="N12" s="18" t="s">
        <v>1</v>
      </c>
      <c r="O12" s="18" t="s">
        <v>2</v>
      </c>
      <c r="P12" s="18" t="s">
        <v>3</v>
      </c>
      <c r="Q12" s="18" t="s">
        <v>4</v>
      </c>
      <c r="R12" s="18" t="s">
        <v>5</v>
      </c>
      <c r="S12" s="18" t="s">
        <v>6</v>
      </c>
      <c r="T12" s="18" t="s">
        <v>7</v>
      </c>
      <c r="U12" s="18" t="s">
        <v>1</v>
      </c>
      <c r="V12" s="18" t="s">
        <v>2</v>
      </c>
      <c r="W12" s="18" t="s">
        <v>3</v>
      </c>
      <c r="X12" s="18" t="s">
        <v>4</v>
      </c>
      <c r="Y12" s="18" t="s">
        <v>5</v>
      </c>
      <c r="Z12" s="18" t="s">
        <v>6</v>
      </c>
      <c r="AA12" s="18" t="s">
        <v>7</v>
      </c>
      <c r="AB12" s="18" t="s">
        <v>1</v>
      </c>
      <c r="AC12" s="18" t="s">
        <v>2</v>
      </c>
      <c r="AD12" s="18" t="s">
        <v>3</v>
      </c>
      <c r="AE12" s="49"/>
      <c r="AF12" s="49"/>
      <c r="AG12" s="49"/>
      <c r="AH12" s="49"/>
      <c r="AI12" s="156" t="s">
        <v>48</v>
      </c>
    </row>
    <row r="13" spans="2:35">
      <c r="B13" s="363" t="s">
        <v>61</v>
      </c>
      <c r="C13" s="6">
        <v>1</v>
      </c>
      <c r="D13" s="6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6">
        <v>8</v>
      </c>
      <c r="K13" s="6">
        <v>9</v>
      </c>
      <c r="L13" s="7">
        <v>10</v>
      </c>
      <c r="M13" s="7">
        <v>11</v>
      </c>
      <c r="N13" s="7">
        <v>12</v>
      </c>
      <c r="O13" s="7">
        <v>13</v>
      </c>
      <c r="P13" s="7">
        <v>14</v>
      </c>
      <c r="Q13" s="6">
        <v>15</v>
      </c>
      <c r="R13" s="6">
        <v>16</v>
      </c>
      <c r="S13" s="7">
        <v>17</v>
      </c>
      <c r="T13" s="7">
        <v>18</v>
      </c>
      <c r="U13" s="7">
        <v>19</v>
      </c>
      <c r="V13" s="7">
        <v>20</v>
      </c>
      <c r="W13" s="7">
        <v>21</v>
      </c>
      <c r="X13" s="6">
        <v>22</v>
      </c>
      <c r="Y13" s="6">
        <v>23</v>
      </c>
      <c r="Z13" s="7">
        <v>24</v>
      </c>
      <c r="AA13" s="7">
        <v>25</v>
      </c>
      <c r="AB13" s="7">
        <v>26</v>
      </c>
      <c r="AC13" s="7">
        <v>27</v>
      </c>
      <c r="AD13" s="7">
        <v>28</v>
      </c>
      <c r="AE13" s="194"/>
      <c r="AF13" s="194"/>
      <c r="AG13" s="194"/>
      <c r="AH13" s="49"/>
      <c r="AI13" s="296"/>
    </row>
    <row r="14" spans="2:35">
      <c r="B14" s="363" t="s">
        <v>24</v>
      </c>
      <c r="C14" s="6">
        <v>1</v>
      </c>
      <c r="D14" s="6">
        <v>2</v>
      </c>
      <c r="E14" s="7">
        <v>3</v>
      </c>
      <c r="F14" s="7">
        <v>4</v>
      </c>
      <c r="G14" s="7">
        <v>5</v>
      </c>
      <c r="H14" s="7">
        <v>6</v>
      </c>
      <c r="I14" s="7">
        <v>7</v>
      </c>
      <c r="J14" s="6">
        <v>8</v>
      </c>
      <c r="K14" s="6">
        <v>9</v>
      </c>
      <c r="L14" s="7">
        <v>10</v>
      </c>
      <c r="M14" s="7">
        <v>11</v>
      </c>
      <c r="N14" s="7">
        <v>12</v>
      </c>
      <c r="O14" s="7">
        <v>13</v>
      </c>
      <c r="P14" s="7">
        <v>14</v>
      </c>
      <c r="Q14" s="6">
        <v>15</v>
      </c>
      <c r="R14" s="6">
        <v>16</v>
      </c>
      <c r="S14" s="7">
        <v>17</v>
      </c>
      <c r="T14" s="7">
        <v>18</v>
      </c>
      <c r="U14" s="7">
        <v>19</v>
      </c>
      <c r="V14" s="7">
        <v>20</v>
      </c>
      <c r="W14" s="7">
        <v>21</v>
      </c>
      <c r="X14" s="6">
        <v>22</v>
      </c>
      <c r="Y14" s="6">
        <v>23</v>
      </c>
      <c r="Z14" s="7">
        <v>24</v>
      </c>
      <c r="AA14" s="7">
        <v>25</v>
      </c>
      <c r="AB14" s="7">
        <v>26</v>
      </c>
      <c r="AC14" s="7">
        <v>27</v>
      </c>
      <c r="AD14" s="7">
        <v>28</v>
      </c>
      <c r="AE14" s="194"/>
      <c r="AF14" s="194"/>
      <c r="AG14" s="194"/>
      <c r="AH14" s="49"/>
      <c r="AI14" s="296"/>
    </row>
    <row r="15" spans="2:35">
      <c r="B15" s="363" t="s">
        <v>15</v>
      </c>
      <c r="C15" s="6">
        <v>1</v>
      </c>
      <c r="D15" s="6">
        <v>2</v>
      </c>
      <c r="E15" s="7">
        <v>3</v>
      </c>
      <c r="F15" s="7">
        <v>4</v>
      </c>
      <c r="G15" s="7">
        <v>5</v>
      </c>
      <c r="H15" s="7">
        <v>6</v>
      </c>
      <c r="I15" s="7">
        <v>7</v>
      </c>
      <c r="J15" s="6">
        <v>8</v>
      </c>
      <c r="K15" s="6">
        <v>9</v>
      </c>
      <c r="L15" s="7">
        <v>10</v>
      </c>
      <c r="M15" s="7">
        <v>11</v>
      </c>
      <c r="N15" s="7">
        <v>12</v>
      </c>
      <c r="O15" s="7">
        <v>13</v>
      </c>
      <c r="P15" s="7">
        <v>14</v>
      </c>
      <c r="Q15" s="6">
        <v>15</v>
      </c>
      <c r="R15" s="6">
        <v>16</v>
      </c>
      <c r="S15" s="7">
        <v>17</v>
      </c>
      <c r="T15" s="7">
        <v>18</v>
      </c>
      <c r="U15" s="7">
        <v>19</v>
      </c>
      <c r="V15" s="7">
        <v>20</v>
      </c>
      <c r="W15" s="7">
        <v>21</v>
      </c>
      <c r="X15" s="6">
        <v>22</v>
      </c>
      <c r="Y15" s="6">
        <v>23</v>
      </c>
      <c r="Z15" s="7">
        <v>24</v>
      </c>
      <c r="AA15" s="7">
        <v>25</v>
      </c>
      <c r="AB15" s="7">
        <v>26</v>
      </c>
      <c r="AC15" s="7">
        <v>27</v>
      </c>
      <c r="AD15" s="7">
        <v>28</v>
      </c>
      <c r="AE15" s="194"/>
      <c r="AF15" s="194"/>
      <c r="AG15" s="194"/>
      <c r="AH15" s="49"/>
      <c r="AI15" s="296"/>
    </row>
    <row r="16" spans="2:35">
      <c r="B16" s="363" t="s">
        <v>18</v>
      </c>
      <c r="C16" s="6">
        <v>1</v>
      </c>
      <c r="D16" s="6">
        <v>2</v>
      </c>
      <c r="E16" s="7">
        <v>3</v>
      </c>
      <c r="F16" s="7">
        <v>4</v>
      </c>
      <c r="G16" s="7">
        <v>5</v>
      </c>
      <c r="H16" s="7">
        <v>6</v>
      </c>
      <c r="I16" s="7">
        <v>7</v>
      </c>
      <c r="J16" s="6">
        <v>8</v>
      </c>
      <c r="K16" s="6">
        <v>9</v>
      </c>
      <c r="L16" s="7">
        <v>10</v>
      </c>
      <c r="M16" s="7">
        <v>11</v>
      </c>
      <c r="N16" s="7">
        <v>12</v>
      </c>
      <c r="O16" s="7">
        <v>13</v>
      </c>
      <c r="P16" s="7">
        <v>14</v>
      </c>
      <c r="Q16" s="6">
        <v>15</v>
      </c>
      <c r="R16" s="6">
        <v>16</v>
      </c>
      <c r="S16" s="7">
        <v>17</v>
      </c>
      <c r="T16" s="7">
        <v>18</v>
      </c>
      <c r="U16" s="7">
        <v>19</v>
      </c>
      <c r="V16" s="7">
        <v>20</v>
      </c>
      <c r="W16" s="7">
        <v>21</v>
      </c>
      <c r="X16" s="6">
        <v>22</v>
      </c>
      <c r="Y16" s="6">
        <v>23</v>
      </c>
      <c r="Z16" s="7">
        <v>24</v>
      </c>
      <c r="AA16" s="7">
        <v>25</v>
      </c>
      <c r="AB16" s="7">
        <v>26</v>
      </c>
      <c r="AC16" s="7">
        <v>27</v>
      </c>
      <c r="AD16" s="7">
        <v>28</v>
      </c>
      <c r="AE16" s="194"/>
      <c r="AF16" s="194"/>
      <c r="AG16" s="194"/>
      <c r="AH16" s="49"/>
      <c r="AI16" s="296"/>
    </row>
    <row r="17" spans="2:35">
      <c r="B17" s="363" t="s">
        <v>21</v>
      </c>
      <c r="C17" s="6">
        <v>1</v>
      </c>
      <c r="D17" s="6">
        <v>2</v>
      </c>
      <c r="E17" s="7">
        <v>3</v>
      </c>
      <c r="F17" s="7">
        <v>4</v>
      </c>
      <c r="G17" s="7">
        <v>5</v>
      </c>
      <c r="H17" s="7">
        <v>6</v>
      </c>
      <c r="I17" s="7">
        <v>7</v>
      </c>
      <c r="J17" s="6">
        <v>8</v>
      </c>
      <c r="K17" s="6">
        <v>9</v>
      </c>
      <c r="L17" s="7">
        <v>10</v>
      </c>
      <c r="M17" s="7">
        <v>11</v>
      </c>
      <c r="N17" s="7">
        <v>12</v>
      </c>
      <c r="O17" s="7">
        <v>13</v>
      </c>
      <c r="P17" s="7">
        <v>14</v>
      </c>
      <c r="Q17" s="6">
        <v>15</v>
      </c>
      <c r="R17" s="6">
        <v>16</v>
      </c>
      <c r="S17" s="7">
        <v>17</v>
      </c>
      <c r="T17" s="7">
        <v>18</v>
      </c>
      <c r="U17" s="7">
        <v>19</v>
      </c>
      <c r="V17" s="7">
        <v>20</v>
      </c>
      <c r="W17" s="7">
        <v>21</v>
      </c>
      <c r="X17" s="6">
        <v>22</v>
      </c>
      <c r="Y17" s="6">
        <v>23</v>
      </c>
      <c r="Z17" s="7">
        <v>24</v>
      </c>
      <c r="AA17" s="7">
        <v>25</v>
      </c>
      <c r="AB17" s="7">
        <v>26</v>
      </c>
      <c r="AC17" s="7">
        <v>27</v>
      </c>
      <c r="AD17" s="7">
        <v>28</v>
      </c>
      <c r="AE17" s="194"/>
      <c r="AF17" s="194"/>
      <c r="AG17" s="194"/>
      <c r="AH17" s="49"/>
      <c r="AI17" s="296"/>
    </row>
    <row r="18" spans="2:35">
      <c r="B18" s="363" t="s">
        <v>62</v>
      </c>
      <c r="C18" s="6">
        <v>1</v>
      </c>
      <c r="D18" s="6">
        <v>2</v>
      </c>
      <c r="E18" s="7">
        <v>3</v>
      </c>
      <c r="F18" s="7">
        <v>4</v>
      </c>
      <c r="G18" s="7">
        <v>5</v>
      </c>
      <c r="H18" s="7">
        <v>6</v>
      </c>
      <c r="I18" s="7">
        <v>7</v>
      </c>
      <c r="J18" s="6">
        <v>8</v>
      </c>
      <c r="K18" s="6">
        <v>9</v>
      </c>
      <c r="L18" s="7">
        <v>10</v>
      </c>
      <c r="M18" s="7">
        <v>11</v>
      </c>
      <c r="N18" s="7">
        <v>12</v>
      </c>
      <c r="O18" s="7">
        <v>13</v>
      </c>
      <c r="P18" s="7">
        <v>14</v>
      </c>
      <c r="Q18" s="6">
        <v>15</v>
      </c>
      <c r="R18" s="6">
        <v>16</v>
      </c>
      <c r="S18" s="7">
        <v>17</v>
      </c>
      <c r="T18" s="7">
        <v>18</v>
      </c>
      <c r="U18" s="7">
        <v>19</v>
      </c>
      <c r="V18" s="7">
        <v>20</v>
      </c>
      <c r="W18" s="7">
        <v>21</v>
      </c>
      <c r="X18" s="6">
        <v>22</v>
      </c>
      <c r="Y18" s="6">
        <v>23</v>
      </c>
      <c r="Z18" s="7">
        <v>24</v>
      </c>
      <c r="AA18" s="7">
        <v>25</v>
      </c>
      <c r="AB18" s="7">
        <v>26</v>
      </c>
      <c r="AC18" s="7">
        <v>27</v>
      </c>
      <c r="AD18" s="7">
        <v>28</v>
      </c>
      <c r="AE18" s="194"/>
      <c r="AF18" s="194"/>
      <c r="AG18" s="194"/>
      <c r="AH18" s="49"/>
      <c r="AI18" s="296"/>
    </row>
    <row r="19" spans="2:35">
      <c r="B19" s="364"/>
      <c r="C19" s="380"/>
      <c r="D19" s="380"/>
      <c r="E19" s="30"/>
      <c r="F19" s="30"/>
      <c r="G19" s="30"/>
      <c r="H19" s="30"/>
      <c r="I19" s="30"/>
      <c r="J19" s="380"/>
      <c r="K19" s="380"/>
      <c r="L19" s="30"/>
      <c r="M19" s="30"/>
      <c r="N19" s="30"/>
      <c r="O19" s="30"/>
      <c r="P19" s="30"/>
      <c r="Q19" s="380"/>
      <c r="R19" s="380"/>
      <c r="S19" s="30"/>
      <c r="T19" s="30"/>
      <c r="U19" s="30"/>
      <c r="V19" s="30"/>
      <c r="W19" s="30"/>
      <c r="X19" s="380"/>
      <c r="Y19" s="380"/>
      <c r="Z19" s="30"/>
      <c r="AA19" s="30"/>
      <c r="AB19" s="30"/>
      <c r="AC19" s="30"/>
      <c r="AD19" s="30"/>
      <c r="AE19" s="194"/>
      <c r="AF19" s="194"/>
      <c r="AG19" s="194"/>
      <c r="AH19" s="49"/>
      <c r="AI19" s="296"/>
    </row>
    <row r="20" spans="2:35" ht="14.45" customHeight="1">
      <c r="B20" s="5">
        <v>45352</v>
      </c>
      <c r="C20" s="893"/>
      <c r="D20" s="894"/>
      <c r="E20" s="894"/>
      <c r="F20" s="894"/>
      <c r="G20" s="894"/>
      <c r="H20" s="894"/>
      <c r="I20" s="894"/>
      <c r="J20" s="894"/>
      <c r="K20" s="894"/>
      <c r="L20" s="894"/>
      <c r="M20" s="894"/>
      <c r="N20" s="894"/>
      <c r="O20" s="894"/>
      <c r="P20" s="894"/>
      <c r="Q20" s="894"/>
      <c r="R20" s="894"/>
      <c r="S20" s="894"/>
      <c r="T20" s="894"/>
      <c r="U20" s="894"/>
      <c r="V20" s="894"/>
      <c r="W20" s="894"/>
      <c r="X20" s="894"/>
      <c r="Y20" s="894"/>
      <c r="Z20" s="894"/>
      <c r="AA20" s="894"/>
      <c r="AB20" s="894"/>
      <c r="AC20" s="894"/>
      <c r="AD20" s="894"/>
      <c r="AE20" s="894"/>
      <c r="AF20" s="894"/>
      <c r="AG20" s="894"/>
      <c r="AH20" s="894"/>
      <c r="AI20" s="296"/>
    </row>
    <row r="21" spans="2:35">
      <c r="B21" s="9"/>
      <c r="C21" s="18" t="s">
        <v>4</v>
      </c>
      <c r="D21" s="18" t="s">
        <v>5</v>
      </c>
      <c r="E21" s="18" t="s">
        <v>6</v>
      </c>
      <c r="F21" s="18" t="s">
        <v>7</v>
      </c>
      <c r="G21" s="18" t="s">
        <v>1</v>
      </c>
      <c r="H21" s="18" t="s">
        <v>2</v>
      </c>
      <c r="I21" s="18" t="s">
        <v>3</v>
      </c>
      <c r="J21" s="18" t="s">
        <v>4</v>
      </c>
      <c r="K21" s="18" t="s">
        <v>5</v>
      </c>
      <c r="L21" s="18" t="s">
        <v>6</v>
      </c>
      <c r="M21" s="18" t="s">
        <v>7</v>
      </c>
      <c r="N21" s="18" t="s">
        <v>1</v>
      </c>
      <c r="O21" s="18" t="s">
        <v>2</v>
      </c>
      <c r="P21" s="18" t="s">
        <v>3</v>
      </c>
      <c r="Q21" s="18" t="s">
        <v>4</v>
      </c>
      <c r="R21" s="18" t="s">
        <v>5</v>
      </c>
      <c r="S21" s="18" t="s">
        <v>6</v>
      </c>
      <c r="T21" s="18" t="s">
        <v>7</v>
      </c>
      <c r="U21" s="18" t="s">
        <v>1</v>
      </c>
      <c r="V21" s="18" t="s">
        <v>2</v>
      </c>
      <c r="W21" s="18" t="s">
        <v>3</v>
      </c>
      <c r="X21" s="18" t="s">
        <v>4</v>
      </c>
      <c r="Y21" s="18" t="s">
        <v>5</v>
      </c>
      <c r="Z21" s="18" t="s">
        <v>6</v>
      </c>
      <c r="AA21" s="18" t="s">
        <v>7</v>
      </c>
      <c r="AB21" s="18" t="s">
        <v>1</v>
      </c>
      <c r="AC21" s="18" t="s">
        <v>2</v>
      </c>
      <c r="AD21" s="18" t="s">
        <v>3</v>
      </c>
      <c r="AE21" s="18" t="s">
        <v>4</v>
      </c>
      <c r="AF21" s="18" t="s">
        <v>5</v>
      </c>
      <c r="AG21" s="18" t="s">
        <v>6</v>
      </c>
      <c r="AH21" s="49"/>
      <c r="AI21" s="156" t="s">
        <v>48</v>
      </c>
    </row>
    <row r="22" spans="2:35">
      <c r="B22" s="363" t="s">
        <v>61</v>
      </c>
      <c r="C22" s="6">
        <v>1</v>
      </c>
      <c r="D22" s="6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6">
        <v>8</v>
      </c>
      <c r="K22" s="6">
        <v>9</v>
      </c>
      <c r="L22" s="7">
        <v>10</v>
      </c>
      <c r="M22" s="7">
        <v>11</v>
      </c>
      <c r="N22" s="7">
        <v>12</v>
      </c>
      <c r="O22" s="7">
        <v>13</v>
      </c>
      <c r="P22" s="7">
        <v>14</v>
      </c>
      <c r="Q22" s="6">
        <v>15</v>
      </c>
      <c r="R22" s="6">
        <v>16</v>
      </c>
      <c r="S22" s="7">
        <v>17</v>
      </c>
      <c r="T22" s="7">
        <v>18</v>
      </c>
      <c r="U22" s="7">
        <v>19</v>
      </c>
      <c r="V22" s="7">
        <v>20</v>
      </c>
      <c r="W22" s="7">
        <v>21</v>
      </c>
      <c r="X22" s="6">
        <v>22</v>
      </c>
      <c r="Y22" s="6">
        <v>23</v>
      </c>
      <c r="Z22" s="7">
        <v>24</v>
      </c>
      <c r="AA22" s="7">
        <v>25</v>
      </c>
      <c r="AB22" s="7">
        <v>26</v>
      </c>
      <c r="AC22" s="7">
        <v>27</v>
      </c>
      <c r="AD22" s="7">
        <v>28</v>
      </c>
      <c r="AE22" s="6">
        <v>29</v>
      </c>
      <c r="AF22" s="6">
        <v>30</v>
      </c>
      <c r="AG22" s="7">
        <v>31</v>
      </c>
      <c r="AH22" s="49"/>
      <c r="AI22" s="296"/>
    </row>
    <row r="23" spans="2:35">
      <c r="B23" s="363" t="s">
        <v>24</v>
      </c>
      <c r="C23" s="6">
        <v>1</v>
      </c>
      <c r="D23" s="6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6">
        <v>8</v>
      </c>
      <c r="K23" s="6">
        <v>9</v>
      </c>
      <c r="L23" s="7">
        <v>10</v>
      </c>
      <c r="M23" s="7">
        <v>11</v>
      </c>
      <c r="N23" s="7">
        <v>12</v>
      </c>
      <c r="O23" s="7">
        <v>13</v>
      </c>
      <c r="P23" s="7">
        <v>14</v>
      </c>
      <c r="Q23" s="6">
        <v>15</v>
      </c>
      <c r="R23" s="6">
        <v>16</v>
      </c>
      <c r="S23" s="7">
        <v>17</v>
      </c>
      <c r="T23" s="7">
        <v>18</v>
      </c>
      <c r="U23" s="7">
        <v>19</v>
      </c>
      <c r="V23" s="7">
        <v>20</v>
      </c>
      <c r="W23" s="7">
        <v>21</v>
      </c>
      <c r="X23" s="6">
        <v>22</v>
      </c>
      <c r="Y23" s="6">
        <v>23</v>
      </c>
      <c r="Z23" s="7">
        <v>24</v>
      </c>
      <c r="AA23" s="7">
        <v>25</v>
      </c>
      <c r="AB23" s="7">
        <v>26</v>
      </c>
      <c r="AC23" s="7">
        <v>27</v>
      </c>
      <c r="AD23" s="7">
        <v>28</v>
      </c>
      <c r="AE23" s="6">
        <v>29</v>
      </c>
      <c r="AF23" s="6">
        <v>30</v>
      </c>
      <c r="AG23" s="7">
        <v>31</v>
      </c>
      <c r="AH23" s="49"/>
      <c r="AI23" s="296"/>
    </row>
    <row r="24" spans="2:35">
      <c r="B24" s="363" t="s">
        <v>15</v>
      </c>
      <c r="C24" s="6">
        <v>1</v>
      </c>
      <c r="D24" s="6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6">
        <v>8</v>
      </c>
      <c r="K24" s="6">
        <v>9</v>
      </c>
      <c r="L24" s="7">
        <v>10</v>
      </c>
      <c r="M24" s="7">
        <v>11</v>
      </c>
      <c r="N24" s="7">
        <v>12</v>
      </c>
      <c r="O24" s="7">
        <v>13</v>
      </c>
      <c r="P24" s="7">
        <v>14</v>
      </c>
      <c r="Q24" s="6">
        <v>15</v>
      </c>
      <c r="R24" s="6">
        <v>16</v>
      </c>
      <c r="S24" s="7">
        <v>17</v>
      </c>
      <c r="T24" s="7">
        <v>18</v>
      </c>
      <c r="U24" s="7">
        <v>19</v>
      </c>
      <c r="V24" s="7">
        <v>20</v>
      </c>
      <c r="W24" s="7">
        <v>21</v>
      </c>
      <c r="X24" s="6">
        <v>22</v>
      </c>
      <c r="Y24" s="6">
        <v>23</v>
      </c>
      <c r="Z24" s="7">
        <v>24</v>
      </c>
      <c r="AA24" s="7">
        <v>25</v>
      </c>
      <c r="AB24" s="7">
        <v>26</v>
      </c>
      <c r="AC24" s="7">
        <v>27</v>
      </c>
      <c r="AD24" s="7">
        <v>28</v>
      </c>
      <c r="AE24" s="6">
        <v>29</v>
      </c>
      <c r="AF24" s="6">
        <v>30</v>
      </c>
      <c r="AG24" s="7">
        <v>31</v>
      </c>
      <c r="AH24" s="49"/>
      <c r="AI24" s="296"/>
    </row>
    <row r="25" spans="2:35">
      <c r="B25" s="363" t="s">
        <v>18</v>
      </c>
      <c r="C25" s="6">
        <v>1</v>
      </c>
      <c r="D25" s="6">
        <v>2</v>
      </c>
      <c r="E25" s="7">
        <v>3</v>
      </c>
      <c r="F25" s="7">
        <v>4</v>
      </c>
      <c r="G25" s="7">
        <v>5</v>
      </c>
      <c r="H25" s="7">
        <v>6</v>
      </c>
      <c r="I25" s="7">
        <v>7</v>
      </c>
      <c r="J25" s="6">
        <v>8</v>
      </c>
      <c r="K25" s="6">
        <v>9</v>
      </c>
      <c r="L25" s="7">
        <v>10</v>
      </c>
      <c r="M25" s="7">
        <v>11</v>
      </c>
      <c r="N25" s="7">
        <v>12</v>
      </c>
      <c r="O25" s="7">
        <v>13</v>
      </c>
      <c r="P25" s="7">
        <v>14</v>
      </c>
      <c r="Q25" s="6">
        <v>15</v>
      </c>
      <c r="R25" s="6">
        <v>16</v>
      </c>
      <c r="S25" s="7">
        <v>17</v>
      </c>
      <c r="T25" s="7">
        <v>18</v>
      </c>
      <c r="U25" s="7">
        <v>19</v>
      </c>
      <c r="V25" s="7">
        <v>20</v>
      </c>
      <c r="W25" s="7">
        <v>21</v>
      </c>
      <c r="X25" s="6">
        <v>22</v>
      </c>
      <c r="Y25" s="6">
        <v>23</v>
      </c>
      <c r="Z25" s="7">
        <v>24</v>
      </c>
      <c r="AA25" s="7">
        <v>25</v>
      </c>
      <c r="AB25" s="7">
        <v>26</v>
      </c>
      <c r="AC25" s="7">
        <v>27</v>
      </c>
      <c r="AD25" s="7">
        <v>28</v>
      </c>
      <c r="AE25" s="6">
        <v>29</v>
      </c>
      <c r="AF25" s="6">
        <v>30</v>
      </c>
      <c r="AG25" s="7">
        <v>31</v>
      </c>
      <c r="AH25" s="49"/>
      <c r="AI25" s="296"/>
    </row>
    <row r="26" spans="2:35">
      <c r="B26" s="363" t="s">
        <v>21</v>
      </c>
      <c r="C26" s="6">
        <v>1</v>
      </c>
      <c r="D26" s="6">
        <v>2</v>
      </c>
      <c r="E26" s="7">
        <v>3</v>
      </c>
      <c r="F26" s="7">
        <v>4</v>
      </c>
      <c r="G26" s="7">
        <v>5</v>
      </c>
      <c r="H26" s="7">
        <v>6</v>
      </c>
      <c r="I26" s="7">
        <v>7</v>
      </c>
      <c r="J26" s="6">
        <v>8</v>
      </c>
      <c r="K26" s="6">
        <v>9</v>
      </c>
      <c r="L26" s="7">
        <v>10</v>
      </c>
      <c r="M26" s="7">
        <v>11</v>
      </c>
      <c r="N26" s="7">
        <v>12</v>
      </c>
      <c r="O26" s="7">
        <v>13</v>
      </c>
      <c r="P26" s="7">
        <v>14</v>
      </c>
      <c r="Q26" s="6">
        <v>15</v>
      </c>
      <c r="R26" s="6">
        <v>16</v>
      </c>
      <c r="S26" s="7">
        <v>17</v>
      </c>
      <c r="T26" s="7">
        <v>18</v>
      </c>
      <c r="U26" s="7">
        <v>19</v>
      </c>
      <c r="V26" s="7">
        <v>20</v>
      </c>
      <c r="W26" s="7">
        <v>21</v>
      </c>
      <c r="X26" s="6">
        <v>22</v>
      </c>
      <c r="Y26" s="6">
        <v>23</v>
      </c>
      <c r="Z26" s="7">
        <v>24</v>
      </c>
      <c r="AA26" s="7">
        <v>25</v>
      </c>
      <c r="AB26" s="7">
        <v>26</v>
      </c>
      <c r="AC26" s="7">
        <v>27</v>
      </c>
      <c r="AD26" s="7">
        <v>28</v>
      </c>
      <c r="AE26" s="6">
        <v>29</v>
      </c>
      <c r="AF26" s="6">
        <v>30</v>
      </c>
      <c r="AG26" s="7">
        <v>31</v>
      </c>
      <c r="AH26" s="49"/>
      <c r="AI26" s="296"/>
    </row>
    <row r="27" spans="2:35">
      <c r="B27" s="363" t="s">
        <v>62</v>
      </c>
      <c r="C27" s="6">
        <v>1</v>
      </c>
      <c r="D27" s="6">
        <v>2</v>
      </c>
      <c r="E27" s="7">
        <v>3</v>
      </c>
      <c r="F27" s="7">
        <v>4</v>
      </c>
      <c r="G27" s="7">
        <v>5</v>
      </c>
      <c r="H27" s="7">
        <v>6</v>
      </c>
      <c r="I27" s="7">
        <v>7</v>
      </c>
      <c r="J27" s="6">
        <v>8</v>
      </c>
      <c r="K27" s="6">
        <v>9</v>
      </c>
      <c r="L27" s="7">
        <v>10</v>
      </c>
      <c r="M27" s="7">
        <v>11</v>
      </c>
      <c r="N27" s="7">
        <v>12</v>
      </c>
      <c r="O27" s="7">
        <v>13</v>
      </c>
      <c r="P27" s="7">
        <v>14</v>
      </c>
      <c r="Q27" s="6">
        <v>15</v>
      </c>
      <c r="R27" s="6">
        <v>16</v>
      </c>
      <c r="S27" s="7">
        <v>17</v>
      </c>
      <c r="T27" s="7">
        <v>18</v>
      </c>
      <c r="U27" s="7">
        <v>19</v>
      </c>
      <c r="V27" s="7">
        <v>20</v>
      </c>
      <c r="W27" s="7">
        <v>21</v>
      </c>
      <c r="X27" s="6">
        <v>22</v>
      </c>
      <c r="Y27" s="6">
        <v>23</v>
      </c>
      <c r="Z27" s="7">
        <v>24</v>
      </c>
      <c r="AA27" s="7">
        <v>25</v>
      </c>
      <c r="AB27" s="7">
        <v>26</v>
      </c>
      <c r="AC27" s="7">
        <v>27</v>
      </c>
      <c r="AD27" s="7">
        <v>28</v>
      </c>
      <c r="AE27" s="6">
        <v>29</v>
      </c>
      <c r="AF27" s="6">
        <v>30</v>
      </c>
      <c r="AG27" s="7">
        <v>31</v>
      </c>
      <c r="AH27" s="49"/>
      <c r="AI27" s="296"/>
    </row>
    <row r="28" spans="2:35">
      <c r="B28" s="364" t="s">
        <v>63</v>
      </c>
      <c r="C28" s="6">
        <v>1</v>
      </c>
      <c r="D28" s="6">
        <v>2</v>
      </c>
      <c r="E28" s="7">
        <v>3</v>
      </c>
      <c r="F28" s="7">
        <v>4</v>
      </c>
      <c r="G28" s="7">
        <v>5</v>
      </c>
      <c r="H28" s="7">
        <v>6</v>
      </c>
      <c r="I28" s="7">
        <v>7</v>
      </c>
      <c r="J28" s="6">
        <v>8</v>
      </c>
      <c r="K28" s="6">
        <v>9</v>
      </c>
      <c r="L28" s="7">
        <v>10</v>
      </c>
      <c r="M28" s="7">
        <v>11</v>
      </c>
      <c r="N28" s="7">
        <v>12</v>
      </c>
      <c r="O28" s="7">
        <v>13</v>
      </c>
      <c r="P28" s="7">
        <v>14</v>
      </c>
      <c r="Q28" s="6">
        <v>15</v>
      </c>
      <c r="R28" s="6">
        <v>16</v>
      </c>
      <c r="S28" s="7">
        <v>17</v>
      </c>
      <c r="T28" s="7">
        <v>18</v>
      </c>
      <c r="U28" s="7">
        <v>19</v>
      </c>
      <c r="V28" s="7">
        <v>20</v>
      </c>
      <c r="W28" s="7">
        <v>21</v>
      </c>
      <c r="X28" s="6">
        <v>22</v>
      </c>
      <c r="Y28" s="6">
        <v>23</v>
      </c>
      <c r="Z28" s="7">
        <v>24</v>
      </c>
      <c r="AA28" s="7">
        <v>25</v>
      </c>
      <c r="AB28" s="7">
        <v>26</v>
      </c>
      <c r="AC28" s="7">
        <v>27</v>
      </c>
      <c r="AD28" s="7">
        <v>28</v>
      </c>
      <c r="AE28" s="6">
        <v>29</v>
      </c>
      <c r="AF28" s="6">
        <v>30</v>
      </c>
      <c r="AG28" s="7">
        <v>31</v>
      </c>
      <c r="AH28" s="49"/>
      <c r="AI28" s="296"/>
    </row>
    <row r="29" spans="2:35">
      <c r="B29" s="5">
        <v>45383</v>
      </c>
      <c r="C29" s="893"/>
      <c r="D29" s="894"/>
      <c r="E29" s="894"/>
      <c r="F29" s="894"/>
      <c r="G29" s="894"/>
      <c r="H29" s="894"/>
      <c r="I29" s="894"/>
      <c r="J29" s="894"/>
      <c r="K29" s="894"/>
      <c r="L29" s="894"/>
      <c r="M29" s="894"/>
      <c r="N29" s="894"/>
      <c r="O29" s="894"/>
      <c r="P29" s="894"/>
      <c r="Q29" s="894"/>
      <c r="R29" s="894"/>
      <c r="S29" s="894"/>
      <c r="T29" s="894"/>
      <c r="U29" s="894"/>
      <c r="V29" s="894"/>
      <c r="W29" s="894"/>
      <c r="X29" s="894"/>
      <c r="Y29" s="894"/>
      <c r="Z29" s="894"/>
      <c r="AA29" s="894"/>
      <c r="AB29" s="894"/>
      <c r="AC29" s="894"/>
      <c r="AD29" s="894"/>
      <c r="AE29" s="894"/>
      <c r="AF29" s="894"/>
      <c r="AG29" s="894"/>
      <c r="AH29" s="894"/>
      <c r="AI29" s="296"/>
    </row>
    <row r="30" spans="2:35">
      <c r="B30" s="9"/>
      <c r="C30" s="18" t="s">
        <v>7</v>
      </c>
      <c r="D30" s="18" t="s">
        <v>1</v>
      </c>
      <c r="E30" s="18" t="s">
        <v>2</v>
      </c>
      <c r="F30" s="18" t="s">
        <v>3</v>
      </c>
      <c r="G30" s="18" t="s">
        <v>4</v>
      </c>
      <c r="H30" s="18" t="s">
        <v>5</v>
      </c>
      <c r="I30" s="18" t="s">
        <v>6</v>
      </c>
      <c r="J30" s="18" t="s">
        <v>7</v>
      </c>
      <c r="K30" s="18" t="s">
        <v>1</v>
      </c>
      <c r="L30" s="18" t="s">
        <v>2</v>
      </c>
      <c r="M30" s="18" t="s">
        <v>3</v>
      </c>
      <c r="N30" s="18" t="s">
        <v>4</v>
      </c>
      <c r="O30" s="18" t="s">
        <v>5</v>
      </c>
      <c r="P30" s="18" t="s">
        <v>6</v>
      </c>
      <c r="Q30" s="18" t="s">
        <v>7</v>
      </c>
      <c r="R30" s="18" t="s">
        <v>1</v>
      </c>
      <c r="S30" s="18" t="s">
        <v>2</v>
      </c>
      <c r="T30" s="18" t="s">
        <v>3</v>
      </c>
      <c r="U30" s="18" t="s">
        <v>4</v>
      </c>
      <c r="V30" s="18" t="s">
        <v>5</v>
      </c>
      <c r="W30" s="18" t="s">
        <v>6</v>
      </c>
      <c r="X30" s="18" t="s">
        <v>7</v>
      </c>
      <c r="Y30" s="18" t="s">
        <v>1</v>
      </c>
      <c r="Z30" s="18" t="s">
        <v>2</v>
      </c>
      <c r="AA30" s="18" t="s">
        <v>3</v>
      </c>
      <c r="AB30" s="18" t="s">
        <v>4</v>
      </c>
      <c r="AC30" s="18" t="s">
        <v>5</v>
      </c>
      <c r="AD30" s="18" t="s">
        <v>6</v>
      </c>
      <c r="AE30" s="18" t="s">
        <v>7</v>
      </c>
      <c r="AF30" s="18" t="s">
        <v>1</v>
      </c>
      <c r="AG30" s="18"/>
      <c r="AH30" s="49"/>
      <c r="AI30" s="156" t="s">
        <v>48</v>
      </c>
    </row>
    <row r="31" spans="2:35">
      <c r="B31" s="363" t="s">
        <v>61</v>
      </c>
      <c r="C31" s="7">
        <v>1</v>
      </c>
      <c r="D31" s="7">
        <v>2</v>
      </c>
      <c r="E31" s="7">
        <v>3</v>
      </c>
      <c r="F31" s="7">
        <v>4</v>
      </c>
      <c r="G31" s="6">
        <v>5</v>
      </c>
      <c r="H31" s="6">
        <v>6</v>
      </c>
      <c r="I31" s="7">
        <v>7</v>
      </c>
      <c r="J31" s="7">
        <v>8</v>
      </c>
      <c r="K31" s="7">
        <v>9</v>
      </c>
      <c r="L31" s="7">
        <v>10</v>
      </c>
      <c r="M31" s="7">
        <v>11</v>
      </c>
      <c r="N31" s="6">
        <v>12</v>
      </c>
      <c r="O31" s="6">
        <v>13</v>
      </c>
      <c r="P31" s="7">
        <v>14</v>
      </c>
      <c r="Q31" s="7">
        <v>15</v>
      </c>
      <c r="R31" s="7">
        <v>16</v>
      </c>
      <c r="S31" s="8">
        <v>17</v>
      </c>
      <c r="T31" s="8">
        <v>18</v>
      </c>
      <c r="U31" s="6">
        <v>19</v>
      </c>
      <c r="V31" s="6">
        <v>20</v>
      </c>
      <c r="W31" s="7">
        <v>21</v>
      </c>
      <c r="X31" s="7">
        <v>22</v>
      </c>
      <c r="Y31" s="7">
        <v>23</v>
      </c>
      <c r="Z31" s="7">
        <v>24</v>
      </c>
      <c r="AA31" s="7">
        <v>25</v>
      </c>
      <c r="AB31" s="6">
        <v>26</v>
      </c>
      <c r="AC31" s="6">
        <v>27</v>
      </c>
      <c r="AD31" s="7">
        <v>28</v>
      </c>
      <c r="AE31" s="7">
        <v>29</v>
      </c>
      <c r="AF31" s="7">
        <v>30</v>
      </c>
      <c r="AG31" s="56"/>
      <c r="AH31" s="49"/>
      <c r="AI31" s="296"/>
    </row>
    <row r="32" spans="2:35">
      <c r="B32" s="363" t="s">
        <v>24</v>
      </c>
      <c r="C32" s="7">
        <v>1</v>
      </c>
      <c r="D32" s="7">
        <v>2</v>
      </c>
      <c r="E32" s="7">
        <v>3</v>
      </c>
      <c r="F32" s="7">
        <v>4</v>
      </c>
      <c r="G32" s="6">
        <v>5</v>
      </c>
      <c r="H32" s="6">
        <v>6</v>
      </c>
      <c r="I32" s="7">
        <v>7</v>
      </c>
      <c r="J32" s="7">
        <v>8</v>
      </c>
      <c r="K32" s="7">
        <v>9</v>
      </c>
      <c r="L32" s="7">
        <v>10</v>
      </c>
      <c r="M32" s="7">
        <v>11</v>
      </c>
      <c r="N32" s="6">
        <v>12</v>
      </c>
      <c r="O32" s="6">
        <v>13</v>
      </c>
      <c r="P32" s="7">
        <v>14</v>
      </c>
      <c r="Q32" s="7">
        <v>15</v>
      </c>
      <c r="R32" s="7">
        <v>16</v>
      </c>
      <c r="S32" s="8">
        <v>17</v>
      </c>
      <c r="T32" s="8">
        <v>18</v>
      </c>
      <c r="U32" s="6">
        <v>19</v>
      </c>
      <c r="V32" s="6">
        <v>20</v>
      </c>
      <c r="W32" s="7">
        <v>21</v>
      </c>
      <c r="X32" s="7">
        <v>22</v>
      </c>
      <c r="Y32" s="7">
        <v>23</v>
      </c>
      <c r="Z32" s="7">
        <v>24</v>
      </c>
      <c r="AA32" s="7">
        <v>25</v>
      </c>
      <c r="AB32" s="6">
        <v>26</v>
      </c>
      <c r="AC32" s="6">
        <v>27</v>
      </c>
      <c r="AD32" s="7">
        <v>28</v>
      </c>
      <c r="AE32" s="7">
        <v>29</v>
      </c>
      <c r="AF32" s="7">
        <v>30</v>
      </c>
      <c r="AG32" s="56"/>
      <c r="AH32" s="49"/>
      <c r="AI32" s="296"/>
    </row>
    <row r="33" spans="2:35">
      <c r="B33" s="363" t="s">
        <v>15</v>
      </c>
      <c r="C33" s="7">
        <v>1</v>
      </c>
      <c r="D33" s="7">
        <v>2</v>
      </c>
      <c r="E33" s="7">
        <v>3</v>
      </c>
      <c r="F33" s="7">
        <v>4</v>
      </c>
      <c r="G33" s="6">
        <v>5</v>
      </c>
      <c r="H33" s="6">
        <v>6</v>
      </c>
      <c r="I33" s="7">
        <v>7</v>
      </c>
      <c r="J33" s="7">
        <v>8</v>
      </c>
      <c r="K33" s="7">
        <v>9</v>
      </c>
      <c r="L33" s="7">
        <v>10</v>
      </c>
      <c r="M33" s="7">
        <v>11</v>
      </c>
      <c r="N33" s="6">
        <v>12</v>
      </c>
      <c r="O33" s="6">
        <v>13</v>
      </c>
      <c r="P33" s="7">
        <v>14</v>
      </c>
      <c r="Q33" s="7">
        <v>15</v>
      </c>
      <c r="R33" s="7">
        <v>16</v>
      </c>
      <c r="S33" s="8">
        <v>17</v>
      </c>
      <c r="T33" s="8">
        <v>18</v>
      </c>
      <c r="U33" s="6">
        <v>19</v>
      </c>
      <c r="V33" s="6">
        <v>20</v>
      </c>
      <c r="W33" s="7">
        <v>21</v>
      </c>
      <c r="X33" s="7">
        <v>22</v>
      </c>
      <c r="Y33" s="7">
        <v>23</v>
      </c>
      <c r="Z33" s="7">
        <v>24</v>
      </c>
      <c r="AA33" s="7">
        <v>25</v>
      </c>
      <c r="AB33" s="6">
        <v>26</v>
      </c>
      <c r="AC33" s="6">
        <v>27</v>
      </c>
      <c r="AD33" s="7">
        <v>28</v>
      </c>
      <c r="AE33" s="7">
        <v>29</v>
      </c>
      <c r="AF33" s="7">
        <v>30</v>
      </c>
      <c r="AG33" s="56"/>
      <c r="AH33" s="49"/>
      <c r="AI33" s="296"/>
    </row>
    <row r="34" spans="2:35">
      <c r="B34" s="363" t="s">
        <v>18</v>
      </c>
      <c r="C34" s="7">
        <v>1</v>
      </c>
      <c r="D34" s="7">
        <v>2</v>
      </c>
      <c r="E34" s="7">
        <v>3</v>
      </c>
      <c r="F34" s="7">
        <v>4</v>
      </c>
      <c r="G34" s="6">
        <v>5</v>
      </c>
      <c r="H34" s="6">
        <v>6</v>
      </c>
      <c r="I34" s="7">
        <v>7</v>
      </c>
      <c r="J34" s="7">
        <v>8</v>
      </c>
      <c r="K34" s="7">
        <v>9</v>
      </c>
      <c r="L34" s="7">
        <v>10</v>
      </c>
      <c r="M34" s="7">
        <v>11</v>
      </c>
      <c r="N34" s="6">
        <v>12</v>
      </c>
      <c r="O34" s="6">
        <v>13</v>
      </c>
      <c r="P34" s="7">
        <v>14</v>
      </c>
      <c r="Q34" s="7">
        <v>15</v>
      </c>
      <c r="R34" s="7">
        <v>16</v>
      </c>
      <c r="S34" s="8">
        <v>17</v>
      </c>
      <c r="T34" s="8">
        <v>18</v>
      </c>
      <c r="U34" s="6">
        <v>19</v>
      </c>
      <c r="V34" s="6">
        <v>20</v>
      </c>
      <c r="W34" s="7">
        <v>21</v>
      </c>
      <c r="X34" s="7">
        <v>22</v>
      </c>
      <c r="Y34" s="7">
        <v>23</v>
      </c>
      <c r="Z34" s="7">
        <v>24</v>
      </c>
      <c r="AA34" s="7">
        <v>25</v>
      </c>
      <c r="AB34" s="6">
        <v>26</v>
      </c>
      <c r="AC34" s="6">
        <v>27</v>
      </c>
      <c r="AD34" s="7">
        <v>28</v>
      </c>
      <c r="AE34" s="7">
        <v>29</v>
      </c>
      <c r="AF34" s="7">
        <v>30</v>
      </c>
      <c r="AG34" s="56"/>
      <c r="AH34" s="49"/>
      <c r="AI34" s="296"/>
    </row>
    <row r="35" spans="2:35">
      <c r="B35" s="363" t="s">
        <v>21</v>
      </c>
      <c r="C35" s="7">
        <v>1</v>
      </c>
      <c r="D35" s="7">
        <v>2</v>
      </c>
      <c r="E35" s="7">
        <v>3</v>
      </c>
      <c r="F35" s="7">
        <v>4</v>
      </c>
      <c r="G35" s="6">
        <v>5</v>
      </c>
      <c r="H35" s="6">
        <v>6</v>
      </c>
      <c r="I35" s="7">
        <v>7</v>
      </c>
      <c r="J35" s="7">
        <v>8</v>
      </c>
      <c r="K35" s="7">
        <v>9</v>
      </c>
      <c r="L35" s="7">
        <v>10</v>
      </c>
      <c r="M35" s="7">
        <v>11</v>
      </c>
      <c r="N35" s="6">
        <v>12</v>
      </c>
      <c r="O35" s="6">
        <v>13</v>
      </c>
      <c r="P35" s="7">
        <v>14</v>
      </c>
      <c r="Q35" s="7">
        <v>15</v>
      </c>
      <c r="R35" s="7">
        <v>16</v>
      </c>
      <c r="S35" s="8">
        <v>17</v>
      </c>
      <c r="T35" s="8">
        <v>18</v>
      </c>
      <c r="U35" s="6">
        <v>19</v>
      </c>
      <c r="V35" s="6">
        <v>20</v>
      </c>
      <c r="W35" s="7">
        <v>21</v>
      </c>
      <c r="X35" s="7">
        <v>22</v>
      </c>
      <c r="Y35" s="7">
        <v>23</v>
      </c>
      <c r="Z35" s="7">
        <v>24</v>
      </c>
      <c r="AA35" s="7">
        <v>25</v>
      </c>
      <c r="AB35" s="6">
        <v>26</v>
      </c>
      <c r="AC35" s="6">
        <v>27</v>
      </c>
      <c r="AD35" s="7">
        <v>28</v>
      </c>
      <c r="AE35" s="7">
        <v>29</v>
      </c>
      <c r="AF35" s="7">
        <v>30</v>
      </c>
      <c r="AG35" s="56"/>
      <c r="AH35" s="49"/>
      <c r="AI35" s="296"/>
    </row>
    <row r="36" spans="2:35">
      <c r="B36" s="363" t="s">
        <v>62</v>
      </c>
      <c r="C36" s="7">
        <v>1</v>
      </c>
      <c r="D36" s="7">
        <v>2</v>
      </c>
      <c r="E36" s="7">
        <v>3</v>
      </c>
      <c r="F36" s="7">
        <v>4</v>
      </c>
      <c r="G36" s="6">
        <v>5</v>
      </c>
      <c r="H36" s="6">
        <v>6</v>
      </c>
      <c r="I36" s="7">
        <v>7</v>
      </c>
      <c r="J36" s="7">
        <v>8</v>
      </c>
      <c r="K36" s="7">
        <v>9</v>
      </c>
      <c r="L36" s="7">
        <v>10</v>
      </c>
      <c r="M36" s="7">
        <v>11</v>
      </c>
      <c r="N36" s="6">
        <v>12</v>
      </c>
      <c r="O36" s="6">
        <v>13</v>
      </c>
      <c r="P36" s="7">
        <v>14</v>
      </c>
      <c r="Q36" s="7">
        <v>15</v>
      </c>
      <c r="R36" s="7">
        <v>16</v>
      </c>
      <c r="S36" s="8">
        <v>17</v>
      </c>
      <c r="T36" s="8">
        <v>18</v>
      </c>
      <c r="U36" s="6">
        <v>19</v>
      </c>
      <c r="V36" s="6">
        <v>20</v>
      </c>
      <c r="W36" s="7">
        <v>21</v>
      </c>
      <c r="X36" s="7">
        <v>22</v>
      </c>
      <c r="Y36" s="7">
        <v>23</v>
      </c>
      <c r="Z36" s="7">
        <v>24</v>
      </c>
      <c r="AA36" s="7">
        <v>25</v>
      </c>
      <c r="AB36" s="6">
        <v>26</v>
      </c>
      <c r="AC36" s="6">
        <v>27</v>
      </c>
      <c r="AD36" s="7">
        <v>28</v>
      </c>
      <c r="AE36" s="7">
        <v>29</v>
      </c>
      <c r="AF36" s="7">
        <v>30</v>
      </c>
      <c r="AG36" s="56"/>
      <c r="AH36" s="49"/>
      <c r="AI36" s="296"/>
    </row>
    <row r="37" spans="2:35">
      <c r="B37" s="364" t="s">
        <v>63</v>
      </c>
      <c r="C37" s="7">
        <v>1</v>
      </c>
      <c r="D37" s="7">
        <v>2</v>
      </c>
      <c r="E37" s="7">
        <v>3</v>
      </c>
      <c r="F37" s="7">
        <v>4</v>
      </c>
      <c r="G37" s="6">
        <v>5</v>
      </c>
      <c r="H37" s="6">
        <v>6</v>
      </c>
      <c r="I37" s="7">
        <v>7</v>
      </c>
      <c r="J37" s="7">
        <v>8</v>
      </c>
      <c r="K37" s="7">
        <v>9</v>
      </c>
      <c r="L37" s="7">
        <v>10</v>
      </c>
      <c r="M37" s="7">
        <v>11</v>
      </c>
      <c r="N37" s="6">
        <v>12</v>
      </c>
      <c r="O37" s="6">
        <v>13</v>
      </c>
      <c r="P37" s="7">
        <v>14</v>
      </c>
      <c r="Q37" s="7">
        <v>15</v>
      </c>
      <c r="R37" s="7">
        <v>16</v>
      </c>
      <c r="S37" s="8">
        <v>17</v>
      </c>
      <c r="T37" s="8">
        <v>18</v>
      </c>
      <c r="U37" s="6">
        <v>19</v>
      </c>
      <c r="V37" s="6">
        <v>20</v>
      </c>
      <c r="W37" s="7">
        <v>21</v>
      </c>
      <c r="X37" s="7">
        <v>22</v>
      </c>
      <c r="Y37" s="7">
        <v>23</v>
      </c>
      <c r="Z37" s="7">
        <v>24</v>
      </c>
      <c r="AA37" s="7">
        <v>25</v>
      </c>
      <c r="AB37" s="6">
        <v>26</v>
      </c>
      <c r="AC37" s="6">
        <v>27</v>
      </c>
      <c r="AD37" s="7">
        <v>28</v>
      </c>
      <c r="AE37" s="7">
        <v>29</v>
      </c>
      <c r="AF37" s="7">
        <v>30</v>
      </c>
      <c r="AG37" s="56"/>
      <c r="AH37" s="49"/>
      <c r="AI37" s="296"/>
    </row>
    <row r="38" spans="2:35">
      <c r="B38" s="5">
        <v>45413</v>
      </c>
      <c r="C38" s="893"/>
      <c r="D38" s="894"/>
      <c r="E38" s="894"/>
      <c r="F38" s="894"/>
      <c r="G38" s="894"/>
      <c r="H38" s="894"/>
      <c r="I38" s="894"/>
      <c r="J38" s="894"/>
      <c r="K38" s="894"/>
      <c r="L38" s="894"/>
      <c r="M38" s="894"/>
      <c r="N38" s="894"/>
      <c r="O38" s="894"/>
      <c r="P38" s="894"/>
      <c r="Q38" s="894"/>
      <c r="R38" s="894"/>
      <c r="S38" s="894"/>
      <c r="T38" s="894"/>
      <c r="U38" s="894"/>
      <c r="V38" s="894"/>
      <c r="W38" s="894"/>
      <c r="X38" s="894"/>
      <c r="Y38" s="894"/>
      <c r="Z38" s="894"/>
      <c r="AA38" s="894"/>
      <c r="AB38" s="894"/>
      <c r="AC38" s="894"/>
      <c r="AD38" s="894"/>
      <c r="AE38" s="894"/>
      <c r="AF38" s="894"/>
      <c r="AG38" s="894"/>
      <c r="AH38" s="894"/>
      <c r="AI38" s="296"/>
    </row>
    <row r="39" spans="2:35" ht="14.45" customHeight="1">
      <c r="B39" s="9"/>
      <c r="C39" s="18" t="s">
        <v>2</v>
      </c>
      <c r="D39" s="18" t="s">
        <v>3</v>
      </c>
      <c r="E39" s="18" t="s">
        <v>4</v>
      </c>
      <c r="F39" s="18" t="s">
        <v>5</v>
      </c>
      <c r="G39" s="18" t="s">
        <v>6</v>
      </c>
      <c r="H39" s="18" t="s">
        <v>7</v>
      </c>
      <c r="I39" s="18" t="s">
        <v>1</v>
      </c>
      <c r="J39" s="18" t="s">
        <v>2</v>
      </c>
      <c r="K39" s="18" t="s">
        <v>3</v>
      </c>
      <c r="L39" s="18" t="s">
        <v>4</v>
      </c>
      <c r="M39" s="18" t="s">
        <v>5</v>
      </c>
      <c r="N39" s="18" t="s">
        <v>6</v>
      </c>
      <c r="O39" s="18" t="s">
        <v>7</v>
      </c>
      <c r="P39" s="18" t="s">
        <v>1</v>
      </c>
      <c r="Q39" s="18" t="s">
        <v>2</v>
      </c>
      <c r="R39" s="18" t="s">
        <v>3</v>
      </c>
      <c r="S39" s="18" t="s">
        <v>4</v>
      </c>
      <c r="T39" s="18" t="s">
        <v>5</v>
      </c>
      <c r="U39" s="18" t="s">
        <v>6</v>
      </c>
      <c r="V39" s="18" t="s">
        <v>7</v>
      </c>
      <c r="W39" s="18" t="s">
        <v>1</v>
      </c>
      <c r="X39" s="18" t="s">
        <v>2</v>
      </c>
      <c r="Y39" s="18" t="s">
        <v>3</v>
      </c>
      <c r="Z39" s="18" t="s">
        <v>4</v>
      </c>
      <c r="AA39" s="18" t="s">
        <v>5</v>
      </c>
      <c r="AB39" s="18" t="s">
        <v>6</v>
      </c>
      <c r="AC39" s="18" t="s">
        <v>7</v>
      </c>
      <c r="AD39" s="18" t="s">
        <v>1</v>
      </c>
      <c r="AE39" s="18" t="s">
        <v>2</v>
      </c>
      <c r="AF39" s="18" t="s">
        <v>3</v>
      </c>
      <c r="AG39" s="18" t="s">
        <v>4</v>
      </c>
      <c r="AH39" s="49"/>
      <c r="AI39" s="156" t="s">
        <v>48</v>
      </c>
    </row>
    <row r="40" spans="2:35" ht="14.45" customHeight="1">
      <c r="B40" s="363" t="s">
        <v>61</v>
      </c>
      <c r="C40" s="8">
        <v>1</v>
      </c>
      <c r="D40" s="8">
        <v>2</v>
      </c>
      <c r="E40" s="6">
        <v>3</v>
      </c>
      <c r="F40" s="6">
        <v>4</v>
      </c>
      <c r="G40" s="7">
        <v>5</v>
      </c>
      <c r="H40" s="7">
        <v>6</v>
      </c>
      <c r="I40" s="7">
        <v>7</v>
      </c>
      <c r="J40" s="7">
        <v>8</v>
      </c>
      <c r="K40" s="7">
        <v>9</v>
      </c>
      <c r="L40" s="6">
        <v>10</v>
      </c>
      <c r="M40" s="6">
        <v>11</v>
      </c>
      <c r="N40" s="7">
        <v>12</v>
      </c>
      <c r="O40" s="7">
        <v>13</v>
      </c>
      <c r="P40" s="7">
        <v>14</v>
      </c>
      <c r="Q40" s="8">
        <v>15</v>
      </c>
      <c r="R40" s="7">
        <v>16</v>
      </c>
      <c r="S40" s="6">
        <v>17</v>
      </c>
      <c r="T40" s="6">
        <v>18</v>
      </c>
      <c r="U40" s="7">
        <v>19</v>
      </c>
      <c r="V40" s="7">
        <v>20</v>
      </c>
      <c r="W40" s="7">
        <v>21</v>
      </c>
      <c r="X40" s="7">
        <v>22</v>
      </c>
      <c r="Y40" s="7">
        <v>23</v>
      </c>
      <c r="Z40" s="6">
        <v>24</v>
      </c>
      <c r="AA40" s="6">
        <v>25</v>
      </c>
      <c r="AB40" s="7">
        <v>26</v>
      </c>
      <c r="AC40" s="7">
        <v>27</v>
      </c>
      <c r="AD40" s="56">
        <v>28</v>
      </c>
      <c r="AE40" s="56">
        <v>29</v>
      </c>
      <c r="AF40" s="56">
        <v>30</v>
      </c>
      <c r="AG40" s="6">
        <v>31</v>
      </c>
      <c r="AH40" s="49"/>
      <c r="AI40" s="296"/>
    </row>
    <row r="41" spans="2:35" ht="14.45" customHeight="1">
      <c r="B41" s="363" t="s">
        <v>24</v>
      </c>
      <c r="C41" s="8">
        <v>1</v>
      </c>
      <c r="D41" s="8">
        <v>2</v>
      </c>
      <c r="E41" s="6">
        <v>3</v>
      </c>
      <c r="F41" s="6">
        <v>4</v>
      </c>
      <c r="G41" s="7">
        <v>5</v>
      </c>
      <c r="H41" s="7">
        <v>6</v>
      </c>
      <c r="I41" s="7">
        <v>7</v>
      </c>
      <c r="J41" s="7">
        <v>8</v>
      </c>
      <c r="K41" s="7">
        <v>9</v>
      </c>
      <c r="L41" s="6">
        <v>10</v>
      </c>
      <c r="M41" s="6">
        <v>11</v>
      </c>
      <c r="N41" s="7">
        <v>12</v>
      </c>
      <c r="O41" s="7">
        <v>13</v>
      </c>
      <c r="P41" s="7">
        <v>14</v>
      </c>
      <c r="Q41" s="8">
        <v>15</v>
      </c>
      <c r="R41" s="7">
        <v>16</v>
      </c>
      <c r="S41" s="6">
        <v>17</v>
      </c>
      <c r="T41" s="6">
        <v>18</v>
      </c>
      <c r="U41" s="7">
        <v>19</v>
      </c>
      <c r="V41" s="7">
        <v>20</v>
      </c>
      <c r="W41" s="7">
        <v>21</v>
      </c>
      <c r="X41" s="7">
        <v>22</v>
      </c>
      <c r="Y41" s="7">
        <v>23</v>
      </c>
      <c r="Z41" s="6">
        <v>24</v>
      </c>
      <c r="AA41" s="6">
        <v>25</v>
      </c>
      <c r="AB41" s="7">
        <v>26</v>
      </c>
      <c r="AC41" s="7">
        <v>27</v>
      </c>
      <c r="AD41" s="56">
        <v>28</v>
      </c>
      <c r="AE41" s="56">
        <v>29</v>
      </c>
      <c r="AF41" s="56">
        <v>30</v>
      </c>
      <c r="AG41" s="6">
        <v>31</v>
      </c>
      <c r="AH41" s="49"/>
      <c r="AI41" s="296"/>
    </row>
    <row r="42" spans="2:35" ht="14.45" customHeight="1">
      <c r="B42" s="363" t="s">
        <v>15</v>
      </c>
      <c r="C42" s="8">
        <v>1</v>
      </c>
      <c r="D42" s="8">
        <v>2</v>
      </c>
      <c r="E42" s="6">
        <v>3</v>
      </c>
      <c r="F42" s="6">
        <v>4</v>
      </c>
      <c r="G42" s="7">
        <v>5</v>
      </c>
      <c r="H42" s="7">
        <v>6</v>
      </c>
      <c r="I42" s="7">
        <v>7</v>
      </c>
      <c r="J42" s="7">
        <v>8</v>
      </c>
      <c r="K42" s="7">
        <v>9</v>
      </c>
      <c r="L42" s="6">
        <v>10</v>
      </c>
      <c r="M42" s="6">
        <v>11</v>
      </c>
      <c r="N42" s="7">
        <v>12</v>
      </c>
      <c r="O42" s="7">
        <v>13</v>
      </c>
      <c r="P42" s="7">
        <v>14</v>
      </c>
      <c r="Q42" s="8">
        <v>15</v>
      </c>
      <c r="R42" s="7">
        <v>16</v>
      </c>
      <c r="S42" s="6">
        <v>17</v>
      </c>
      <c r="T42" s="6">
        <v>18</v>
      </c>
      <c r="U42" s="7">
        <v>19</v>
      </c>
      <c r="V42" s="7">
        <v>20</v>
      </c>
      <c r="W42" s="7">
        <v>21</v>
      </c>
      <c r="X42" s="7">
        <v>22</v>
      </c>
      <c r="Y42" s="7">
        <v>23</v>
      </c>
      <c r="Z42" s="6">
        <v>24</v>
      </c>
      <c r="AA42" s="6">
        <v>25</v>
      </c>
      <c r="AB42" s="7">
        <v>26</v>
      </c>
      <c r="AC42" s="7">
        <v>27</v>
      </c>
      <c r="AD42" s="56">
        <v>28</v>
      </c>
      <c r="AE42" s="56">
        <v>29</v>
      </c>
      <c r="AF42" s="56">
        <v>30</v>
      </c>
      <c r="AG42" s="6">
        <v>31</v>
      </c>
      <c r="AH42" s="49"/>
      <c r="AI42" s="296"/>
    </row>
    <row r="43" spans="2:35" ht="14.45" customHeight="1">
      <c r="B43" s="363" t="s">
        <v>18</v>
      </c>
      <c r="C43" s="8">
        <v>1</v>
      </c>
      <c r="D43" s="8">
        <v>2</v>
      </c>
      <c r="E43" s="6">
        <v>3</v>
      </c>
      <c r="F43" s="6">
        <v>4</v>
      </c>
      <c r="G43" s="7">
        <v>5</v>
      </c>
      <c r="H43" s="7">
        <v>6</v>
      </c>
      <c r="I43" s="7">
        <v>7</v>
      </c>
      <c r="J43" s="7">
        <v>8</v>
      </c>
      <c r="K43" s="7">
        <v>9</v>
      </c>
      <c r="L43" s="6">
        <v>10</v>
      </c>
      <c r="M43" s="6">
        <v>11</v>
      </c>
      <c r="N43" s="7">
        <v>12</v>
      </c>
      <c r="O43" s="7">
        <v>13</v>
      </c>
      <c r="P43" s="7">
        <v>14</v>
      </c>
      <c r="Q43" s="8">
        <v>15</v>
      </c>
      <c r="R43" s="7">
        <v>16</v>
      </c>
      <c r="S43" s="6">
        <v>17</v>
      </c>
      <c r="T43" s="6">
        <v>18</v>
      </c>
      <c r="U43" s="7">
        <v>19</v>
      </c>
      <c r="V43" s="7">
        <v>20</v>
      </c>
      <c r="W43" s="7">
        <v>21</v>
      </c>
      <c r="X43" s="7">
        <v>22</v>
      </c>
      <c r="Y43" s="7">
        <v>23</v>
      </c>
      <c r="Z43" s="6">
        <v>24</v>
      </c>
      <c r="AA43" s="6">
        <v>25</v>
      </c>
      <c r="AB43" s="7">
        <v>26</v>
      </c>
      <c r="AC43" s="7">
        <v>27</v>
      </c>
      <c r="AD43" s="56">
        <v>28</v>
      </c>
      <c r="AE43" s="56">
        <v>29</v>
      </c>
      <c r="AF43" s="56">
        <v>30</v>
      </c>
      <c r="AG43" s="6">
        <v>31</v>
      </c>
      <c r="AH43" s="49"/>
      <c r="AI43" s="296"/>
    </row>
    <row r="44" spans="2:35" ht="14.45" customHeight="1">
      <c r="B44" s="363" t="s">
        <v>21</v>
      </c>
      <c r="C44" s="8">
        <v>1</v>
      </c>
      <c r="D44" s="8">
        <v>2</v>
      </c>
      <c r="E44" s="6">
        <v>3</v>
      </c>
      <c r="F44" s="6">
        <v>4</v>
      </c>
      <c r="G44" s="7">
        <v>5</v>
      </c>
      <c r="H44" s="7">
        <v>6</v>
      </c>
      <c r="I44" s="7">
        <v>7</v>
      </c>
      <c r="J44" s="7">
        <v>8</v>
      </c>
      <c r="K44" s="7">
        <v>9</v>
      </c>
      <c r="L44" s="6">
        <v>10</v>
      </c>
      <c r="M44" s="6">
        <v>11</v>
      </c>
      <c r="N44" s="7">
        <v>12</v>
      </c>
      <c r="O44" s="7">
        <v>13</v>
      </c>
      <c r="P44" s="7">
        <v>14</v>
      </c>
      <c r="Q44" s="8">
        <v>15</v>
      </c>
      <c r="R44" s="7">
        <v>16</v>
      </c>
      <c r="S44" s="6">
        <v>17</v>
      </c>
      <c r="T44" s="6">
        <v>18</v>
      </c>
      <c r="U44" s="7">
        <v>19</v>
      </c>
      <c r="V44" s="7">
        <v>20</v>
      </c>
      <c r="W44" s="7">
        <v>21</v>
      </c>
      <c r="X44" s="7">
        <v>22</v>
      </c>
      <c r="Y44" s="7">
        <v>23</v>
      </c>
      <c r="Z44" s="6">
        <v>24</v>
      </c>
      <c r="AA44" s="6">
        <v>25</v>
      </c>
      <c r="AB44" s="7">
        <v>26</v>
      </c>
      <c r="AC44" s="7">
        <v>27</v>
      </c>
      <c r="AD44" s="56">
        <v>28</v>
      </c>
      <c r="AE44" s="56">
        <v>29</v>
      </c>
      <c r="AF44" s="56">
        <v>30</v>
      </c>
      <c r="AG44" s="6">
        <v>31</v>
      </c>
      <c r="AH44" s="49"/>
      <c r="AI44" s="296"/>
    </row>
    <row r="45" spans="2:35" ht="14.45" customHeight="1">
      <c r="B45" s="363" t="s">
        <v>62</v>
      </c>
      <c r="C45" s="8">
        <v>1</v>
      </c>
      <c r="D45" s="8">
        <v>2</v>
      </c>
      <c r="E45" s="6">
        <v>3</v>
      </c>
      <c r="F45" s="6">
        <v>4</v>
      </c>
      <c r="G45" s="7">
        <v>5</v>
      </c>
      <c r="H45" s="7">
        <v>6</v>
      </c>
      <c r="I45" s="7">
        <v>7</v>
      </c>
      <c r="J45" s="7">
        <v>8</v>
      </c>
      <c r="K45" s="7">
        <v>9</v>
      </c>
      <c r="L45" s="6">
        <v>10</v>
      </c>
      <c r="M45" s="6">
        <v>11</v>
      </c>
      <c r="N45" s="7">
        <v>12</v>
      </c>
      <c r="O45" s="7">
        <v>13</v>
      </c>
      <c r="P45" s="7">
        <v>14</v>
      </c>
      <c r="Q45" s="8">
        <v>15</v>
      </c>
      <c r="R45" s="7">
        <v>16</v>
      </c>
      <c r="S45" s="6">
        <v>17</v>
      </c>
      <c r="T45" s="6">
        <v>18</v>
      </c>
      <c r="U45" s="7">
        <v>19</v>
      </c>
      <c r="V45" s="7">
        <v>20</v>
      </c>
      <c r="W45" s="7">
        <v>21</v>
      </c>
      <c r="X45" s="7">
        <v>22</v>
      </c>
      <c r="Y45" s="7">
        <v>23</v>
      </c>
      <c r="Z45" s="6">
        <v>24</v>
      </c>
      <c r="AA45" s="6">
        <v>25</v>
      </c>
      <c r="AB45" s="7">
        <v>26</v>
      </c>
      <c r="AC45" s="7">
        <v>27</v>
      </c>
      <c r="AD45" s="56">
        <v>28</v>
      </c>
      <c r="AE45" s="56">
        <v>29</v>
      </c>
      <c r="AF45" s="56">
        <v>30</v>
      </c>
      <c r="AG45" s="6">
        <v>31</v>
      </c>
      <c r="AH45" s="49"/>
      <c r="AI45" s="296"/>
    </row>
    <row r="46" spans="2:35" ht="14.45" customHeight="1">
      <c r="B46" s="364" t="s">
        <v>63</v>
      </c>
      <c r="C46" s="8">
        <v>1</v>
      </c>
      <c r="D46" s="8">
        <v>2</v>
      </c>
      <c r="E46" s="6">
        <v>3</v>
      </c>
      <c r="F46" s="6">
        <v>4</v>
      </c>
      <c r="G46" s="7">
        <v>5</v>
      </c>
      <c r="H46" s="7">
        <v>6</v>
      </c>
      <c r="I46" s="7">
        <v>7</v>
      </c>
      <c r="J46" s="7">
        <v>8</v>
      </c>
      <c r="K46" s="7">
        <v>9</v>
      </c>
      <c r="L46" s="6">
        <v>10</v>
      </c>
      <c r="M46" s="6">
        <v>11</v>
      </c>
      <c r="N46" s="7">
        <v>12</v>
      </c>
      <c r="O46" s="7">
        <v>13</v>
      </c>
      <c r="P46" s="7">
        <v>14</v>
      </c>
      <c r="Q46" s="8">
        <v>15</v>
      </c>
      <c r="R46" s="7">
        <v>16</v>
      </c>
      <c r="S46" s="6">
        <v>17</v>
      </c>
      <c r="T46" s="6">
        <v>18</v>
      </c>
      <c r="U46" s="7">
        <v>19</v>
      </c>
      <c r="V46" s="7">
        <v>20</v>
      </c>
      <c r="W46" s="7">
        <v>21</v>
      </c>
      <c r="X46" s="7">
        <v>22</v>
      </c>
      <c r="Y46" s="7">
        <v>23</v>
      </c>
      <c r="Z46" s="6">
        <v>24</v>
      </c>
      <c r="AA46" s="6">
        <v>25</v>
      </c>
      <c r="AB46" s="7">
        <v>26</v>
      </c>
      <c r="AC46" s="7">
        <v>27</v>
      </c>
      <c r="AD46" s="56">
        <v>28</v>
      </c>
      <c r="AE46" s="56">
        <v>29</v>
      </c>
      <c r="AF46" s="56">
        <v>30</v>
      </c>
      <c r="AG46" s="6">
        <v>31</v>
      </c>
      <c r="AH46" s="49"/>
      <c r="AI46" s="296"/>
    </row>
    <row r="47" spans="2:35" ht="14.45" customHeight="1">
      <c r="B47" s="5">
        <v>45444</v>
      </c>
      <c r="C47" s="893"/>
      <c r="D47" s="894"/>
      <c r="E47" s="894"/>
      <c r="F47" s="894"/>
      <c r="G47" s="894"/>
      <c r="H47" s="894"/>
      <c r="I47" s="894"/>
      <c r="J47" s="894"/>
      <c r="K47" s="894"/>
      <c r="L47" s="894"/>
      <c r="M47" s="894"/>
      <c r="N47" s="894"/>
      <c r="O47" s="894"/>
      <c r="P47" s="894"/>
      <c r="Q47" s="894"/>
      <c r="R47" s="894"/>
      <c r="S47" s="894"/>
      <c r="T47" s="894"/>
      <c r="U47" s="894"/>
      <c r="V47" s="894"/>
      <c r="W47" s="894"/>
      <c r="X47" s="894"/>
      <c r="Y47" s="894"/>
      <c r="Z47" s="894"/>
      <c r="AA47" s="894"/>
      <c r="AB47" s="894"/>
      <c r="AC47" s="894"/>
      <c r="AD47" s="894"/>
      <c r="AE47" s="894"/>
      <c r="AF47" s="894"/>
      <c r="AG47" s="896"/>
      <c r="AH47" s="896"/>
      <c r="AI47" s="296"/>
    </row>
    <row r="48" spans="2:35" ht="14.45" customHeight="1">
      <c r="B48" s="9"/>
      <c r="C48" s="18" t="s">
        <v>5</v>
      </c>
      <c r="D48" s="18" t="s">
        <v>6</v>
      </c>
      <c r="E48" s="18" t="s">
        <v>7</v>
      </c>
      <c r="F48" s="18" t="s">
        <v>1</v>
      </c>
      <c r="G48" s="18" t="s">
        <v>2</v>
      </c>
      <c r="H48" s="18" t="s">
        <v>3</v>
      </c>
      <c r="I48" s="18" t="s">
        <v>4</v>
      </c>
      <c r="J48" s="18" t="s">
        <v>5</v>
      </c>
      <c r="K48" s="18" t="s">
        <v>6</v>
      </c>
      <c r="L48" s="18" t="s">
        <v>7</v>
      </c>
      <c r="M48" s="18" t="s">
        <v>1</v>
      </c>
      <c r="N48" s="18" t="s">
        <v>2</v>
      </c>
      <c r="O48" s="18" t="s">
        <v>3</v>
      </c>
      <c r="P48" s="18" t="s">
        <v>4</v>
      </c>
      <c r="Q48" s="18" t="s">
        <v>5</v>
      </c>
      <c r="R48" s="18" t="s">
        <v>6</v>
      </c>
      <c r="S48" s="18" t="s">
        <v>7</v>
      </c>
      <c r="T48" s="18" t="s">
        <v>1</v>
      </c>
      <c r="U48" s="18" t="s">
        <v>2</v>
      </c>
      <c r="V48" s="18" t="s">
        <v>3</v>
      </c>
      <c r="W48" s="18" t="s">
        <v>4</v>
      </c>
      <c r="X48" s="18" t="s">
        <v>5</v>
      </c>
      <c r="Y48" s="18" t="s">
        <v>6</v>
      </c>
      <c r="Z48" s="18" t="s">
        <v>7</v>
      </c>
      <c r="AA48" s="18" t="s">
        <v>1</v>
      </c>
      <c r="AB48" s="18" t="s">
        <v>2</v>
      </c>
      <c r="AC48" s="18" t="s">
        <v>3</v>
      </c>
      <c r="AD48" s="18" t="s">
        <v>4</v>
      </c>
      <c r="AE48" s="18" t="s">
        <v>5</v>
      </c>
      <c r="AF48" s="18" t="s">
        <v>6</v>
      </c>
      <c r="AG48" s="195"/>
      <c r="AH48" s="195"/>
      <c r="AI48" s="156" t="s">
        <v>48</v>
      </c>
    </row>
    <row r="49" spans="2:35">
      <c r="B49" s="363" t="s">
        <v>61</v>
      </c>
      <c r="C49" s="6">
        <v>1</v>
      </c>
      <c r="D49" s="7">
        <v>2</v>
      </c>
      <c r="E49" s="7">
        <v>3</v>
      </c>
      <c r="F49" s="7">
        <v>4</v>
      </c>
      <c r="G49" s="7">
        <v>5</v>
      </c>
      <c r="H49" s="7">
        <v>6</v>
      </c>
      <c r="I49" s="6">
        <v>7</v>
      </c>
      <c r="J49" s="6">
        <v>8</v>
      </c>
      <c r="K49" s="7">
        <v>9</v>
      </c>
      <c r="L49" s="7">
        <v>10</v>
      </c>
      <c r="M49" s="7">
        <v>11</v>
      </c>
      <c r="N49" s="7">
        <v>12</v>
      </c>
      <c r="O49" s="7">
        <v>13</v>
      </c>
      <c r="P49" s="6">
        <v>14</v>
      </c>
      <c r="Q49" s="6">
        <v>15</v>
      </c>
      <c r="R49" s="7">
        <v>16</v>
      </c>
      <c r="S49" s="7">
        <v>17</v>
      </c>
      <c r="T49" s="7">
        <v>18</v>
      </c>
      <c r="U49" s="7">
        <v>19</v>
      </c>
      <c r="V49" s="7">
        <v>20</v>
      </c>
      <c r="W49" s="6">
        <v>21</v>
      </c>
      <c r="X49" s="6">
        <v>22</v>
      </c>
      <c r="Y49" s="7">
        <v>23</v>
      </c>
      <c r="Z49" s="7">
        <v>24</v>
      </c>
      <c r="AA49" s="7">
        <v>25</v>
      </c>
      <c r="AB49" s="7">
        <v>26</v>
      </c>
      <c r="AC49" s="7">
        <v>27</v>
      </c>
      <c r="AD49" s="6">
        <v>28</v>
      </c>
      <c r="AE49" s="6">
        <v>29</v>
      </c>
      <c r="AF49" s="7">
        <v>30</v>
      </c>
      <c r="AG49" s="196"/>
      <c r="AH49" s="195"/>
      <c r="AI49" s="296"/>
    </row>
    <row r="50" spans="2:35">
      <c r="B50" s="363" t="s">
        <v>24</v>
      </c>
      <c r="C50" s="6">
        <v>1</v>
      </c>
      <c r="D50" s="7">
        <v>2</v>
      </c>
      <c r="E50" s="7">
        <v>3</v>
      </c>
      <c r="F50" s="7">
        <v>4</v>
      </c>
      <c r="G50" s="7">
        <v>5</v>
      </c>
      <c r="H50" s="7">
        <v>6</v>
      </c>
      <c r="I50" s="6">
        <v>7</v>
      </c>
      <c r="J50" s="6">
        <v>8</v>
      </c>
      <c r="K50" s="7">
        <v>9</v>
      </c>
      <c r="L50" s="7">
        <v>10</v>
      </c>
      <c r="M50" s="7">
        <v>11</v>
      </c>
      <c r="N50" s="7">
        <v>12</v>
      </c>
      <c r="O50" s="7">
        <v>13</v>
      </c>
      <c r="P50" s="6">
        <v>14</v>
      </c>
      <c r="Q50" s="6">
        <v>15</v>
      </c>
      <c r="R50" s="7">
        <v>16</v>
      </c>
      <c r="S50" s="7">
        <v>17</v>
      </c>
      <c r="T50" s="7">
        <v>18</v>
      </c>
      <c r="U50" s="7">
        <v>19</v>
      </c>
      <c r="V50" s="7">
        <v>20</v>
      </c>
      <c r="W50" s="6">
        <v>21</v>
      </c>
      <c r="X50" s="6">
        <v>22</v>
      </c>
      <c r="Y50" s="7">
        <v>23</v>
      </c>
      <c r="Z50" s="7">
        <v>24</v>
      </c>
      <c r="AA50" s="7">
        <v>25</v>
      </c>
      <c r="AB50" s="7">
        <v>26</v>
      </c>
      <c r="AC50" s="7">
        <v>27</v>
      </c>
      <c r="AD50" s="6">
        <v>28</v>
      </c>
      <c r="AE50" s="6">
        <v>29</v>
      </c>
      <c r="AF50" s="7">
        <v>30</v>
      </c>
      <c r="AG50" s="196"/>
      <c r="AH50" s="195"/>
      <c r="AI50" s="296"/>
    </row>
    <row r="51" spans="2:35">
      <c r="B51" s="363" t="s">
        <v>15</v>
      </c>
      <c r="C51" s="6">
        <v>1</v>
      </c>
      <c r="D51" s="7">
        <v>2</v>
      </c>
      <c r="E51" s="7">
        <v>3</v>
      </c>
      <c r="F51" s="7">
        <v>4</v>
      </c>
      <c r="G51" s="7">
        <v>5</v>
      </c>
      <c r="H51" s="7">
        <v>6</v>
      </c>
      <c r="I51" s="6">
        <v>7</v>
      </c>
      <c r="J51" s="6">
        <v>8</v>
      </c>
      <c r="K51" s="7">
        <v>9</v>
      </c>
      <c r="L51" s="7">
        <v>10</v>
      </c>
      <c r="M51" s="7">
        <v>11</v>
      </c>
      <c r="N51" s="7">
        <v>12</v>
      </c>
      <c r="O51" s="7">
        <v>13</v>
      </c>
      <c r="P51" s="6">
        <v>14</v>
      </c>
      <c r="Q51" s="6">
        <v>15</v>
      </c>
      <c r="R51" s="7">
        <v>16</v>
      </c>
      <c r="S51" s="7">
        <v>17</v>
      </c>
      <c r="T51" s="7">
        <v>18</v>
      </c>
      <c r="U51" s="7">
        <v>19</v>
      </c>
      <c r="V51" s="7">
        <v>20</v>
      </c>
      <c r="W51" s="6">
        <v>21</v>
      </c>
      <c r="X51" s="6">
        <v>22</v>
      </c>
      <c r="Y51" s="7">
        <v>23</v>
      </c>
      <c r="Z51" s="7">
        <v>24</v>
      </c>
      <c r="AA51" s="7">
        <v>25</v>
      </c>
      <c r="AB51" s="7">
        <v>26</v>
      </c>
      <c r="AC51" s="7">
        <v>27</v>
      </c>
      <c r="AD51" s="6">
        <v>28</v>
      </c>
      <c r="AE51" s="6">
        <v>29</v>
      </c>
      <c r="AF51" s="7">
        <v>30</v>
      </c>
      <c r="AG51" s="196"/>
      <c r="AH51" s="195"/>
      <c r="AI51" s="296"/>
    </row>
    <row r="52" spans="2:35">
      <c r="B52" s="363" t="s">
        <v>18</v>
      </c>
      <c r="C52" s="6">
        <v>1</v>
      </c>
      <c r="D52" s="7">
        <v>2</v>
      </c>
      <c r="E52" s="7">
        <v>3</v>
      </c>
      <c r="F52" s="7">
        <v>4</v>
      </c>
      <c r="G52" s="7">
        <v>5</v>
      </c>
      <c r="H52" s="7">
        <v>6</v>
      </c>
      <c r="I52" s="6">
        <v>7</v>
      </c>
      <c r="J52" s="6">
        <v>8</v>
      </c>
      <c r="K52" s="7">
        <v>9</v>
      </c>
      <c r="L52" s="7">
        <v>10</v>
      </c>
      <c r="M52" s="7">
        <v>11</v>
      </c>
      <c r="N52" s="7">
        <v>12</v>
      </c>
      <c r="O52" s="7">
        <v>13</v>
      </c>
      <c r="P52" s="6">
        <v>14</v>
      </c>
      <c r="Q52" s="6">
        <v>15</v>
      </c>
      <c r="R52" s="7">
        <v>16</v>
      </c>
      <c r="S52" s="7">
        <v>17</v>
      </c>
      <c r="T52" s="7">
        <v>18</v>
      </c>
      <c r="U52" s="7">
        <v>19</v>
      </c>
      <c r="V52" s="7">
        <v>20</v>
      </c>
      <c r="W52" s="6">
        <v>21</v>
      </c>
      <c r="X52" s="6">
        <v>22</v>
      </c>
      <c r="Y52" s="7">
        <v>23</v>
      </c>
      <c r="Z52" s="7">
        <v>24</v>
      </c>
      <c r="AA52" s="7">
        <v>25</v>
      </c>
      <c r="AB52" s="7">
        <v>26</v>
      </c>
      <c r="AC52" s="7">
        <v>27</v>
      </c>
      <c r="AD52" s="6">
        <v>28</v>
      </c>
      <c r="AE52" s="6">
        <v>29</v>
      </c>
      <c r="AF52" s="7">
        <v>30</v>
      </c>
      <c r="AG52" s="196"/>
      <c r="AH52" s="195"/>
      <c r="AI52" s="296"/>
    </row>
    <row r="53" spans="2:35">
      <c r="B53" s="363" t="s">
        <v>21</v>
      </c>
      <c r="C53" s="6">
        <v>1</v>
      </c>
      <c r="D53" s="7">
        <v>2</v>
      </c>
      <c r="E53" s="7">
        <v>3</v>
      </c>
      <c r="F53" s="7">
        <v>4</v>
      </c>
      <c r="G53" s="7">
        <v>5</v>
      </c>
      <c r="H53" s="7">
        <v>6</v>
      </c>
      <c r="I53" s="6">
        <v>7</v>
      </c>
      <c r="J53" s="6">
        <v>8</v>
      </c>
      <c r="K53" s="7">
        <v>9</v>
      </c>
      <c r="L53" s="7">
        <v>10</v>
      </c>
      <c r="M53" s="7">
        <v>11</v>
      </c>
      <c r="N53" s="7">
        <v>12</v>
      </c>
      <c r="O53" s="7">
        <v>13</v>
      </c>
      <c r="P53" s="6">
        <v>14</v>
      </c>
      <c r="Q53" s="6">
        <v>15</v>
      </c>
      <c r="R53" s="7">
        <v>16</v>
      </c>
      <c r="S53" s="7">
        <v>17</v>
      </c>
      <c r="T53" s="7">
        <v>18</v>
      </c>
      <c r="U53" s="7">
        <v>19</v>
      </c>
      <c r="V53" s="7">
        <v>20</v>
      </c>
      <c r="W53" s="6">
        <v>21</v>
      </c>
      <c r="X53" s="6">
        <v>22</v>
      </c>
      <c r="Y53" s="7">
        <v>23</v>
      </c>
      <c r="Z53" s="7">
        <v>24</v>
      </c>
      <c r="AA53" s="7">
        <v>25</v>
      </c>
      <c r="AB53" s="7">
        <v>26</v>
      </c>
      <c r="AC53" s="7">
        <v>27</v>
      </c>
      <c r="AD53" s="6">
        <v>28</v>
      </c>
      <c r="AE53" s="6">
        <v>29</v>
      </c>
      <c r="AF53" s="7">
        <v>30</v>
      </c>
      <c r="AG53" s="196"/>
      <c r="AH53" s="195"/>
      <c r="AI53" s="296"/>
    </row>
    <row r="54" spans="2:35">
      <c r="B54" s="363" t="s">
        <v>62</v>
      </c>
      <c r="C54" s="6">
        <v>1</v>
      </c>
      <c r="D54" s="7">
        <v>2</v>
      </c>
      <c r="E54" s="7">
        <v>3</v>
      </c>
      <c r="F54" s="7">
        <v>4</v>
      </c>
      <c r="G54" s="7">
        <v>5</v>
      </c>
      <c r="H54" s="7">
        <v>6</v>
      </c>
      <c r="I54" s="6">
        <v>7</v>
      </c>
      <c r="J54" s="6">
        <v>8</v>
      </c>
      <c r="K54" s="7">
        <v>9</v>
      </c>
      <c r="L54" s="7">
        <v>10</v>
      </c>
      <c r="M54" s="7">
        <v>11</v>
      </c>
      <c r="N54" s="7">
        <v>12</v>
      </c>
      <c r="O54" s="7">
        <v>13</v>
      </c>
      <c r="P54" s="6">
        <v>14</v>
      </c>
      <c r="Q54" s="6">
        <v>15</v>
      </c>
      <c r="R54" s="7">
        <v>16</v>
      </c>
      <c r="S54" s="7">
        <v>17</v>
      </c>
      <c r="T54" s="7">
        <v>18</v>
      </c>
      <c r="U54" s="7">
        <v>19</v>
      </c>
      <c r="V54" s="7">
        <v>20</v>
      </c>
      <c r="W54" s="6">
        <v>21</v>
      </c>
      <c r="X54" s="6">
        <v>22</v>
      </c>
      <c r="Y54" s="7">
        <v>23</v>
      </c>
      <c r="Z54" s="7">
        <v>24</v>
      </c>
      <c r="AA54" s="7">
        <v>25</v>
      </c>
      <c r="AB54" s="7">
        <v>26</v>
      </c>
      <c r="AC54" s="7">
        <v>27</v>
      </c>
      <c r="AD54" s="6">
        <v>28</v>
      </c>
      <c r="AE54" s="6">
        <v>29</v>
      </c>
      <c r="AF54" s="7">
        <v>30</v>
      </c>
      <c r="AG54" s="196"/>
      <c r="AH54" s="195"/>
      <c r="AI54" s="296"/>
    </row>
    <row r="55" spans="2:35">
      <c r="B55" s="364" t="s">
        <v>63</v>
      </c>
      <c r="C55" s="6">
        <v>1</v>
      </c>
      <c r="D55" s="7">
        <v>2</v>
      </c>
      <c r="E55" s="7">
        <v>3</v>
      </c>
      <c r="F55" s="7">
        <v>4</v>
      </c>
      <c r="G55" s="7">
        <v>5</v>
      </c>
      <c r="H55" s="7">
        <v>6</v>
      </c>
      <c r="I55" s="6">
        <v>7</v>
      </c>
      <c r="J55" s="6">
        <v>8</v>
      </c>
      <c r="K55" s="7">
        <v>9</v>
      </c>
      <c r="L55" s="7">
        <v>10</v>
      </c>
      <c r="M55" s="7">
        <v>11</v>
      </c>
      <c r="N55" s="7">
        <v>12</v>
      </c>
      <c r="O55" s="7">
        <v>13</v>
      </c>
      <c r="P55" s="6">
        <v>14</v>
      </c>
      <c r="Q55" s="6">
        <v>15</v>
      </c>
      <c r="R55" s="7">
        <v>16</v>
      </c>
      <c r="S55" s="7">
        <v>17</v>
      </c>
      <c r="T55" s="7">
        <v>18</v>
      </c>
      <c r="U55" s="7">
        <v>19</v>
      </c>
      <c r="V55" s="7">
        <v>20</v>
      </c>
      <c r="W55" s="6">
        <v>21</v>
      </c>
      <c r="X55" s="6">
        <v>22</v>
      </c>
      <c r="Y55" s="7">
        <v>23</v>
      </c>
      <c r="Z55" s="7">
        <v>24</v>
      </c>
      <c r="AA55" s="7">
        <v>25</v>
      </c>
      <c r="AB55" s="7">
        <v>26</v>
      </c>
      <c r="AC55" s="7">
        <v>27</v>
      </c>
      <c r="AD55" s="6">
        <v>28</v>
      </c>
      <c r="AE55" s="6">
        <v>29</v>
      </c>
      <c r="AF55" s="7">
        <v>30</v>
      </c>
      <c r="AG55" s="196"/>
      <c r="AH55" s="195"/>
      <c r="AI55" s="296"/>
    </row>
    <row r="56" spans="2:35">
      <c r="B56" s="5">
        <v>45474</v>
      </c>
      <c r="C56" s="893"/>
      <c r="D56" s="894"/>
      <c r="E56" s="894"/>
      <c r="F56" s="894"/>
      <c r="G56" s="894"/>
      <c r="H56" s="894"/>
      <c r="I56" s="894"/>
      <c r="J56" s="894"/>
      <c r="K56" s="894"/>
      <c r="L56" s="894"/>
      <c r="M56" s="894"/>
      <c r="N56" s="894"/>
      <c r="O56" s="894"/>
      <c r="P56" s="894"/>
      <c r="Q56" s="894"/>
      <c r="R56" s="894"/>
      <c r="S56" s="894"/>
      <c r="T56" s="894"/>
      <c r="U56" s="894"/>
      <c r="V56" s="894"/>
      <c r="W56" s="894"/>
      <c r="X56" s="894"/>
      <c r="Y56" s="894"/>
      <c r="Z56" s="894"/>
      <c r="AA56" s="894"/>
      <c r="AB56" s="894"/>
      <c r="AC56" s="894"/>
      <c r="AD56" s="894"/>
      <c r="AE56" s="894"/>
      <c r="AF56" s="894"/>
      <c r="AG56" s="894"/>
      <c r="AH56" s="894"/>
      <c r="AI56" s="296"/>
    </row>
    <row r="57" spans="2:35">
      <c r="B57" s="9"/>
      <c r="C57" s="18" t="s">
        <v>7</v>
      </c>
      <c r="D57" s="18" t="s">
        <v>1</v>
      </c>
      <c r="E57" s="18" t="s">
        <v>2</v>
      </c>
      <c r="F57" s="18" t="s">
        <v>3</v>
      </c>
      <c r="G57" s="18" t="s">
        <v>4</v>
      </c>
      <c r="H57" s="18" t="s">
        <v>5</v>
      </c>
      <c r="I57" s="18" t="s">
        <v>6</v>
      </c>
      <c r="J57" s="18" t="s">
        <v>7</v>
      </c>
      <c r="K57" s="18" t="s">
        <v>1</v>
      </c>
      <c r="L57" s="18" t="s">
        <v>2</v>
      </c>
      <c r="M57" s="18" t="s">
        <v>3</v>
      </c>
      <c r="N57" s="18" t="s">
        <v>4</v>
      </c>
      <c r="O57" s="18" t="s">
        <v>5</v>
      </c>
      <c r="P57" s="18" t="s">
        <v>6</v>
      </c>
      <c r="Q57" s="18" t="s">
        <v>7</v>
      </c>
      <c r="R57" s="18" t="s">
        <v>1</v>
      </c>
      <c r="S57" s="18" t="s">
        <v>2</v>
      </c>
      <c r="T57" s="18" t="s">
        <v>3</v>
      </c>
      <c r="U57" s="18" t="s">
        <v>4</v>
      </c>
      <c r="V57" s="18" t="s">
        <v>5</v>
      </c>
      <c r="W57" s="18" t="s">
        <v>6</v>
      </c>
      <c r="X57" s="18" t="s">
        <v>7</v>
      </c>
      <c r="Y57" s="18" t="s">
        <v>1</v>
      </c>
      <c r="Z57" s="18" t="s">
        <v>2</v>
      </c>
      <c r="AA57" s="18" t="s">
        <v>3</v>
      </c>
      <c r="AB57" s="18" t="s">
        <v>4</v>
      </c>
      <c r="AC57" s="18" t="s">
        <v>5</v>
      </c>
      <c r="AD57" s="18" t="s">
        <v>6</v>
      </c>
      <c r="AE57" s="18" t="s">
        <v>7</v>
      </c>
      <c r="AF57" s="18" t="s">
        <v>1</v>
      </c>
      <c r="AG57" s="18" t="s">
        <v>2</v>
      </c>
      <c r="AH57" s="49"/>
      <c r="AI57" s="156" t="s">
        <v>48</v>
      </c>
    </row>
    <row r="58" spans="2:35">
      <c r="B58" s="363" t="s">
        <v>61</v>
      </c>
      <c r="C58" s="7">
        <v>1</v>
      </c>
      <c r="D58" s="7">
        <v>2</v>
      </c>
      <c r="E58" s="7">
        <v>3</v>
      </c>
      <c r="F58" s="7">
        <v>4</v>
      </c>
      <c r="G58" s="6">
        <v>5</v>
      </c>
      <c r="H58" s="6">
        <v>6</v>
      </c>
      <c r="I58" s="7">
        <v>7</v>
      </c>
      <c r="J58" s="7">
        <v>8</v>
      </c>
      <c r="K58" s="7">
        <v>9</v>
      </c>
      <c r="L58" s="7">
        <v>10</v>
      </c>
      <c r="M58" s="7">
        <v>11</v>
      </c>
      <c r="N58" s="6">
        <v>12</v>
      </c>
      <c r="O58" s="6">
        <v>13</v>
      </c>
      <c r="P58" s="7">
        <v>14</v>
      </c>
      <c r="Q58" s="7">
        <v>15</v>
      </c>
      <c r="R58" s="7">
        <v>16</v>
      </c>
      <c r="S58" s="7">
        <v>17</v>
      </c>
      <c r="T58" s="7">
        <v>18</v>
      </c>
      <c r="U58" s="6">
        <v>19</v>
      </c>
      <c r="V58" s="6">
        <v>20</v>
      </c>
      <c r="W58" s="7">
        <v>21</v>
      </c>
      <c r="X58" s="7">
        <v>22</v>
      </c>
      <c r="Y58" s="7">
        <v>23</v>
      </c>
      <c r="Z58" s="7">
        <v>24</v>
      </c>
      <c r="AA58" s="8">
        <v>25</v>
      </c>
      <c r="AB58" s="6">
        <v>26</v>
      </c>
      <c r="AC58" s="6">
        <v>27</v>
      </c>
      <c r="AD58" s="7">
        <v>28</v>
      </c>
      <c r="AE58" s="7">
        <v>29</v>
      </c>
      <c r="AF58" s="7">
        <v>30</v>
      </c>
      <c r="AG58" s="7">
        <v>31</v>
      </c>
      <c r="AH58" s="49"/>
      <c r="AI58" s="296"/>
    </row>
    <row r="59" spans="2:35">
      <c r="B59" s="363" t="s">
        <v>24</v>
      </c>
      <c r="C59" s="7">
        <v>1</v>
      </c>
      <c r="D59" s="7">
        <v>2</v>
      </c>
      <c r="E59" s="7">
        <v>3</v>
      </c>
      <c r="F59" s="7">
        <v>4</v>
      </c>
      <c r="G59" s="6">
        <v>5</v>
      </c>
      <c r="H59" s="6">
        <v>6</v>
      </c>
      <c r="I59" s="7">
        <v>7</v>
      </c>
      <c r="J59" s="7">
        <v>8</v>
      </c>
      <c r="K59" s="7">
        <v>9</v>
      </c>
      <c r="L59" s="7">
        <v>10</v>
      </c>
      <c r="M59" s="7">
        <v>11</v>
      </c>
      <c r="N59" s="6">
        <v>12</v>
      </c>
      <c r="O59" s="6">
        <v>13</v>
      </c>
      <c r="P59" s="7">
        <v>14</v>
      </c>
      <c r="Q59" s="7">
        <v>15</v>
      </c>
      <c r="R59" s="7">
        <v>16</v>
      </c>
      <c r="S59" s="7">
        <v>17</v>
      </c>
      <c r="T59" s="7">
        <v>18</v>
      </c>
      <c r="U59" s="6">
        <v>19</v>
      </c>
      <c r="V59" s="6">
        <v>20</v>
      </c>
      <c r="W59" s="7">
        <v>21</v>
      </c>
      <c r="X59" s="7">
        <v>22</v>
      </c>
      <c r="Y59" s="7">
        <v>23</v>
      </c>
      <c r="Z59" s="7">
        <v>24</v>
      </c>
      <c r="AA59" s="8">
        <v>25</v>
      </c>
      <c r="AB59" s="6">
        <v>26</v>
      </c>
      <c r="AC59" s="6">
        <v>27</v>
      </c>
      <c r="AD59" s="7">
        <v>28</v>
      </c>
      <c r="AE59" s="7">
        <v>29</v>
      </c>
      <c r="AF59" s="7">
        <v>30</v>
      </c>
      <c r="AG59" s="7">
        <v>31</v>
      </c>
      <c r="AH59" s="49"/>
      <c r="AI59" s="296"/>
    </row>
    <row r="60" spans="2:35">
      <c r="B60" s="363" t="s">
        <v>15</v>
      </c>
      <c r="C60" s="7">
        <v>1</v>
      </c>
      <c r="D60" s="7">
        <v>2</v>
      </c>
      <c r="E60" s="7">
        <v>3</v>
      </c>
      <c r="F60" s="7">
        <v>4</v>
      </c>
      <c r="G60" s="6">
        <v>5</v>
      </c>
      <c r="H60" s="6">
        <v>6</v>
      </c>
      <c r="I60" s="7">
        <v>7</v>
      </c>
      <c r="J60" s="7">
        <v>8</v>
      </c>
      <c r="K60" s="7">
        <v>9</v>
      </c>
      <c r="L60" s="7">
        <v>10</v>
      </c>
      <c r="M60" s="7">
        <v>11</v>
      </c>
      <c r="N60" s="6">
        <v>12</v>
      </c>
      <c r="O60" s="6">
        <v>13</v>
      </c>
      <c r="P60" s="7">
        <v>14</v>
      </c>
      <c r="Q60" s="7">
        <v>15</v>
      </c>
      <c r="R60" s="7">
        <v>16</v>
      </c>
      <c r="S60" s="7">
        <v>17</v>
      </c>
      <c r="T60" s="7">
        <v>18</v>
      </c>
      <c r="U60" s="6">
        <v>19</v>
      </c>
      <c r="V60" s="6">
        <v>20</v>
      </c>
      <c r="W60" s="7">
        <v>21</v>
      </c>
      <c r="X60" s="7">
        <v>22</v>
      </c>
      <c r="Y60" s="7">
        <v>23</v>
      </c>
      <c r="Z60" s="7">
        <v>24</v>
      </c>
      <c r="AA60" s="8">
        <v>25</v>
      </c>
      <c r="AB60" s="6">
        <v>26</v>
      </c>
      <c r="AC60" s="6">
        <v>27</v>
      </c>
      <c r="AD60" s="7">
        <v>28</v>
      </c>
      <c r="AE60" s="7">
        <v>29</v>
      </c>
      <c r="AF60" s="7">
        <v>30</v>
      </c>
      <c r="AG60" s="7">
        <v>31</v>
      </c>
      <c r="AH60" s="49"/>
      <c r="AI60" s="296"/>
    </row>
    <row r="61" spans="2:35">
      <c r="B61" s="363" t="s">
        <v>18</v>
      </c>
      <c r="C61" s="7">
        <v>1</v>
      </c>
      <c r="D61" s="7">
        <v>2</v>
      </c>
      <c r="E61" s="7">
        <v>3</v>
      </c>
      <c r="F61" s="7">
        <v>4</v>
      </c>
      <c r="G61" s="6">
        <v>5</v>
      </c>
      <c r="H61" s="6">
        <v>6</v>
      </c>
      <c r="I61" s="7">
        <v>7</v>
      </c>
      <c r="J61" s="7">
        <v>8</v>
      </c>
      <c r="K61" s="7">
        <v>9</v>
      </c>
      <c r="L61" s="7">
        <v>10</v>
      </c>
      <c r="M61" s="7">
        <v>11</v>
      </c>
      <c r="N61" s="6">
        <v>12</v>
      </c>
      <c r="O61" s="6">
        <v>13</v>
      </c>
      <c r="P61" s="7">
        <v>14</v>
      </c>
      <c r="Q61" s="7">
        <v>15</v>
      </c>
      <c r="R61" s="7">
        <v>16</v>
      </c>
      <c r="S61" s="7">
        <v>17</v>
      </c>
      <c r="T61" s="7">
        <v>18</v>
      </c>
      <c r="U61" s="6">
        <v>19</v>
      </c>
      <c r="V61" s="6">
        <v>20</v>
      </c>
      <c r="W61" s="7">
        <v>21</v>
      </c>
      <c r="X61" s="7">
        <v>22</v>
      </c>
      <c r="Y61" s="7">
        <v>23</v>
      </c>
      <c r="Z61" s="7">
        <v>24</v>
      </c>
      <c r="AA61" s="8">
        <v>25</v>
      </c>
      <c r="AB61" s="6">
        <v>26</v>
      </c>
      <c r="AC61" s="6">
        <v>27</v>
      </c>
      <c r="AD61" s="7">
        <v>28</v>
      </c>
      <c r="AE61" s="7">
        <v>29</v>
      </c>
      <c r="AF61" s="7">
        <v>30</v>
      </c>
      <c r="AG61" s="7">
        <v>31</v>
      </c>
      <c r="AH61" s="49"/>
      <c r="AI61" s="296"/>
    </row>
    <row r="62" spans="2:35">
      <c r="B62" s="363" t="s">
        <v>21</v>
      </c>
      <c r="C62" s="7">
        <v>1</v>
      </c>
      <c r="D62" s="7">
        <v>2</v>
      </c>
      <c r="E62" s="7">
        <v>3</v>
      </c>
      <c r="F62" s="7">
        <v>4</v>
      </c>
      <c r="G62" s="6">
        <v>5</v>
      </c>
      <c r="H62" s="6">
        <v>6</v>
      </c>
      <c r="I62" s="7">
        <v>7</v>
      </c>
      <c r="J62" s="7">
        <v>8</v>
      </c>
      <c r="K62" s="7">
        <v>9</v>
      </c>
      <c r="L62" s="7">
        <v>10</v>
      </c>
      <c r="M62" s="7">
        <v>11</v>
      </c>
      <c r="N62" s="6">
        <v>12</v>
      </c>
      <c r="O62" s="6">
        <v>13</v>
      </c>
      <c r="P62" s="7">
        <v>14</v>
      </c>
      <c r="Q62" s="7">
        <v>15</v>
      </c>
      <c r="R62" s="7">
        <v>16</v>
      </c>
      <c r="S62" s="7">
        <v>17</v>
      </c>
      <c r="T62" s="7">
        <v>18</v>
      </c>
      <c r="U62" s="6">
        <v>19</v>
      </c>
      <c r="V62" s="6">
        <v>20</v>
      </c>
      <c r="W62" s="7">
        <v>21</v>
      </c>
      <c r="X62" s="7">
        <v>22</v>
      </c>
      <c r="Y62" s="7">
        <v>23</v>
      </c>
      <c r="Z62" s="7">
        <v>24</v>
      </c>
      <c r="AA62" s="8">
        <v>25</v>
      </c>
      <c r="AB62" s="6">
        <v>26</v>
      </c>
      <c r="AC62" s="6">
        <v>27</v>
      </c>
      <c r="AD62" s="7">
        <v>28</v>
      </c>
      <c r="AE62" s="7">
        <v>29</v>
      </c>
      <c r="AF62" s="7">
        <v>30</v>
      </c>
      <c r="AG62" s="7">
        <v>31</v>
      </c>
      <c r="AH62" s="49"/>
      <c r="AI62" s="296"/>
    </row>
    <row r="63" spans="2:35">
      <c r="B63" s="363" t="s">
        <v>62</v>
      </c>
      <c r="C63" s="7">
        <v>1</v>
      </c>
      <c r="D63" s="7">
        <v>2</v>
      </c>
      <c r="E63" s="7">
        <v>3</v>
      </c>
      <c r="F63" s="7">
        <v>4</v>
      </c>
      <c r="G63" s="6">
        <v>5</v>
      </c>
      <c r="H63" s="6">
        <v>6</v>
      </c>
      <c r="I63" s="7">
        <v>7</v>
      </c>
      <c r="J63" s="7">
        <v>8</v>
      </c>
      <c r="K63" s="7">
        <v>9</v>
      </c>
      <c r="L63" s="7">
        <v>10</v>
      </c>
      <c r="M63" s="7">
        <v>11</v>
      </c>
      <c r="N63" s="6">
        <v>12</v>
      </c>
      <c r="O63" s="6">
        <v>13</v>
      </c>
      <c r="P63" s="7">
        <v>14</v>
      </c>
      <c r="Q63" s="7">
        <v>15</v>
      </c>
      <c r="R63" s="7">
        <v>16</v>
      </c>
      <c r="S63" s="7">
        <v>17</v>
      </c>
      <c r="T63" s="7">
        <v>18</v>
      </c>
      <c r="U63" s="6">
        <v>19</v>
      </c>
      <c r="V63" s="6">
        <v>20</v>
      </c>
      <c r="W63" s="7">
        <v>21</v>
      </c>
      <c r="X63" s="7">
        <v>22</v>
      </c>
      <c r="Y63" s="7">
        <v>23</v>
      </c>
      <c r="Z63" s="7">
        <v>24</v>
      </c>
      <c r="AA63" s="8">
        <v>25</v>
      </c>
      <c r="AB63" s="6">
        <v>26</v>
      </c>
      <c r="AC63" s="6">
        <v>27</v>
      </c>
      <c r="AD63" s="7">
        <v>28</v>
      </c>
      <c r="AE63" s="7">
        <v>29</v>
      </c>
      <c r="AF63" s="7">
        <v>30</v>
      </c>
      <c r="AG63" s="7">
        <v>31</v>
      </c>
      <c r="AH63" s="49"/>
      <c r="AI63" s="296"/>
    </row>
    <row r="64" spans="2:35">
      <c r="B64" s="364" t="s">
        <v>63</v>
      </c>
      <c r="C64" s="7">
        <v>1</v>
      </c>
      <c r="D64" s="7">
        <v>2</v>
      </c>
      <c r="E64" s="7">
        <v>3</v>
      </c>
      <c r="F64" s="7">
        <v>4</v>
      </c>
      <c r="G64" s="6">
        <v>5</v>
      </c>
      <c r="H64" s="6">
        <v>6</v>
      </c>
      <c r="I64" s="7">
        <v>7</v>
      </c>
      <c r="J64" s="7">
        <v>8</v>
      </c>
      <c r="K64" s="7">
        <v>9</v>
      </c>
      <c r="L64" s="7">
        <v>10</v>
      </c>
      <c r="M64" s="7">
        <v>11</v>
      </c>
      <c r="N64" s="6">
        <v>12</v>
      </c>
      <c r="O64" s="6">
        <v>13</v>
      </c>
      <c r="P64" s="7">
        <v>14</v>
      </c>
      <c r="Q64" s="7">
        <v>15</v>
      </c>
      <c r="R64" s="7">
        <v>16</v>
      </c>
      <c r="S64" s="7">
        <v>17</v>
      </c>
      <c r="T64" s="7">
        <v>18</v>
      </c>
      <c r="U64" s="6">
        <v>19</v>
      </c>
      <c r="V64" s="6">
        <v>20</v>
      </c>
      <c r="W64" s="7">
        <v>21</v>
      </c>
      <c r="X64" s="7">
        <v>22</v>
      </c>
      <c r="Y64" s="7">
        <v>23</v>
      </c>
      <c r="Z64" s="7">
        <v>24</v>
      </c>
      <c r="AA64" s="8">
        <v>25</v>
      </c>
      <c r="AB64" s="6">
        <v>26</v>
      </c>
      <c r="AC64" s="6">
        <v>27</v>
      </c>
      <c r="AD64" s="7">
        <v>28</v>
      </c>
      <c r="AE64" s="7">
        <v>29</v>
      </c>
      <c r="AF64" s="7">
        <v>30</v>
      </c>
      <c r="AG64" s="7">
        <v>31</v>
      </c>
      <c r="AH64" s="49"/>
      <c r="AI64" s="296"/>
    </row>
    <row r="65" spans="2:35">
      <c r="B65" s="5">
        <v>45505</v>
      </c>
      <c r="C65" s="893"/>
      <c r="D65" s="894"/>
      <c r="E65" s="894"/>
      <c r="F65" s="894"/>
      <c r="G65" s="894"/>
      <c r="H65" s="894"/>
      <c r="I65" s="894"/>
      <c r="J65" s="894"/>
      <c r="K65" s="894"/>
      <c r="L65" s="894"/>
      <c r="M65" s="894"/>
      <c r="N65" s="894"/>
      <c r="O65" s="894"/>
      <c r="P65" s="894"/>
      <c r="Q65" s="894"/>
      <c r="R65" s="894"/>
      <c r="S65" s="894"/>
      <c r="T65" s="894"/>
      <c r="U65" s="894"/>
      <c r="V65" s="894"/>
      <c r="W65" s="894"/>
      <c r="X65" s="894"/>
      <c r="Y65" s="894"/>
      <c r="Z65" s="894"/>
      <c r="AA65" s="894"/>
      <c r="AB65" s="894"/>
      <c r="AC65" s="894"/>
      <c r="AD65" s="894"/>
      <c r="AE65" s="894"/>
      <c r="AF65" s="894"/>
      <c r="AG65" s="896"/>
      <c r="AH65" s="894"/>
      <c r="AI65" s="296"/>
    </row>
    <row r="66" spans="2:35">
      <c r="B66" s="9"/>
      <c r="C66" s="18" t="s">
        <v>3</v>
      </c>
      <c r="D66" s="18" t="s">
        <v>4</v>
      </c>
      <c r="E66" s="18" t="s">
        <v>5</v>
      </c>
      <c r="F66" s="18" t="s">
        <v>6</v>
      </c>
      <c r="G66" s="18" t="s">
        <v>7</v>
      </c>
      <c r="H66" s="18" t="s">
        <v>1</v>
      </c>
      <c r="I66" s="18" t="s">
        <v>2</v>
      </c>
      <c r="J66" s="18" t="s">
        <v>3</v>
      </c>
      <c r="K66" s="18" t="s">
        <v>4</v>
      </c>
      <c r="L66" s="18" t="s">
        <v>5</v>
      </c>
      <c r="M66" s="18" t="s">
        <v>6</v>
      </c>
      <c r="N66" s="18" t="s">
        <v>7</v>
      </c>
      <c r="O66" s="18" t="s">
        <v>1</v>
      </c>
      <c r="P66" s="18" t="s">
        <v>2</v>
      </c>
      <c r="Q66" s="18" t="s">
        <v>3</v>
      </c>
      <c r="R66" s="18" t="s">
        <v>4</v>
      </c>
      <c r="S66" s="18" t="s">
        <v>5</v>
      </c>
      <c r="T66" s="18" t="s">
        <v>6</v>
      </c>
      <c r="U66" s="18" t="s">
        <v>7</v>
      </c>
      <c r="V66" s="18" t="s">
        <v>1</v>
      </c>
      <c r="W66" s="18" t="s">
        <v>2</v>
      </c>
      <c r="X66" s="18" t="s">
        <v>3</v>
      </c>
      <c r="Y66" s="18" t="s">
        <v>4</v>
      </c>
      <c r="Z66" s="18" t="s">
        <v>5</v>
      </c>
      <c r="AA66" s="18" t="s">
        <v>6</v>
      </c>
      <c r="AB66" s="18" t="s">
        <v>7</v>
      </c>
      <c r="AC66" s="18" t="s">
        <v>1</v>
      </c>
      <c r="AD66" s="18" t="s">
        <v>2</v>
      </c>
      <c r="AE66" s="18" t="s">
        <v>3</v>
      </c>
      <c r="AF66" s="18" t="s">
        <v>4</v>
      </c>
      <c r="AG66" s="18" t="s">
        <v>5</v>
      </c>
      <c r="AH66" s="195"/>
      <c r="AI66" s="156" t="s">
        <v>48</v>
      </c>
    </row>
    <row r="67" spans="2:35">
      <c r="B67" s="363" t="s">
        <v>61</v>
      </c>
      <c r="C67" s="56">
        <v>1</v>
      </c>
      <c r="D67" s="6">
        <v>2</v>
      </c>
      <c r="E67" s="6">
        <v>3</v>
      </c>
      <c r="F67" s="7">
        <v>4</v>
      </c>
      <c r="G67" s="7">
        <v>5</v>
      </c>
      <c r="H67" s="7">
        <v>6</v>
      </c>
      <c r="I67" s="7">
        <v>7</v>
      </c>
      <c r="J67" s="7">
        <v>8</v>
      </c>
      <c r="K67" s="6">
        <v>9</v>
      </c>
      <c r="L67" s="6">
        <v>10</v>
      </c>
      <c r="M67" s="7">
        <v>11</v>
      </c>
      <c r="N67" s="7">
        <v>12</v>
      </c>
      <c r="O67" s="7">
        <v>13</v>
      </c>
      <c r="P67" s="7">
        <v>14</v>
      </c>
      <c r="Q67" s="8">
        <v>15</v>
      </c>
      <c r="R67" s="6">
        <v>16</v>
      </c>
      <c r="S67" s="6">
        <v>17</v>
      </c>
      <c r="T67" s="7">
        <v>18</v>
      </c>
      <c r="U67" s="7">
        <v>19</v>
      </c>
      <c r="V67" s="7">
        <v>20</v>
      </c>
      <c r="W67" s="7">
        <v>21</v>
      </c>
      <c r="X67" s="7">
        <v>22</v>
      </c>
      <c r="Y67" s="6">
        <v>23</v>
      </c>
      <c r="Z67" s="6">
        <v>24</v>
      </c>
      <c r="AA67" s="7">
        <v>25</v>
      </c>
      <c r="AB67" s="7">
        <v>26</v>
      </c>
      <c r="AC67" s="7">
        <v>27</v>
      </c>
      <c r="AD67" s="7">
        <v>28</v>
      </c>
      <c r="AE67" s="7">
        <v>29</v>
      </c>
      <c r="AF67" s="6">
        <v>30</v>
      </c>
      <c r="AG67" s="6">
        <v>31</v>
      </c>
      <c r="AH67" s="195"/>
      <c r="AI67" s="296"/>
    </row>
    <row r="68" spans="2:35">
      <c r="B68" s="363" t="s">
        <v>24</v>
      </c>
      <c r="C68" s="56">
        <v>1</v>
      </c>
      <c r="D68" s="6">
        <v>2</v>
      </c>
      <c r="E68" s="6">
        <v>3</v>
      </c>
      <c r="F68" s="7">
        <v>4</v>
      </c>
      <c r="G68" s="7">
        <v>5</v>
      </c>
      <c r="H68" s="7">
        <v>6</v>
      </c>
      <c r="I68" s="7">
        <v>7</v>
      </c>
      <c r="J68" s="7">
        <v>8</v>
      </c>
      <c r="K68" s="6">
        <v>9</v>
      </c>
      <c r="L68" s="6">
        <v>10</v>
      </c>
      <c r="M68" s="7">
        <v>11</v>
      </c>
      <c r="N68" s="7">
        <v>12</v>
      </c>
      <c r="O68" s="7">
        <v>13</v>
      </c>
      <c r="P68" s="7">
        <v>14</v>
      </c>
      <c r="Q68" s="8">
        <v>15</v>
      </c>
      <c r="R68" s="6">
        <v>16</v>
      </c>
      <c r="S68" s="6">
        <v>17</v>
      </c>
      <c r="T68" s="7">
        <v>18</v>
      </c>
      <c r="U68" s="7">
        <v>19</v>
      </c>
      <c r="V68" s="7">
        <v>20</v>
      </c>
      <c r="W68" s="7">
        <v>21</v>
      </c>
      <c r="X68" s="7">
        <v>22</v>
      </c>
      <c r="Y68" s="6">
        <v>23</v>
      </c>
      <c r="Z68" s="6">
        <v>24</v>
      </c>
      <c r="AA68" s="7">
        <v>25</v>
      </c>
      <c r="AB68" s="7">
        <v>26</v>
      </c>
      <c r="AC68" s="7">
        <v>27</v>
      </c>
      <c r="AD68" s="7">
        <v>28</v>
      </c>
      <c r="AE68" s="7">
        <v>29</v>
      </c>
      <c r="AF68" s="6">
        <v>30</v>
      </c>
      <c r="AG68" s="6">
        <v>31</v>
      </c>
      <c r="AH68" s="195"/>
      <c r="AI68" s="296"/>
    </row>
    <row r="69" spans="2:35">
      <c r="B69" s="363" t="s">
        <v>15</v>
      </c>
      <c r="C69" s="56">
        <v>1</v>
      </c>
      <c r="D69" s="6">
        <v>2</v>
      </c>
      <c r="E69" s="6">
        <v>3</v>
      </c>
      <c r="F69" s="7">
        <v>4</v>
      </c>
      <c r="G69" s="7">
        <v>5</v>
      </c>
      <c r="H69" s="7">
        <v>6</v>
      </c>
      <c r="I69" s="7">
        <v>7</v>
      </c>
      <c r="J69" s="7">
        <v>8</v>
      </c>
      <c r="K69" s="6">
        <v>9</v>
      </c>
      <c r="L69" s="6">
        <v>10</v>
      </c>
      <c r="M69" s="7">
        <v>11</v>
      </c>
      <c r="N69" s="7">
        <v>12</v>
      </c>
      <c r="O69" s="7">
        <v>13</v>
      </c>
      <c r="P69" s="7">
        <v>14</v>
      </c>
      <c r="Q69" s="8">
        <v>15</v>
      </c>
      <c r="R69" s="6">
        <v>16</v>
      </c>
      <c r="S69" s="6">
        <v>17</v>
      </c>
      <c r="T69" s="7">
        <v>18</v>
      </c>
      <c r="U69" s="7">
        <v>19</v>
      </c>
      <c r="V69" s="7">
        <v>20</v>
      </c>
      <c r="W69" s="7">
        <v>21</v>
      </c>
      <c r="X69" s="7">
        <v>22</v>
      </c>
      <c r="Y69" s="6">
        <v>23</v>
      </c>
      <c r="Z69" s="6">
        <v>24</v>
      </c>
      <c r="AA69" s="7">
        <v>25</v>
      </c>
      <c r="AB69" s="7">
        <v>26</v>
      </c>
      <c r="AC69" s="7">
        <v>27</v>
      </c>
      <c r="AD69" s="7">
        <v>28</v>
      </c>
      <c r="AE69" s="7">
        <v>29</v>
      </c>
      <c r="AF69" s="6">
        <v>30</v>
      </c>
      <c r="AG69" s="6">
        <v>31</v>
      </c>
      <c r="AH69" s="195"/>
      <c r="AI69" s="296"/>
    </row>
    <row r="70" spans="2:35">
      <c r="B70" s="363" t="s">
        <v>18</v>
      </c>
      <c r="C70" s="56">
        <v>1</v>
      </c>
      <c r="D70" s="6">
        <v>2</v>
      </c>
      <c r="E70" s="6">
        <v>3</v>
      </c>
      <c r="F70" s="7">
        <v>4</v>
      </c>
      <c r="G70" s="7">
        <v>5</v>
      </c>
      <c r="H70" s="7">
        <v>6</v>
      </c>
      <c r="I70" s="7">
        <v>7</v>
      </c>
      <c r="J70" s="7">
        <v>8</v>
      </c>
      <c r="K70" s="6">
        <v>9</v>
      </c>
      <c r="L70" s="6">
        <v>10</v>
      </c>
      <c r="M70" s="7">
        <v>11</v>
      </c>
      <c r="N70" s="7">
        <v>12</v>
      </c>
      <c r="O70" s="7">
        <v>13</v>
      </c>
      <c r="P70" s="7">
        <v>14</v>
      </c>
      <c r="Q70" s="8">
        <v>15</v>
      </c>
      <c r="R70" s="6">
        <v>16</v>
      </c>
      <c r="S70" s="6">
        <v>17</v>
      </c>
      <c r="T70" s="7">
        <v>18</v>
      </c>
      <c r="U70" s="7">
        <v>19</v>
      </c>
      <c r="V70" s="7">
        <v>20</v>
      </c>
      <c r="W70" s="7">
        <v>21</v>
      </c>
      <c r="X70" s="7">
        <v>22</v>
      </c>
      <c r="Y70" s="6">
        <v>23</v>
      </c>
      <c r="Z70" s="6">
        <v>24</v>
      </c>
      <c r="AA70" s="7">
        <v>25</v>
      </c>
      <c r="AB70" s="7">
        <v>26</v>
      </c>
      <c r="AC70" s="7">
        <v>27</v>
      </c>
      <c r="AD70" s="7">
        <v>28</v>
      </c>
      <c r="AE70" s="7">
        <v>29</v>
      </c>
      <c r="AF70" s="6">
        <v>30</v>
      </c>
      <c r="AG70" s="6">
        <v>31</v>
      </c>
      <c r="AH70" s="195"/>
      <c r="AI70" s="296"/>
    </row>
    <row r="71" spans="2:35">
      <c r="B71" s="363" t="s">
        <v>21</v>
      </c>
      <c r="C71" s="56">
        <v>1</v>
      </c>
      <c r="D71" s="6">
        <v>2</v>
      </c>
      <c r="E71" s="6">
        <v>3</v>
      </c>
      <c r="F71" s="7">
        <v>4</v>
      </c>
      <c r="G71" s="7">
        <v>5</v>
      </c>
      <c r="H71" s="7">
        <v>6</v>
      </c>
      <c r="I71" s="7">
        <v>7</v>
      </c>
      <c r="J71" s="7">
        <v>8</v>
      </c>
      <c r="K71" s="6">
        <v>9</v>
      </c>
      <c r="L71" s="6">
        <v>10</v>
      </c>
      <c r="M71" s="7">
        <v>11</v>
      </c>
      <c r="N71" s="7">
        <v>12</v>
      </c>
      <c r="O71" s="7">
        <v>13</v>
      </c>
      <c r="P71" s="7">
        <v>14</v>
      </c>
      <c r="Q71" s="8">
        <v>15</v>
      </c>
      <c r="R71" s="6">
        <v>16</v>
      </c>
      <c r="S71" s="6">
        <v>17</v>
      </c>
      <c r="T71" s="7">
        <v>18</v>
      </c>
      <c r="U71" s="7">
        <v>19</v>
      </c>
      <c r="V71" s="7">
        <v>20</v>
      </c>
      <c r="W71" s="7">
        <v>21</v>
      </c>
      <c r="X71" s="7">
        <v>22</v>
      </c>
      <c r="Y71" s="6">
        <v>23</v>
      </c>
      <c r="Z71" s="6">
        <v>24</v>
      </c>
      <c r="AA71" s="7">
        <v>25</v>
      </c>
      <c r="AB71" s="7">
        <v>26</v>
      </c>
      <c r="AC71" s="7">
        <v>27</v>
      </c>
      <c r="AD71" s="7">
        <v>28</v>
      </c>
      <c r="AE71" s="7">
        <v>29</v>
      </c>
      <c r="AF71" s="6">
        <v>30</v>
      </c>
      <c r="AG71" s="6">
        <v>31</v>
      </c>
      <c r="AH71" s="195"/>
      <c r="AI71" s="296"/>
    </row>
    <row r="72" spans="2:35">
      <c r="B72" s="363" t="s">
        <v>62</v>
      </c>
      <c r="C72" s="56">
        <v>1</v>
      </c>
      <c r="D72" s="6">
        <v>2</v>
      </c>
      <c r="E72" s="6">
        <v>3</v>
      </c>
      <c r="F72" s="7">
        <v>4</v>
      </c>
      <c r="G72" s="7">
        <v>5</v>
      </c>
      <c r="H72" s="7">
        <v>6</v>
      </c>
      <c r="I72" s="7">
        <v>7</v>
      </c>
      <c r="J72" s="7">
        <v>8</v>
      </c>
      <c r="K72" s="6">
        <v>9</v>
      </c>
      <c r="L72" s="6">
        <v>10</v>
      </c>
      <c r="M72" s="7">
        <v>11</v>
      </c>
      <c r="N72" s="7">
        <v>12</v>
      </c>
      <c r="O72" s="7">
        <v>13</v>
      </c>
      <c r="P72" s="7">
        <v>14</v>
      </c>
      <c r="Q72" s="8">
        <v>15</v>
      </c>
      <c r="R72" s="6">
        <v>16</v>
      </c>
      <c r="S72" s="6">
        <v>17</v>
      </c>
      <c r="T72" s="7">
        <v>18</v>
      </c>
      <c r="U72" s="7">
        <v>19</v>
      </c>
      <c r="V72" s="7">
        <v>20</v>
      </c>
      <c r="W72" s="7">
        <v>21</v>
      </c>
      <c r="X72" s="7">
        <v>22</v>
      </c>
      <c r="Y72" s="6">
        <v>23</v>
      </c>
      <c r="Z72" s="6">
        <v>24</v>
      </c>
      <c r="AA72" s="7">
        <v>25</v>
      </c>
      <c r="AB72" s="7">
        <v>26</v>
      </c>
      <c r="AC72" s="7">
        <v>27</v>
      </c>
      <c r="AD72" s="7">
        <v>28</v>
      </c>
      <c r="AE72" s="7">
        <v>29</v>
      </c>
      <c r="AF72" s="6">
        <v>30</v>
      </c>
      <c r="AG72" s="6">
        <v>31</v>
      </c>
      <c r="AH72" s="195"/>
      <c r="AI72" s="296"/>
    </row>
    <row r="73" spans="2:35">
      <c r="B73" s="364" t="s">
        <v>63</v>
      </c>
      <c r="C73" s="56">
        <v>1</v>
      </c>
      <c r="D73" s="6">
        <v>2</v>
      </c>
      <c r="E73" s="6">
        <v>3</v>
      </c>
      <c r="F73" s="7">
        <v>4</v>
      </c>
      <c r="G73" s="7">
        <v>5</v>
      </c>
      <c r="H73" s="7">
        <v>6</v>
      </c>
      <c r="I73" s="7">
        <v>7</v>
      </c>
      <c r="J73" s="7">
        <v>8</v>
      </c>
      <c r="K73" s="6">
        <v>9</v>
      </c>
      <c r="L73" s="6">
        <v>10</v>
      </c>
      <c r="M73" s="7">
        <v>11</v>
      </c>
      <c r="N73" s="7">
        <v>12</v>
      </c>
      <c r="O73" s="7">
        <v>13</v>
      </c>
      <c r="P73" s="7">
        <v>14</v>
      </c>
      <c r="Q73" s="8">
        <v>15</v>
      </c>
      <c r="R73" s="6">
        <v>16</v>
      </c>
      <c r="S73" s="6">
        <v>17</v>
      </c>
      <c r="T73" s="7">
        <v>18</v>
      </c>
      <c r="U73" s="7">
        <v>19</v>
      </c>
      <c r="V73" s="7">
        <v>20</v>
      </c>
      <c r="W73" s="7">
        <v>21</v>
      </c>
      <c r="X73" s="7">
        <v>22</v>
      </c>
      <c r="Y73" s="6">
        <v>23</v>
      </c>
      <c r="Z73" s="6">
        <v>24</v>
      </c>
      <c r="AA73" s="7">
        <v>25</v>
      </c>
      <c r="AB73" s="7">
        <v>26</v>
      </c>
      <c r="AC73" s="7">
        <v>27</v>
      </c>
      <c r="AD73" s="7">
        <v>28</v>
      </c>
      <c r="AE73" s="7">
        <v>29</v>
      </c>
      <c r="AF73" s="6">
        <v>30</v>
      </c>
      <c r="AG73" s="6">
        <v>31</v>
      </c>
      <c r="AH73" s="195"/>
      <c r="AI73" s="296"/>
    </row>
    <row r="74" spans="2:35">
      <c r="B74" s="5">
        <v>45536</v>
      </c>
      <c r="C74" s="893"/>
      <c r="D74" s="894"/>
      <c r="E74" s="894"/>
      <c r="F74" s="894"/>
      <c r="G74" s="894"/>
      <c r="H74" s="894"/>
      <c r="I74" s="894"/>
      <c r="J74" s="894"/>
      <c r="K74" s="894"/>
      <c r="L74" s="894"/>
      <c r="M74" s="894"/>
      <c r="N74" s="894"/>
      <c r="O74" s="894"/>
      <c r="P74" s="894"/>
      <c r="Q74" s="894"/>
      <c r="R74" s="894"/>
      <c r="S74" s="894"/>
      <c r="T74" s="894"/>
      <c r="U74" s="894"/>
      <c r="V74" s="894"/>
      <c r="W74" s="894"/>
      <c r="X74" s="894"/>
      <c r="Y74" s="894"/>
      <c r="Z74" s="894"/>
      <c r="AA74" s="894"/>
      <c r="AB74" s="894"/>
      <c r="AC74" s="894"/>
      <c r="AD74" s="894"/>
      <c r="AE74" s="894"/>
      <c r="AF74" s="894"/>
      <c r="AG74" s="894"/>
      <c r="AH74" s="894"/>
      <c r="AI74" s="296"/>
    </row>
    <row r="75" spans="2:35">
      <c r="B75" s="9"/>
      <c r="C75" s="18" t="s">
        <v>6</v>
      </c>
      <c r="D75" s="18" t="s">
        <v>7</v>
      </c>
      <c r="E75" s="18" t="s">
        <v>1</v>
      </c>
      <c r="F75" s="18" t="s">
        <v>2</v>
      </c>
      <c r="G75" s="18" t="s">
        <v>3</v>
      </c>
      <c r="H75" s="18" t="s">
        <v>4</v>
      </c>
      <c r="I75" s="18" t="s">
        <v>5</v>
      </c>
      <c r="J75" s="18" t="s">
        <v>6</v>
      </c>
      <c r="K75" s="18" t="s">
        <v>7</v>
      </c>
      <c r="L75" s="18" t="s">
        <v>1</v>
      </c>
      <c r="M75" s="18" t="s">
        <v>2</v>
      </c>
      <c r="N75" s="18" t="s">
        <v>3</v>
      </c>
      <c r="O75" s="18" t="s">
        <v>4</v>
      </c>
      <c r="P75" s="18" t="s">
        <v>5</v>
      </c>
      <c r="Q75" s="18" t="s">
        <v>6</v>
      </c>
      <c r="R75" s="18" t="s">
        <v>7</v>
      </c>
      <c r="S75" s="18" t="s">
        <v>1</v>
      </c>
      <c r="T75" s="18" t="s">
        <v>2</v>
      </c>
      <c r="U75" s="18" t="s">
        <v>3</v>
      </c>
      <c r="V75" s="18" t="s">
        <v>4</v>
      </c>
      <c r="W75" s="18" t="s">
        <v>5</v>
      </c>
      <c r="X75" s="18" t="s">
        <v>6</v>
      </c>
      <c r="Y75" s="18" t="s">
        <v>7</v>
      </c>
      <c r="Z75" s="18" t="s">
        <v>1</v>
      </c>
      <c r="AA75" s="18" t="s">
        <v>2</v>
      </c>
      <c r="AB75" s="18" t="s">
        <v>3</v>
      </c>
      <c r="AC75" s="18" t="s">
        <v>4</v>
      </c>
      <c r="AD75" s="18" t="s">
        <v>5</v>
      </c>
      <c r="AE75" s="18" t="s">
        <v>6</v>
      </c>
      <c r="AF75" s="18" t="s">
        <v>7</v>
      </c>
      <c r="AG75" s="18"/>
      <c r="AH75" s="49"/>
      <c r="AI75" s="156" t="s">
        <v>48</v>
      </c>
    </row>
    <row r="76" spans="2:35">
      <c r="B76" s="363" t="s">
        <v>61</v>
      </c>
      <c r="C76" s="7">
        <v>1</v>
      </c>
      <c r="D76" s="7">
        <v>2</v>
      </c>
      <c r="E76" s="7">
        <v>3</v>
      </c>
      <c r="F76" s="7">
        <v>4</v>
      </c>
      <c r="G76" s="7">
        <v>5</v>
      </c>
      <c r="H76" s="6">
        <v>6</v>
      </c>
      <c r="I76" s="6">
        <v>7</v>
      </c>
      <c r="J76" s="7">
        <v>8</v>
      </c>
      <c r="K76" s="7">
        <v>9</v>
      </c>
      <c r="L76" s="7">
        <v>10</v>
      </c>
      <c r="M76" s="7">
        <v>11</v>
      </c>
      <c r="N76" s="7">
        <v>12</v>
      </c>
      <c r="O76" s="6">
        <v>13</v>
      </c>
      <c r="P76" s="6">
        <v>14</v>
      </c>
      <c r="Q76" s="7">
        <v>15</v>
      </c>
      <c r="R76" s="7">
        <v>16</v>
      </c>
      <c r="S76" s="7">
        <v>17</v>
      </c>
      <c r="T76" s="7">
        <v>18</v>
      </c>
      <c r="U76" s="7">
        <v>19</v>
      </c>
      <c r="V76" s="6">
        <v>20</v>
      </c>
      <c r="W76" s="6">
        <v>21</v>
      </c>
      <c r="X76" s="7">
        <v>22</v>
      </c>
      <c r="Y76" s="7">
        <v>23</v>
      </c>
      <c r="Z76" s="7">
        <v>24</v>
      </c>
      <c r="AA76" s="7">
        <v>25</v>
      </c>
      <c r="AB76" s="7">
        <v>26</v>
      </c>
      <c r="AC76" s="6">
        <v>27</v>
      </c>
      <c r="AD76" s="6">
        <v>28</v>
      </c>
      <c r="AE76" s="7">
        <v>29</v>
      </c>
      <c r="AF76" s="56">
        <v>30</v>
      </c>
      <c r="AG76" s="49"/>
      <c r="AH76" s="49"/>
      <c r="AI76" s="296"/>
    </row>
    <row r="77" spans="2:35">
      <c r="B77" s="363" t="s">
        <v>24</v>
      </c>
      <c r="C77" s="7">
        <v>1</v>
      </c>
      <c r="D77" s="7">
        <v>2</v>
      </c>
      <c r="E77" s="7">
        <v>3</v>
      </c>
      <c r="F77" s="7">
        <v>4</v>
      </c>
      <c r="G77" s="7">
        <v>5</v>
      </c>
      <c r="H77" s="6">
        <v>6</v>
      </c>
      <c r="I77" s="6">
        <v>7</v>
      </c>
      <c r="J77" s="7">
        <v>8</v>
      </c>
      <c r="K77" s="7">
        <v>9</v>
      </c>
      <c r="L77" s="7">
        <v>10</v>
      </c>
      <c r="M77" s="7">
        <v>11</v>
      </c>
      <c r="N77" s="7">
        <v>12</v>
      </c>
      <c r="O77" s="6">
        <v>13</v>
      </c>
      <c r="P77" s="6">
        <v>14</v>
      </c>
      <c r="Q77" s="7">
        <v>15</v>
      </c>
      <c r="R77" s="7">
        <v>16</v>
      </c>
      <c r="S77" s="7">
        <v>17</v>
      </c>
      <c r="T77" s="7">
        <v>18</v>
      </c>
      <c r="U77" s="7">
        <v>19</v>
      </c>
      <c r="V77" s="6">
        <v>20</v>
      </c>
      <c r="W77" s="6">
        <v>21</v>
      </c>
      <c r="X77" s="7">
        <v>22</v>
      </c>
      <c r="Y77" s="7">
        <v>23</v>
      </c>
      <c r="Z77" s="7">
        <v>24</v>
      </c>
      <c r="AA77" s="7">
        <v>25</v>
      </c>
      <c r="AB77" s="7">
        <v>26</v>
      </c>
      <c r="AC77" s="6">
        <v>27</v>
      </c>
      <c r="AD77" s="6">
        <v>28</v>
      </c>
      <c r="AE77" s="7">
        <v>29</v>
      </c>
      <c r="AF77" s="56">
        <v>30</v>
      </c>
      <c r="AG77" s="49"/>
      <c r="AH77" s="49"/>
      <c r="AI77" s="296"/>
    </row>
    <row r="78" spans="2:35">
      <c r="B78" s="363" t="s">
        <v>15</v>
      </c>
      <c r="C78" s="7">
        <v>1</v>
      </c>
      <c r="D78" s="7">
        <v>2</v>
      </c>
      <c r="E78" s="7">
        <v>3</v>
      </c>
      <c r="F78" s="7">
        <v>4</v>
      </c>
      <c r="G78" s="7">
        <v>5</v>
      </c>
      <c r="H78" s="6">
        <v>6</v>
      </c>
      <c r="I78" s="6">
        <v>7</v>
      </c>
      <c r="J78" s="7">
        <v>8</v>
      </c>
      <c r="K78" s="7">
        <v>9</v>
      </c>
      <c r="L78" s="7">
        <v>10</v>
      </c>
      <c r="M78" s="7">
        <v>11</v>
      </c>
      <c r="N78" s="7">
        <v>12</v>
      </c>
      <c r="O78" s="6">
        <v>13</v>
      </c>
      <c r="P78" s="6">
        <v>14</v>
      </c>
      <c r="Q78" s="7">
        <v>15</v>
      </c>
      <c r="R78" s="7">
        <v>16</v>
      </c>
      <c r="S78" s="7">
        <v>17</v>
      </c>
      <c r="T78" s="7">
        <v>18</v>
      </c>
      <c r="U78" s="7">
        <v>19</v>
      </c>
      <c r="V78" s="6">
        <v>20</v>
      </c>
      <c r="W78" s="6">
        <v>21</v>
      </c>
      <c r="X78" s="7">
        <v>22</v>
      </c>
      <c r="Y78" s="7">
        <v>23</v>
      </c>
      <c r="Z78" s="7">
        <v>24</v>
      </c>
      <c r="AA78" s="7">
        <v>25</v>
      </c>
      <c r="AB78" s="7">
        <v>26</v>
      </c>
      <c r="AC78" s="6">
        <v>27</v>
      </c>
      <c r="AD78" s="6">
        <v>28</v>
      </c>
      <c r="AE78" s="7">
        <v>29</v>
      </c>
      <c r="AF78" s="56">
        <v>30</v>
      </c>
      <c r="AG78" s="49"/>
      <c r="AH78" s="49"/>
      <c r="AI78" s="296"/>
    </row>
    <row r="79" spans="2:35">
      <c r="B79" s="363" t="s">
        <v>18</v>
      </c>
      <c r="C79" s="7">
        <v>1</v>
      </c>
      <c r="D79" s="7">
        <v>2</v>
      </c>
      <c r="E79" s="7">
        <v>3</v>
      </c>
      <c r="F79" s="7">
        <v>4</v>
      </c>
      <c r="G79" s="7">
        <v>5</v>
      </c>
      <c r="H79" s="6">
        <v>6</v>
      </c>
      <c r="I79" s="6">
        <v>7</v>
      </c>
      <c r="J79" s="7">
        <v>8</v>
      </c>
      <c r="K79" s="7">
        <v>9</v>
      </c>
      <c r="L79" s="7">
        <v>10</v>
      </c>
      <c r="M79" s="7">
        <v>11</v>
      </c>
      <c r="N79" s="7">
        <v>12</v>
      </c>
      <c r="O79" s="6">
        <v>13</v>
      </c>
      <c r="P79" s="6">
        <v>14</v>
      </c>
      <c r="Q79" s="7">
        <v>15</v>
      </c>
      <c r="R79" s="7">
        <v>16</v>
      </c>
      <c r="S79" s="7">
        <v>17</v>
      </c>
      <c r="T79" s="7">
        <v>18</v>
      </c>
      <c r="U79" s="7">
        <v>19</v>
      </c>
      <c r="V79" s="6">
        <v>20</v>
      </c>
      <c r="W79" s="6">
        <v>21</v>
      </c>
      <c r="X79" s="7">
        <v>22</v>
      </c>
      <c r="Y79" s="7">
        <v>23</v>
      </c>
      <c r="Z79" s="7">
        <v>24</v>
      </c>
      <c r="AA79" s="7">
        <v>25</v>
      </c>
      <c r="AB79" s="7">
        <v>26</v>
      </c>
      <c r="AC79" s="6">
        <v>27</v>
      </c>
      <c r="AD79" s="6">
        <v>28</v>
      </c>
      <c r="AE79" s="7">
        <v>29</v>
      </c>
      <c r="AF79" s="56">
        <v>30</v>
      </c>
      <c r="AG79" s="49"/>
      <c r="AH79" s="49"/>
      <c r="AI79" s="296"/>
    </row>
    <row r="80" spans="2:35">
      <c r="B80" s="363" t="s">
        <v>21</v>
      </c>
      <c r="C80" s="7">
        <v>1</v>
      </c>
      <c r="D80" s="7">
        <v>2</v>
      </c>
      <c r="E80" s="7">
        <v>3</v>
      </c>
      <c r="F80" s="7">
        <v>4</v>
      </c>
      <c r="G80" s="7">
        <v>5</v>
      </c>
      <c r="H80" s="6">
        <v>6</v>
      </c>
      <c r="I80" s="6">
        <v>7</v>
      </c>
      <c r="J80" s="7">
        <v>8</v>
      </c>
      <c r="K80" s="7">
        <v>9</v>
      </c>
      <c r="L80" s="7">
        <v>10</v>
      </c>
      <c r="M80" s="7">
        <v>11</v>
      </c>
      <c r="N80" s="7">
        <v>12</v>
      </c>
      <c r="O80" s="6">
        <v>13</v>
      </c>
      <c r="P80" s="6">
        <v>14</v>
      </c>
      <c r="Q80" s="7">
        <v>15</v>
      </c>
      <c r="R80" s="7">
        <v>16</v>
      </c>
      <c r="S80" s="7">
        <v>17</v>
      </c>
      <c r="T80" s="7">
        <v>18</v>
      </c>
      <c r="U80" s="7">
        <v>19</v>
      </c>
      <c r="V80" s="6">
        <v>20</v>
      </c>
      <c r="W80" s="6">
        <v>21</v>
      </c>
      <c r="X80" s="7">
        <v>22</v>
      </c>
      <c r="Y80" s="7">
        <v>23</v>
      </c>
      <c r="Z80" s="7">
        <v>24</v>
      </c>
      <c r="AA80" s="7">
        <v>25</v>
      </c>
      <c r="AB80" s="7">
        <v>26</v>
      </c>
      <c r="AC80" s="6">
        <v>27</v>
      </c>
      <c r="AD80" s="6">
        <v>28</v>
      </c>
      <c r="AE80" s="7">
        <v>29</v>
      </c>
      <c r="AF80" s="56">
        <v>30</v>
      </c>
      <c r="AG80" s="49"/>
      <c r="AH80" s="49"/>
      <c r="AI80" s="296"/>
    </row>
    <row r="81" spans="2:35">
      <c r="B81" s="363" t="s">
        <v>62</v>
      </c>
      <c r="C81" s="7">
        <v>1</v>
      </c>
      <c r="D81" s="7">
        <v>2</v>
      </c>
      <c r="E81" s="7">
        <v>3</v>
      </c>
      <c r="F81" s="7">
        <v>4</v>
      </c>
      <c r="G81" s="7">
        <v>5</v>
      </c>
      <c r="H81" s="6">
        <v>6</v>
      </c>
      <c r="I81" s="6">
        <v>7</v>
      </c>
      <c r="J81" s="7">
        <v>8</v>
      </c>
      <c r="K81" s="7">
        <v>9</v>
      </c>
      <c r="L81" s="7">
        <v>10</v>
      </c>
      <c r="M81" s="7">
        <v>11</v>
      </c>
      <c r="N81" s="7">
        <v>12</v>
      </c>
      <c r="O81" s="6">
        <v>13</v>
      </c>
      <c r="P81" s="6">
        <v>14</v>
      </c>
      <c r="Q81" s="7">
        <v>15</v>
      </c>
      <c r="R81" s="7">
        <v>16</v>
      </c>
      <c r="S81" s="7">
        <v>17</v>
      </c>
      <c r="T81" s="7">
        <v>18</v>
      </c>
      <c r="U81" s="7">
        <v>19</v>
      </c>
      <c r="V81" s="6">
        <v>20</v>
      </c>
      <c r="W81" s="6">
        <v>21</v>
      </c>
      <c r="X81" s="7">
        <v>22</v>
      </c>
      <c r="Y81" s="7">
        <v>23</v>
      </c>
      <c r="Z81" s="7">
        <v>24</v>
      </c>
      <c r="AA81" s="7">
        <v>25</v>
      </c>
      <c r="AB81" s="7">
        <v>26</v>
      </c>
      <c r="AC81" s="6">
        <v>27</v>
      </c>
      <c r="AD81" s="6">
        <v>28</v>
      </c>
      <c r="AE81" s="7">
        <v>29</v>
      </c>
      <c r="AF81" s="56">
        <v>30</v>
      </c>
      <c r="AG81" s="49"/>
      <c r="AH81" s="49"/>
      <c r="AI81" s="296"/>
    </row>
    <row r="82" spans="2:35">
      <c r="B82" s="364" t="s">
        <v>63</v>
      </c>
      <c r="C82" s="7">
        <v>1</v>
      </c>
      <c r="D82" s="7">
        <v>2</v>
      </c>
      <c r="E82" s="7">
        <v>3</v>
      </c>
      <c r="F82" s="7">
        <v>4</v>
      </c>
      <c r="G82" s="7">
        <v>5</v>
      </c>
      <c r="H82" s="6">
        <v>6</v>
      </c>
      <c r="I82" s="6">
        <v>7</v>
      </c>
      <c r="J82" s="7">
        <v>8</v>
      </c>
      <c r="K82" s="7">
        <v>9</v>
      </c>
      <c r="L82" s="7">
        <v>10</v>
      </c>
      <c r="M82" s="7">
        <v>11</v>
      </c>
      <c r="N82" s="7">
        <v>12</v>
      </c>
      <c r="O82" s="6">
        <v>13</v>
      </c>
      <c r="P82" s="6">
        <v>14</v>
      </c>
      <c r="Q82" s="7">
        <v>15</v>
      </c>
      <c r="R82" s="7">
        <v>16</v>
      </c>
      <c r="S82" s="7">
        <v>17</v>
      </c>
      <c r="T82" s="7">
        <v>18</v>
      </c>
      <c r="U82" s="7">
        <v>19</v>
      </c>
      <c r="V82" s="6">
        <v>20</v>
      </c>
      <c r="W82" s="6">
        <v>21</v>
      </c>
      <c r="X82" s="7">
        <v>22</v>
      </c>
      <c r="Y82" s="7">
        <v>23</v>
      </c>
      <c r="Z82" s="7">
        <v>24</v>
      </c>
      <c r="AA82" s="7">
        <v>25</v>
      </c>
      <c r="AB82" s="7">
        <v>26</v>
      </c>
      <c r="AC82" s="6">
        <v>27</v>
      </c>
      <c r="AD82" s="6">
        <v>28</v>
      </c>
      <c r="AE82" s="7">
        <v>29</v>
      </c>
      <c r="AF82" s="56">
        <v>30</v>
      </c>
      <c r="AG82" s="49"/>
      <c r="AH82" s="49"/>
      <c r="AI82" s="296"/>
    </row>
    <row r="83" spans="2:35">
      <c r="B83" s="5">
        <v>45566</v>
      </c>
      <c r="C83" s="893"/>
      <c r="D83" s="894"/>
      <c r="E83" s="894"/>
      <c r="F83" s="894"/>
      <c r="G83" s="894"/>
      <c r="H83" s="894"/>
      <c r="I83" s="894"/>
      <c r="J83" s="894"/>
      <c r="K83" s="894"/>
      <c r="L83" s="894"/>
      <c r="M83" s="894"/>
      <c r="N83" s="894"/>
      <c r="O83" s="894"/>
      <c r="P83" s="894"/>
      <c r="Q83" s="894"/>
      <c r="R83" s="894"/>
      <c r="S83" s="894"/>
      <c r="T83" s="894"/>
      <c r="U83" s="894"/>
      <c r="V83" s="894"/>
      <c r="W83" s="894"/>
      <c r="X83" s="894"/>
      <c r="Y83" s="894"/>
      <c r="Z83" s="894"/>
      <c r="AA83" s="894"/>
      <c r="AB83" s="894"/>
      <c r="AC83" s="894"/>
      <c r="AD83" s="894"/>
      <c r="AE83" s="894"/>
      <c r="AF83" s="894"/>
      <c r="AG83" s="894"/>
      <c r="AH83" s="894"/>
      <c r="AI83" s="296"/>
    </row>
    <row r="84" spans="2:35">
      <c r="B84" s="9"/>
      <c r="C84" s="18" t="s">
        <v>1</v>
      </c>
      <c r="D84" s="18" t="s">
        <v>2</v>
      </c>
      <c r="E84" s="18" t="s">
        <v>3</v>
      </c>
      <c r="F84" s="18" t="s">
        <v>4</v>
      </c>
      <c r="G84" s="18" t="s">
        <v>5</v>
      </c>
      <c r="H84" s="18" t="s">
        <v>6</v>
      </c>
      <c r="I84" s="18" t="s">
        <v>7</v>
      </c>
      <c r="J84" s="18" t="s">
        <v>1</v>
      </c>
      <c r="K84" s="18" t="s">
        <v>2</v>
      </c>
      <c r="L84" s="18" t="s">
        <v>3</v>
      </c>
      <c r="M84" s="18" t="s">
        <v>4</v>
      </c>
      <c r="N84" s="18" t="s">
        <v>5</v>
      </c>
      <c r="O84" s="18" t="s">
        <v>6</v>
      </c>
      <c r="P84" s="18" t="s">
        <v>7</v>
      </c>
      <c r="Q84" s="18" t="s">
        <v>1</v>
      </c>
      <c r="R84" s="18" t="s">
        <v>2</v>
      </c>
      <c r="S84" s="18" t="s">
        <v>3</v>
      </c>
      <c r="T84" s="18" t="s">
        <v>4</v>
      </c>
      <c r="U84" s="18" t="s">
        <v>5</v>
      </c>
      <c r="V84" s="18" t="s">
        <v>6</v>
      </c>
      <c r="W84" s="18" t="s">
        <v>7</v>
      </c>
      <c r="X84" s="18" t="s">
        <v>1</v>
      </c>
      <c r="Y84" s="18" t="s">
        <v>2</v>
      </c>
      <c r="Z84" s="18" t="s">
        <v>3</v>
      </c>
      <c r="AA84" s="18" t="s">
        <v>4</v>
      </c>
      <c r="AB84" s="18" t="s">
        <v>5</v>
      </c>
      <c r="AC84" s="18" t="s">
        <v>6</v>
      </c>
      <c r="AD84" s="18" t="s">
        <v>7</v>
      </c>
      <c r="AE84" s="18" t="s">
        <v>1</v>
      </c>
      <c r="AF84" s="18" t="s">
        <v>2</v>
      </c>
      <c r="AG84" s="18" t="s">
        <v>3</v>
      </c>
      <c r="AH84" s="49"/>
      <c r="AI84" s="156" t="s">
        <v>48</v>
      </c>
    </row>
    <row r="85" spans="2:35">
      <c r="B85" s="363" t="s">
        <v>61</v>
      </c>
      <c r="C85" s="56">
        <v>1</v>
      </c>
      <c r="D85" s="56">
        <v>2</v>
      </c>
      <c r="E85" s="56">
        <v>3</v>
      </c>
      <c r="F85" s="6">
        <v>4</v>
      </c>
      <c r="G85" s="6">
        <v>5</v>
      </c>
      <c r="H85" s="7">
        <v>6</v>
      </c>
      <c r="I85" s="7">
        <v>7</v>
      </c>
      <c r="J85" s="7">
        <v>8</v>
      </c>
      <c r="K85" s="7">
        <v>9</v>
      </c>
      <c r="L85" s="7">
        <v>10</v>
      </c>
      <c r="M85" s="6">
        <v>11</v>
      </c>
      <c r="N85" s="8">
        <v>12</v>
      </c>
      <c r="O85" s="7">
        <v>13</v>
      </c>
      <c r="P85" s="7">
        <v>14</v>
      </c>
      <c r="Q85" s="7">
        <v>15</v>
      </c>
      <c r="R85" s="7">
        <v>16</v>
      </c>
      <c r="S85" s="7">
        <v>17</v>
      </c>
      <c r="T85" s="6">
        <v>18</v>
      </c>
      <c r="U85" s="6">
        <v>19</v>
      </c>
      <c r="V85" s="7">
        <v>20</v>
      </c>
      <c r="W85" s="7">
        <v>21</v>
      </c>
      <c r="X85" s="7">
        <v>22</v>
      </c>
      <c r="Y85" s="7">
        <v>23</v>
      </c>
      <c r="Z85" s="7">
        <v>24</v>
      </c>
      <c r="AA85" s="6">
        <v>25</v>
      </c>
      <c r="AB85" s="6">
        <v>26</v>
      </c>
      <c r="AC85" s="7">
        <v>27</v>
      </c>
      <c r="AD85" s="56">
        <v>28</v>
      </c>
      <c r="AE85" s="56">
        <v>29</v>
      </c>
      <c r="AF85" s="56">
        <v>30</v>
      </c>
      <c r="AG85" s="56">
        <v>31</v>
      </c>
      <c r="AH85" s="49"/>
      <c r="AI85" s="296"/>
    </row>
    <row r="86" spans="2:35">
      <c r="B86" s="363" t="s">
        <v>24</v>
      </c>
      <c r="C86" s="56">
        <v>1</v>
      </c>
      <c r="D86" s="56">
        <v>2</v>
      </c>
      <c r="E86" s="56">
        <v>3</v>
      </c>
      <c r="F86" s="6">
        <v>4</v>
      </c>
      <c r="G86" s="6">
        <v>5</v>
      </c>
      <c r="H86" s="7">
        <v>6</v>
      </c>
      <c r="I86" s="7">
        <v>7</v>
      </c>
      <c r="J86" s="7">
        <v>8</v>
      </c>
      <c r="K86" s="7">
        <v>9</v>
      </c>
      <c r="L86" s="7">
        <v>10</v>
      </c>
      <c r="M86" s="6">
        <v>11</v>
      </c>
      <c r="N86" s="8">
        <v>12</v>
      </c>
      <c r="O86" s="7">
        <v>13</v>
      </c>
      <c r="P86" s="7">
        <v>14</v>
      </c>
      <c r="Q86" s="7">
        <v>15</v>
      </c>
      <c r="R86" s="7">
        <v>16</v>
      </c>
      <c r="S86" s="7">
        <v>17</v>
      </c>
      <c r="T86" s="6">
        <v>18</v>
      </c>
      <c r="U86" s="6">
        <v>19</v>
      </c>
      <c r="V86" s="7">
        <v>20</v>
      </c>
      <c r="W86" s="7">
        <v>21</v>
      </c>
      <c r="X86" s="7">
        <v>22</v>
      </c>
      <c r="Y86" s="7">
        <v>23</v>
      </c>
      <c r="Z86" s="7">
        <v>24</v>
      </c>
      <c r="AA86" s="6">
        <v>25</v>
      </c>
      <c r="AB86" s="6">
        <v>26</v>
      </c>
      <c r="AC86" s="7">
        <v>27</v>
      </c>
      <c r="AD86" s="56">
        <v>28</v>
      </c>
      <c r="AE86" s="56">
        <v>29</v>
      </c>
      <c r="AF86" s="56">
        <v>30</v>
      </c>
      <c r="AG86" s="56">
        <v>31</v>
      </c>
      <c r="AH86" s="49"/>
      <c r="AI86" s="296"/>
    </row>
    <row r="87" spans="2:35">
      <c r="B87" s="363" t="s">
        <v>15</v>
      </c>
      <c r="C87" s="56">
        <v>1</v>
      </c>
      <c r="D87" s="56">
        <v>2</v>
      </c>
      <c r="E87" s="56">
        <v>3</v>
      </c>
      <c r="F87" s="6">
        <v>4</v>
      </c>
      <c r="G87" s="6">
        <v>5</v>
      </c>
      <c r="H87" s="7">
        <v>6</v>
      </c>
      <c r="I87" s="7">
        <v>7</v>
      </c>
      <c r="J87" s="7">
        <v>8</v>
      </c>
      <c r="K87" s="7">
        <v>9</v>
      </c>
      <c r="L87" s="7">
        <v>10</v>
      </c>
      <c r="M87" s="6">
        <v>11</v>
      </c>
      <c r="N87" s="8">
        <v>12</v>
      </c>
      <c r="O87" s="7">
        <v>13</v>
      </c>
      <c r="P87" s="7">
        <v>14</v>
      </c>
      <c r="Q87" s="7">
        <v>15</v>
      </c>
      <c r="R87" s="7">
        <v>16</v>
      </c>
      <c r="S87" s="7">
        <v>17</v>
      </c>
      <c r="T87" s="6">
        <v>18</v>
      </c>
      <c r="U87" s="6">
        <v>19</v>
      </c>
      <c r="V87" s="7">
        <v>20</v>
      </c>
      <c r="W87" s="7">
        <v>21</v>
      </c>
      <c r="X87" s="7">
        <v>22</v>
      </c>
      <c r="Y87" s="7">
        <v>23</v>
      </c>
      <c r="Z87" s="7">
        <v>24</v>
      </c>
      <c r="AA87" s="6">
        <v>25</v>
      </c>
      <c r="AB87" s="6">
        <v>26</v>
      </c>
      <c r="AC87" s="7">
        <v>27</v>
      </c>
      <c r="AD87" s="56">
        <v>28</v>
      </c>
      <c r="AE87" s="56">
        <v>29</v>
      </c>
      <c r="AF87" s="56">
        <v>30</v>
      </c>
      <c r="AG87" s="56">
        <v>31</v>
      </c>
      <c r="AH87" s="49"/>
      <c r="AI87" s="296"/>
    </row>
    <row r="88" spans="2:35">
      <c r="B88" s="363" t="s">
        <v>18</v>
      </c>
      <c r="C88" s="56">
        <v>1</v>
      </c>
      <c r="D88" s="56">
        <v>2</v>
      </c>
      <c r="E88" s="56">
        <v>3</v>
      </c>
      <c r="F88" s="6">
        <v>4</v>
      </c>
      <c r="G88" s="6">
        <v>5</v>
      </c>
      <c r="H88" s="7">
        <v>6</v>
      </c>
      <c r="I88" s="7">
        <v>7</v>
      </c>
      <c r="J88" s="7">
        <v>8</v>
      </c>
      <c r="K88" s="7">
        <v>9</v>
      </c>
      <c r="L88" s="7">
        <v>10</v>
      </c>
      <c r="M88" s="6">
        <v>11</v>
      </c>
      <c r="N88" s="8">
        <v>12</v>
      </c>
      <c r="O88" s="7">
        <v>13</v>
      </c>
      <c r="P88" s="7">
        <v>14</v>
      </c>
      <c r="Q88" s="7">
        <v>15</v>
      </c>
      <c r="R88" s="7">
        <v>16</v>
      </c>
      <c r="S88" s="7">
        <v>17</v>
      </c>
      <c r="T88" s="6">
        <v>18</v>
      </c>
      <c r="U88" s="6">
        <v>19</v>
      </c>
      <c r="V88" s="7">
        <v>20</v>
      </c>
      <c r="W88" s="7">
        <v>21</v>
      </c>
      <c r="X88" s="7">
        <v>22</v>
      </c>
      <c r="Y88" s="7">
        <v>23</v>
      </c>
      <c r="Z88" s="7">
        <v>24</v>
      </c>
      <c r="AA88" s="6">
        <v>25</v>
      </c>
      <c r="AB88" s="6">
        <v>26</v>
      </c>
      <c r="AC88" s="7">
        <v>27</v>
      </c>
      <c r="AD88" s="56">
        <v>28</v>
      </c>
      <c r="AE88" s="56">
        <v>29</v>
      </c>
      <c r="AF88" s="56">
        <v>30</v>
      </c>
      <c r="AG88" s="56">
        <v>31</v>
      </c>
      <c r="AH88" s="49"/>
      <c r="AI88" s="296"/>
    </row>
    <row r="89" spans="2:35">
      <c r="B89" s="363" t="s">
        <v>21</v>
      </c>
      <c r="C89" s="56">
        <v>1</v>
      </c>
      <c r="D89" s="56">
        <v>2</v>
      </c>
      <c r="E89" s="56">
        <v>3</v>
      </c>
      <c r="F89" s="6">
        <v>4</v>
      </c>
      <c r="G89" s="6">
        <v>5</v>
      </c>
      <c r="H89" s="7">
        <v>6</v>
      </c>
      <c r="I89" s="7">
        <v>7</v>
      </c>
      <c r="J89" s="7">
        <v>8</v>
      </c>
      <c r="K89" s="7">
        <v>9</v>
      </c>
      <c r="L89" s="7">
        <v>10</v>
      </c>
      <c r="M89" s="6">
        <v>11</v>
      </c>
      <c r="N89" s="8">
        <v>12</v>
      </c>
      <c r="O89" s="7">
        <v>13</v>
      </c>
      <c r="P89" s="7">
        <v>14</v>
      </c>
      <c r="Q89" s="7">
        <v>15</v>
      </c>
      <c r="R89" s="7">
        <v>16</v>
      </c>
      <c r="S89" s="7">
        <v>17</v>
      </c>
      <c r="T89" s="6">
        <v>18</v>
      </c>
      <c r="U89" s="6">
        <v>19</v>
      </c>
      <c r="V89" s="7">
        <v>20</v>
      </c>
      <c r="W89" s="7">
        <v>21</v>
      </c>
      <c r="X89" s="7">
        <v>22</v>
      </c>
      <c r="Y89" s="7">
        <v>23</v>
      </c>
      <c r="Z89" s="7">
        <v>24</v>
      </c>
      <c r="AA89" s="6">
        <v>25</v>
      </c>
      <c r="AB89" s="6">
        <v>26</v>
      </c>
      <c r="AC89" s="7">
        <v>27</v>
      </c>
      <c r="AD89" s="56">
        <v>28</v>
      </c>
      <c r="AE89" s="56">
        <v>29</v>
      </c>
      <c r="AF89" s="56">
        <v>30</v>
      </c>
      <c r="AG89" s="56">
        <v>31</v>
      </c>
      <c r="AH89" s="49"/>
      <c r="AI89" s="296"/>
    </row>
    <row r="90" spans="2:35">
      <c r="B90" s="363" t="s">
        <v>62</v>
      </c>
      <c r="C90" s="56">
        <v>1</v>
      </c>
      <c r="D90" s="56">
        <v>2</v>
      </c>
      <c r="E90" s="56">
        <v>3</v>
      </c>
      <c r="F90" s="6">
        <v>4</v>
      </c>
      <c r="G90" s="6">
        <v>5</v>
      </c>
      <c r="H90" s="7">
        <v>6</v>
      </c>
      <c r="I90" s="7">
        <v>7</v>
      </c>
      <c r="J90" s="7">
        <v>8</v>
      </c>
      <c r="K90" s="7">
        <v>9</v>
      </c>
      <c r="L90" s="7">
        <v>10</v>
      </c>
      <c r="M90" s="6">
        <v>11</v>
      </c>
      <c r="N90" s="8">
        <v>12</v>
      </c>
      <c r="O90" s="7">
        <v>13</v>
      </c>
      <c r="P90" s="7">
        <v>14</v>
      </c>
      <c r="Q90" s="7">
        <v>15</v>
      </c>
      <c r="R90" s="7">
        <v>16</v>
      </c>
      <c r="S90" s="7">
        <v>17</v>
      </c>
      <c r="T90" s="6">
        <v>18</v>
      </c>
      <c r="U90" s="6">
        <v>19</v>
      </c>
      <c r="V90" s="7">
        <v>20</v>
      </c>
      <c r="W90" s="7">
        <v>21</v>
      </c>
      <c r="X90" s="7">
        <v>22</v>
      </c>
      <c r="Y90" s="7">
        <v>23</v>
      </c>
      <c r="Z90" s="7">
        <v>24</v>
      </c>
      <c r="AA90" s="6">
        <v>25</v>
      </c>
      <c r="AB90" s="6">
        <v>26</v>
      </c>
      <c r="AC90" s="7">
        <v>27</v>
      </c>
      <c r="AD90" s="56">
        <v>28</v>
      </c>
      <c r="AE90" s="56">
        <v>29</v>
      </c>
      <c r="AF90" s="56">
        <v>30</v>
      </c>
      <c r="AG90" s="56">
        <v>31</v>
      </c>
      <c r="AH90" s="49"/>
      <c r="AI90" s="296"/>
    </row>
    <row r="91" spans="2:35">
      <c r="B91" s="364" t="s">
        <v>63</v>
      </c>
      <c r="C91" s="56">
        <v>1</v>
      </c>
      <c r="D91" s="56">
        <v>2</v>
      </c>
      <c r="E91" s="56">
        <v>3</v>
      </c>
      <c r="F91" s="6">
        <v>4</v>
      </c>
      <c r="G91" s="6">
        <v>5</v>
      </c>
      <c r="H91" s="7">
        <v>6</v>
      </c>
      <c r="I91" s="7">
        <v>7</v>
      </c>
      <c r="J91" s="7">
        <v>8</v>
      </c>
      <c r="K91" s="7">
        <v>9</v>
      </c>
      <c r="L91" s="7">
        <v>10</v>
      </c>
      <c r="M91" s="6">
        <v>11</v>
      </c>
      <c r="N91" s="8">
        <v>12</v>
      </c>
      <c r="O91" s="7">
        <v>13</v>
      </c>
      <c r="P91" s="7">
        <v>14</v>
      </c>
      <c r="Q91" s="7">
        <v>15</v>
      </c>
      <c r="R91" s="7">
        <v>16</v>
      </c>
      <c r="S91" s="7">
        <v>17</v>
      </c>
      <c r="T91" s="6">
        <v>18</v>
      </c>
      <c r="U91" s="6">
        <v>19</v>
      </c>
      <c r="V91" s="7">
        <v>20</v>
      </c>
      <c r="W91" s="7">
        <v>21</v>
      </c>
      <c r="X91" s="7">
        <v>22</v>
      </c>
      <c r="Y91" s="7">
        <v>23</v>
      </c>
      <c r="Z91" s="7">
        <v>24</v>
      </c>
      <c r="AA91" s="6">
        <v>25</v>
      </c>
      <c r="AB91" s="6">
        <v>26</v>
      </c>
      <c r="AC91" s="7">
        <v>27</v>
      </c>
      <c r="AD91" s="56">
        <v>28</v>
      </c>
      <c r="AE91" s="56">
        <v>29</v>
      </c>
      <c r="AF91" s="56">
        <v>30</v>
      </c>
      <c r="AG91" s="56">
        <v>31</v>
      </c>
      <c r="AH91" s="49"/>
      <c r="AI91" s="296"/>
    </row>
    <row r="92" spans="2:35">
      <c r="B92" s="5">
        <v>45597</v>
      </c>
      <c r="C92" s="893"/>
      <c r="D92" s="894"/>
      <c r="E92" s="894"/>
      <c r="F92" s="894"/>
      <c r="G92" s="894"/>
      <c r="H92" s="894"/>
      <c r="I92" s="894"/>
      <c r="J92" s="894"/>
      <c r="K92" s="894"/>
      <c r="L92" s="894"/>
      <c r="M92" s="894"/>
      <c r="N92" s="894"/>
      <c r="O92" s="894"/>
      <c r="P92" s="894"/>
      <c r="Q92" s="894"/>
      <c r="R92" s="894"/>
      <c r="S92" s="894"/>
      <c r="T92" s="894"/>
      <c r="U92" s="894"/>
      <c r="V92" s="894"/>
      <c r="W92" s="894"/>
      <c r="X92" s="894"/>
      <c r="Y92" s="894"/>
      <c r="Z92" s="894"/>
      <c r="AA92" s="894"/>
      <c r="AB92" s="894"/>
      <c r="AC92" s="894"/>
      <c r="AD92" s="894"/>
      <c r="AE92" s="894"/>
      <c r="AF92" s="894"/>
      <c r="AG92" s="894"/>
      <c r="AH92" s="894"/>
      <c r="AI92" s="296"/>
    </row>
    <row r="93" spans="2:35">
      <c r="B93" s="9"/>
      <c r="C93" s="18" t="s">
        <v>4</v>
      </c>
      <c r="D93" s="18" t="s">
        <v>5</v>
      </c>
      <c r="E93" s="18" t="s">
        <v>6</v>
      </c>
      <c r="F93" s="18" t="s">
        <v>7</v>
      </c>
      <c r="G93" s="18" t="s">
        <v>1</v>
      </c>
      <c r="H93" s="18" t="s">
        <v>2</v>
      </c>
      <c r="I93" s="18" t="s">
        <v>3</v>
      </c>
      <c r="J93" s="18" t="s">
        <v>4</v>
      </c>
      <c r="K93" s="18" t="s">
        <v>5</v>
      </c>
      <c r="L93" s="18" t="s">
        <v>6</v>
      </c>
      <c r="M93" s="18" t="s">
        <v>7</v>
      </c>
      <c r="N93" s="18" t="s">
        <v>1</v>
      </c>
      <c r="O93" s="18" t="s">
        <v>2</v>
      </c>
      <c r="P93" s="18" t="s">
        <v>3</v>
      </c>
      <c r="Q93" s="18" t="s">
        <v>4</v>
      </c>
      <c r="R93" s="18" t="s">
        <v>5</v>
      </c>
      <c r="S93" s="18" t="s">
        <v>6</v>
      </c>
      <c r="T93" s="18" t="s">
        <v>7</v>
      </c>
      <c r="U93" s="18" t="s">
        <v>1</v>
      </c>
      <c r="V93" s="18" t="s">
        <v>2</v>
      </c>
      <c r="W93" s="18" t="s">
        <v>3</v>
      </c>
      <c r="X93" s="18" t="s">
        <v>4</v>
      </c>
      <c r="Y93" s="18" t="s">
        <v>5</v>
      </c>
      <c r="Z93" s="18" t="s">
        <v>6</v>
      </c>
      <c r="AA93" s="18" t="s">
        <v>7</v>
      </c>
      <c r="AB93" s="18" t="s">
        <v>1</v>
      </c>
      <c r="AC93" s="18" t="s">
        <v>2</v>
      </c>
      <c r="AD93" s="18" t="s">
        <v>3</v>
      </c>
      <c r="AE93" s="18" t="s">
        <v>4</v>
      </c>
      <c r="AF93" s="18" t="s">
        <v>5</v>
      </c>
      <c r="AG93" s="18"/>
      <c r="AH93" s="49"/>
      <c r="AI93" s="156" t="s">
        <v>48</v>
      </c>
    </row>
    <row r="94" spans="2:35">
      <c r="B94" s="363" t="s">
        <v>61</v>
      </c>
      <c r="C94" s="8">
        <v>1</v>
      </c>
      <c r="D94" s="6">
        <v>2</v>
      </c>
      <c r="E94" s="7">
        <v>3</v>
      </c>
      <c r="F94" s="7">
        <v>4</v>
      </c>
      <c r="G94" s="7">
        <v>5</v>
      </c>
      <c r="H94" s="7">
        <v>6</v>
      </c>
      <c r="I94" s="7">
        <v>7</v>
      </c>
      <c r="J94" s="6">
        <v>8</v>
      </c>
      <c r="K94" s="8">
        <v>9</v>
      </c>
      <c r="L94" s="7">
        <v>10</v>
      </c>
      <c r="M94" s="7">
        <v>11</v>
      </c>
      <c r="N94" s="7">
        <v>12</v>
      </c>
      <c r="O94" s="7">
        <v>13</v>
      </c>
      <c r="P94" s="7">
        <v>14</v>
      </c>
      <c r="Q94" s="6">
        <v>15</v>
      </c>
      <c r="R94" s="6">
        <v>16</v>
      </c>
      <c r="S94" s="7">
        <v>17</v>
      </c>
      <c r="T94" s="7">
        <v>18</v>
      </c>
      <c r="U94" s="7">
        <v>19</v>
      </c>
      <c r="V94" s="7">
        <v>20</v>
      </c>
      <c r="W94" s="7">
        <v>21</v>
      </c>
      <c r="X94" s="6">
        <v>22</v>
      </c>
      <c r="Y94" s="6">
        <v>23</v>
      </c>
      <c r="Z94" s="7">
        <v>24</v>
      </c>
      <c r="AA94" s="7">
        <v>25</v>
      </c>
      <c r="AB94" s="7">
        <v>26</v>
      </c>
      <c r="AC94" s="7">
        <v>27</v>
      </c>
      <c r="AD94" s="7">
        <v>28</v>
      </c>
      <c r="AE94" s="6">
        <v>29</v>
      </c>
      <c r="AF94" s="6">
        <v>30</v>
      </c>
      <c r="AG94" s="49"/>
      <c r="AH94" s="49"/>
      <c r="AI94" s="296"/>
    </row>
    <row r="95" spans="2:35">
      <c r="B95" s="363" t="s">
        <v>24</v>
      </c>
      <c r="C95" s="8">
        <v>1</v>
      </c>
      <c r="D95" s="6">
        <v>2</v>
      </c>
      <c r="E95" s="7">
        <v>3</v>
      </c>
      <c r="F95" s="7">
        <v>4</v>
      </c>
      <c r="G95" s="7">
        <v>5</v>
      </c>
      <c r="H95" s="7">
        <v>6</v>
      </c>
      <c r="I95" s="7">
        <v>7</v>
      </c>
      <c r="J95" s="6">
        <v>8</v>
      </c>
      <c r="K95" s="8">
        <v>9</v>
      </c>
      <c r="L95" s="7">
        <v>10</v>
      </c>
      <c r="M95" s="7">
        <v>11</v>
      </c>
      <c r="N95" s="7">
        <v>12</v>
      </c>
      <c r="O95" s="7">
        <v>13</v>
      </c>
      <c r="P95" s="7">
        <v>14</v>
      </c>
      <c r="Q95" s="6">
        <v>15</v>
      </c>
      <c r="R95" s="6">
        <v>16</v>
      </c>
      <c r="S95" s="7">
        <v>17</v>
      </c>
      <c r="T95" s="7">
        <v>18</v>
      </c>
      <c r="U95" s="7">
        <v>19</v>
      </c>
      <c r="V95" s="7">
        <v>20</v>
      </c>
      <c r="W95" s="7">
        <v>21</v>
      </c>
      <c r="X95" s="6">
        <v>22</v>
      </c>
      <c r="Y95" s="6">
        <v>23</v>
      </c>
      <c r="Z95" s="7">
        <v>24</v>
      </c>
      <c r="AA95" s="7">
        <v>25</v>
      </c>
      <c r="AB95" s="7">
        <v>26</v>
      </c>
      <c r="AC95" s="7">
        <v>27</v>
      </c>
      <c r="AD95" s="7">
        <v>28</v>
      </c>
      <c r="AE95" s="6">
        <v>29</v>
      </c>
      <c r="AF95" s="6">
        <v>30</v>
      </c>
      <c r="AG95" s="49"/>
      <c r="AH95" s="49"/>
      <c r="AI95" s="296"/>
    </row>
    <row r="96" spans="2:35">
      <c r="B96" s="363" t="s">
        <v>15</v>
      </c>
      <c r="C96" s="8">
        <v>1</v>
      </c>
      <c r="D96" s="6">
        <v>2</v>
      </c>
      <c r="E96" s="7">
        <v>3</v>
      </c>
      <c r="F96" s="7">
        <v>4</v>
      </c>
      <c r="G96" s="7">
        <v>5</v>
      </c>
      <c r="H96" s="7">
        <v>6</v>
      </c>
      <c r="I96" s="7">
        <v>7</v>
      </c>
      <c r="J96" s="6">
        <v>8</v>
      </c>
      <c r="K96" s="8">
        <v>9</v>
      </c>
      <c r="L96" s="7">
        <v>10</v>
      </c>
      <c r="M96" s="7">
        <v>11</v>
      </c>
      <c r="N96" s="7">
        <v>12</v>
      </c>
      <c r="O96" s="7">
        <v>13</v>
      </c>
      <c r="P96" s="7">
        <v>14</v>
      </c>
      <c r="Q96" s="6">
        <v>15</v>
      </c>
      <c r="R96" s="6">
        <v>16</v>
      </c>
      <c r="S96" s="7">
        <v>17</v>
      </c>
      <c r="T96" s="7">
        <v>18</v>
      </c>
      <c r="U96" s="7">
        <v>19</v>
      </c>
      <c r="V96" s="7">
        <v>20</v>
      </c>
      <c r="W96" s="7">
        <v>21</v>
      </c>
      <c r="X96" s="6">
        <v>22</v>
      </c>
      <c r="Y96" s="6">
        <v>23</v>
      </c>
      <c r="Z96" s="7">
        <v>24</v>
      </c>
      <c r="AA96" s="7">
        <v>25</v>
      </c>
      <c r="AB96" s="7">
        <v>26</v>
      </c>
      <c r="AC96" s="7">
        <v>27</v>
      </c>
      <c r="AD96" s="7">
        <v>28</v>
      </c>
      <c r="AE96" s="6">
        <v>29</v>
      </c>
      <c r="AF96" s="6">
        <v>30</v>
      </c>
      <c r="AG96" s="49"/>
      <c r="AH96" s="49"/>
      <c r="AI96" s="296"/>
    </row>
    <row r="97" spans="2:35">
      <c r="B97" s="363" t="s">
        <v>18</v>
      </c>
      <c r="C97" s="8">
        <v>1</v>
      </c>
      <c r="D97" s="6">
        <v>2</v>
      </c>
      <c r="E97" s="7">
        <v>3</v>
      </c>
      <c r="F97" s="7">
        <v>4</v>
      </c>
      <c r="G97" s="7">
        <v>5</v>
      </c>
      <c r="H97" s="7">
        <v>6</v>
      </c>
      <c r="I97" s="7">
        <v>7</v>
      </c>
      <c r="J97" s="6">
        <v>8</v>
      </c>
      <c r="K97" s="8">
        <v>9</v>
      </c>
      <c r="L97" s="7">
        <v>10</v>
      </c>
      <c r="M97" s="7">
        <v>11</v>
      </c>
      <c r="N97" s="7">
        <v>12</v>
      </c>
      <c r="O97" s="7">
        <v>13</v>
      </c>
      <c r="P97" s="7">
        <v>14</v>
      </c>
      <c r="Q97" s="6">
        <v>15</v>
      </c>
      <c r="R97" s="6">
        <v>16</v>
      </c>
      <c r="S97" s="7">
        <v>17</v>
      </c>
      <c r="T97" s="7">
        <v>18</v>
      </c>
      <c r="U97" s="7">
        <v>19</v>
      </c>
      <c r="V97" s="7">
        <v>20</v>
      </c>
      <c r="W97" s="7">
        <v>21</v>
      </c>
      <c r="X97" s="6">
        <v>22</v>
      </c>
      <c r="Y97" s="6">
        <v>23</v>
      </c>
      <c r="Z97" s="7">
        <v>24</v>
      </c>
      <c r="AA97" s="7">
        <v>25</v>
      </c>
      <c r="AB97" s="7">
        <v>26</v>
      </c>
      <c r="AC97" s="7">
        <v>27</v>
      </c>
      <c r="AD97" s="7">
        <v>28</v>
      </c>
      <c r="AE97" s="6">
        <v>29</v>
      </c>
      <c r="AF97" s="6">
        <v>30</v>
      </c>
      <c r="AG97" s="49"/>
      <c r="AH97" s="49"/>
      <c r="AI97" s="296"/>
    </row>
    <row r="98" spans="2:35">
      <c r="B98" s="363" t="s">
        <v>21</v>
      </c>
      <c r="C98" s="8">
        <v>1</v>
      </c>
      <c r="D98" s="6">
        <v>2</v>
      </c>
      <c r="E98" s="7">
        <v>3</v>
      </c>
      <c r="F98" s="7">
        <v>4</v>
      </c>
      <c r="G98" s="7">
        <v>5</v>
      </c>
      <c r="H98" s="7">
        <v>6</v>
      </c>
      <c r="I98" s="7">
        <v>7</v>
      </c>
      <c r="J98" s="6">
        <v>8</v>
      </c>
      <c r="K98" s="8">
        <v>9</v>
      </c>
      <c r="L98" s="7">
        <v>10</v>
      </c>
      <c r="M98" s="7">
        <v>11</v>
      </c>
      <c r="N98" s="7">
        <v>12</v>
      </c>
      <c r="O98" s="7">
        <v>13</v>
      </c>
      <c r="P98" s="7">
        <v>14</v>
      </c>
      <c r="Q98" s="6">
        <v>15</v>
      </c>
      <c r="R98" s="6">
        <v>16</v>
      </c>
      <c r="S98" s="7">
        <v>17</v>
      </c>
      <c r="T98" s="7">
        <v>18</v>
      </c>
      <c r="U98" s="7">
        <v>19</v>
      </c>
      <c r="V98" s="7">
        <v>20</v>
      </c>
      <c r="W98" s="7">
        <v>21</v>
      </c>
      <c r="X98" s="6">
        <v>22</v>
      </c>
      <c r="Y98" s="6">
        <v>23</v>
      </c>
      <c r="Z98" s="7">
        <v>24</v>
      </c>
      <c r="AA98" s="7">
        <v>25</v>
      </c>
      <c r="AB98" s="7">
        <v>26</v>
      </c>
      <c r="AC98" s="7">
        <v>27</v>
      </c>
      <c r="AD98" s="7">
        <v>28</v>
      </c>
      <c r="AE98" s="6">
        <v>29</v>
      </c>
      <c r="AF98" s="6">
        <v>30</v>
      </c>
      <c r="AG98" s="49"/>
      <c r="AH98" s="49"/>
      <c r="AI98" s="296"/>
    </row>
    <row r="99" spans="2:35">
      <c r="B99" s="363" t="s">
        <v>62</v>
      </c>
      <c r="C99" s="8">
        <v>1</v>
      </c>
      <c r="D99" s="6">
        <v>2</v>
      </c>
      <c r="E99" s="7">
        <v>3</v>
      </c>
      <c r="F99" s="7">
        <v>4</v>
      </c>
      <c r="G99" s="7">
        <v>5</v>
      </c>
      <c r="H99" s="7">
        <v>6</v>
      </c>
      <c r="I99" s="7">
        <v>7</v>
      </c>
      <c r="J99" s="6">
        <v>8</v>
      </c>
      <c r="K99" s="8">
        <v>9</v>
      </c>
      <c r="L99" s="7">
        <v>10</v>
      </c>
      <c r="M99" s="7">
        <v>11</v>
      </c>
      <c r="N99" s="7">
        <v>12</v>
      </c>
      <c r="O99" s="7">
        <v>13</v>
      </c>
      <c r="P99" s="7">
        <v>14</v>
      </c>
      <c r="Q99" s="6">
        <v>15</v>
      </c>
      <c r="R99" s="6">
        <v>16</v>
      </c>
      <c r="S99" s="7">
        <v>17</v>
      </c>
      <c r="T99" s="7">
        <v>18</v>
      </c>
      <c r="U99" s="7">
        <v>19</v>
      </c>
      <c r="V99" s="7">
        <v>20</v>
      </c>
      <c r="W99" s="7">
        <v>21</v>
      </c>
      <c r="X99" s="6">
        <v>22</v>
      </c>
      <c r="Y99" s="6">
        <v>23</v>
      </c>
      <c r="Z99" s="7">
        <v>24</v>
      </c>
      <c r="AA99" s="7">
        <v>25</v>
      </c>
      <c r="AB99" s="7">
        <v>26</v>
      </c>
      <c r="AC99" s="7">
        <v>27</v>
      </c>
      <c r="AD99" s="7">
        <v>28</v>
      </c>
      <c r="AE99" s="6">
        <v>29</v>
      </c>
      <c r="AF99" s="6">
        <v>30</v>
      </c>
      <c r="AG99" s="49"/>
      <c r="AH99" s="49"/>
      <c r="AI99" s="296"/>
    </row>
    <row r="100" spans="2:35">
      <c r="B100" s="364" t="s">
        <v>63</v>
      </c>
      <c r="C100" s="8">
        <v>1</v>
      </c>
      <c r="D100" s="6">
        <v>2</v>
      </c>
      <c r="E100" s="7">
        <v>3</v>
      </c>
      <c r="F100" s="7">
        <v>4</v>
      </c>
      <c r="G100" s="7">
        <v>5</v>
      </c>
      <c r="H100" s="7">
        <v>6</v>
      </c>
      <c r="I100" s="7">
        <v>7</v>
      </c>
      <c r="J100" s="6">
        <v>8</v>
      </c>
      <c r="K100" s="8">
        <v>9</v>
      </c>
      <c r="L100" s="7">
        <v>10</v>
      </c>
      <c r="M100" s="7">
        <v>11</v>
      </c>
      <c r="N100" s="7">
        <v>12</v>
      </c>
      <c r="O100" s="7">
        <v>13</v>
      </c>
      <c r="P100" s="7">
        <v>14</v>
      </c>
      <c r="Q100" s="6">
        <v>15</v>
      </c>
      <c r="R100" s="6">
        <v>16</v>
      </c>
      <c r="S100" s="7">
        <v>17</v>
      </c>
      <c r="T100" s="7">
        <v>18</v>
      </c>
      <c r="U100" s="7">
        <v>19</v>
      </c>
      <c r="V100" s="7">
        <v>20</v>
      </c>
      <c r="W100" s="7">
        <v>21</v>
      </c>
      <c r="X100" s="6">
        <v>22</v>
      </c>
      <c r="Y100" s="6">
        <v>23</v>
      </c>
      <c r="Z100" s="7">
        <v>24</v>
      </c>
      <c r="AA100" s="7">
        <v>25</v>
      </c>
      <c r="AB100" s="7">
        <v>26</v>
      </c>
      <c r="AC100" s="7">
        <v>27</v>
      </c>
      <c r="AD100" s="7">
        <v>28</v>
      </c>
      <c r="AE100" s="6">
        <v>29</v>
      </c>
      <c r="AF100" s="6">
        <v>30</v>
      </c>
      <c r="AG100" s="49"/>
      <c r="AH100" s="49"/>
      <c r="AI100" s="296"/>
    </row>
    <row r="101" spans="2:35">
      <c r="B101" s="5">
        <v>45627</v>
      </c>
      <c r="C101" s="893"/>
      <c r="D101" s="894"/>
      <c r="E101" s="894"/>
      <c r="F101" s="894"/>
      <c r="G101" s="894"/>
      <c r="H101" s="894"/>
      <c r="I101" s="894"/>
      <c r="J101" s="894"/>
      <c r="K101" s="894"/>
      <c r="L101" s="894"/>
      <c r="M101" s="894"/>
      <c r="N101" s="894"/>
      <c r="O101" s="894"/>
      <c r="P101" s="894"/>
      <c r="Q101" s="894"/>
      <c r="R101" s="894"/>
      <c r="S101" s="894"/>
      <c r="T101" s="894"/>
      <c r="U101" s="894"/>
      <c r="V101" s="894"/>
      <c r="W101" s="894"/>
      <c r="X101" s="894"/>
      <c r="Y101" s="894"/>
      <c r="Z101" s="894"/>
      <c r="AA101" s="894"/>
      <c r="AB101" s="894"/>
      <c r="AC101" s="894"/>
      <c r="AD101" s="894"/>
      <c r="AE101" s="894"/>
      <c r="AF101" s="894"/>
      <c r="AG101" s="894"/>
      <c r="AH101" s="894"/>
      <c r="AI101" s="296"/>
    </row>
    <row r="102" spans="2:35">
      <c r="B102" s="9"/>
      <c r="C102" s="18" t="s">
        <v>6</v>
      </c>
      <c r="D102" s="18" t="s">
        <v>7</v>
      </c>
      <c r="E102" s="18" t="s">
        <v>1</v>
      </c>
      <c r="F102" s="18" t="s">
        <v>2</v>
      </c>
      <c r="G102" s="18" t="s">
        <v>3</v>
      </c>
      <c r="H102" s="18" t="s">
        <v>4</v>
      </c>
      <c r="I102" s="18" t="s">
        <v>5</v>
      </c>
      <c r="J102" s="18" t="s">
        <v>6</v>
      </c>
      <c r="K102" s="18" t="s">
        <v>7</v>
      </c>
      <c r="L102" s="18" t="s">
        <v>1</v>
      </c>
      <c r="M102" s="18" t="s">
        <v>2</v>
      </c>
      <c r="N102" s="18" t="s">
        <v>3</v>
      </c>
      <c r="O102" s="18" t="s">
        <v>4</v>
      </c>
      <c r="P102" s="18" t="s">
        <v>5</v>
      </c>
      <c r="Q102" s="18" t="s">
        <v>6</v>
      </c>
      <c r="R102" s="18" t="s">
        <v>7</v>
      </c>
      <c r="S102" s="18" t="s">
        <v>1</v>
      </c>
      <c r="T102" s="18" t="s">
        <v>2</v>
      </c>
      <c r="U102" s="18" t="s">
        <v>3</v>
      </c>
      <c r="V102" s="18" t="s">
        <v>4</v>
      </c>
      <c r="W102" s="18" t="s">
        <v>5</v>
      </c>
      <c r="X102" s="18" t="s">
        <v>6</v>
      </c>
      <c r="Y102" s="18" t="s">
        <v>7</v>
      </c>
      <c r="Z102" s="18" t="s">
        <v>1</v>
      </c>
      <c r="AA102" s="18" t="s">
        <v>2</v>
      </c>
      <c r="AB102" s="18" t="s">
        <v>3</v>
      </c>
      <c r="AC102" s="18" t="s">
        <v>4</v>
      </c>
      <c r="AD102" s="18" t="s">
        <v>5</v>
      </c>
      <c r="AE102" s="18" t="s">
        <v>6</v>
      </c>
      <c r="AF102" s="18" t="s">
        <v>7</v>
      </c>
      <c r="AG102" s="18" t="s">
        <v>1</v>
      </c>
      <c r="AH102" s="49"/>
      <c r="AI102" s="156" t="s">
        <v>48</v>
      </c>
    </row>
    <row r="103" spans="2:35">
      <c r="B103" s="363" t="s">
        <v>61</v>
      </c>
      <c r="C103" s="7">
        <v>1</v>
      </c>
      <c r="D103" s="7">
        <v>2</v>
      </c>
      <c r="E103" s="7">
        <v>3</v>
      </c>
      <c r="F103" s="7">
        <v>4</v>
      </c>
      <c r="G103" s="7">
        <v>5</v>
      </c>
      <c r="H103" s="8">
        <v>6</v>
      </c>
      <c r="I103" s="6">
        <v>7</v>
      </c>
      <c r="J103" s="8">
        <v>8</v>
      </c>
      <c r="K103" s="7">
        <v>9</v>
      </c>
      <c r="L103" s="7">
        <v>10</v>
      </c>
      <c r="M103" s="7">
        <v>11</v>
      </c>
      <c r="N103" s="7">
        <v>12</v>
      </c>
      <c r="O103" s="6">
        <v>13</v>
      </c>
      <c r="P103" s="6">
        <v>14</v>
      </c>
      <c r="Q103" s="7">
        <v>15</v>
      </c>
      <c r="R103" s="7">
        <v>16</v>
      </c>
      <c r="S103" s="7">
        <v>17</v>
      </c>
      <c r="T103" s="7">
        <v>18</v>
      </c>
      <c r="U103" s="7">
        <v>19</v>
      </c>
      <c r="V103" s="6">
        <v>20</v>
      </c>
      <c r="W103" s="6">
        <v>21</v>
      </c>
      <c r="X103" s="7">
        <v>22</v>
      </c>
      <c r="Y103" s="56">
        <v>23</v>
      </c>
      <c r="Z103" s="56">
        <v>24</v>
      </c>
      <c r="AA103" s="8">
        <v>25</v>
      </c>
      <c r="AB103" s="56">
        <v>26</v>
      </c>
      <c r="AC103" s="6">
        <v>27</v>
      </c>
      <c r="AD103" s="6">
        <v>28</v>
      </c>
      <c r="AE103" s="7">
        <v>29</v>
      </c>
      <c r="AF103" s="56">
        <v>30</v>
      </c>
      <c r="AG103" s="56">
        <v>31</v>
      </c>
      <c r="AH103" s="49"/>
      <c r="AI103" s="296"/>
    </row>
    <row r="104" spans="2:35">
      <c r="B104" s="363" t="s">
        <v>24</v>
      </c>
      <c r="C104" s="7">
        <v>1</v>
      </c>
      <c r="D104" s="7">
        <v>2</v>
      </c>
      <c r="E104" s="7">
        <v>3</v>
      </c>
      <c r="F104" s="7">
        <v>4</v>
      </c>
      <c r="G104" s="7">
        <v>5</v>
      </c>
      <c r="H104" s="8">
        <v>6</v>
      </c>
      <c r="I104" s="6">
        <v>7</v>
      </c>
      <c r="J104" s="8">
        <v>8</v>
      </c>
      <c r="K104" s="7">
        <v>9</v>
      </c>
      <c r="L104" s="7">
        <v>10</v>
      </c>
      <c r="M104" s="7">
        <v>11</v>
      </c>
      <c r="N104" s="7">
        <v>12</v>
      </c>
      <c r="O104" s="6">
        <v>13</v>
      </c>
      <c r="P104" s="6">
        <v>14</v>
      </c>
      <c r="Q104" s="7">
        <v>15</v>
      </c>
      <c r="R104" s="7">
        <v>16</v>
      </c>
      <c r="S104" s="7">
        <v>17</v>
      </c>
      <c r="T104" s="7">
        <v>18</v>
      </c>
      <c r="U104" s="7">
        <v>19</v>
      </c>
      <c r="V104" s="6">
        <v>20</v>
      </c>
      <c r="W104" s="6">
        <v>21</v>
      </c>
      <c r="X104" s="7">
        <v>22</v>
      </c>
      <c r="Y104" s="56">
        <v>23</v>
      </c>
      <c r="Z104" s="56">
        <v>24</v>
      </c>
      <c r="AA104" s="8">
        <v>25</v>
      </c>
      <c r="AB104" s="56">
        <v>26</v>
      </c>
      <c r="AC104" s="6">
        <v>27</v>
      </c>
      <c r="AD104" s="6">
        <v>28</v>
      </c>
      <c r="AE104" s="7">
        <v>29</v>
      </c>
      <c r="AF104" s="56">
        <v>30</v>
      </c>
      <c r="AG104" s="56">
        <v>31</v>
      </c>
      <c r="AH104" s="49"/>
      <c r="AI104" s="296"/>
    </row>
    <row r="105" spans="2:35">
      <c r="B105" s="363" t="s">
        <v>15</v>
      </c>
      <c r="C105" s="7">
        <v>1</v>
      </c>
      <c r="D105" s="7">
        <v>2</v>
      </c>
      <c r="E105" s="7">
        <v>3</v>
      </c>
      <c r="F105" s="7">
        <v>4</v>
      </c>
      <c r="G105" s="7">
        <v>5</v>
      </c>
      <c r="H105" s="8">
        <v>6</v>
      </c>
      <c r="I105" s="6">
        <v>7</v>
      </c>
      <c r="J105" s="8">
        <v>8</v>
      </c>
      <c r="K105" s="7">
        <v>9</v>
      </c>
      <c r="L105" s="7">
        <v>10</v>
      </c>
      <c r="M105" s="7">
        <v>11</v>
      </c>
      <c r="N105" s="7">
        <v>12</v>
      </c>
      <c r="O105" s="6">
        <v>13</v>
      </c>
      <c r="P105" s="6">
        <v>14</v>
      </c>
      <c r="Q105" s="7">
        <v>15</v>
      </c>
      <c r="R105" s="7">
        <v>16</v>
      </c>
      <c r="S105" s="7">
        <v>17</v>
      </c>
      <c r="T105" s="7">
        <v>18</v>
      </c>
      <c r="U105" s="7">
        <v>19</v>
      </c>
      <c r="V105" s="6">
        <v>20</v>
      </c>
      <c r="W105" s="6">
        <v>21</v>
      </c>
      <c r="X105" s="7">
        <v>22</v>
      </c>
      <c r="Y105" s="56">
        <v>23</v>
      </c>
      <c r="Z105" s="56">
        <v>24</v>
      </c>
      <c r="AA105" s="8">
        <v>25</v>
      </c>
      <c r="AB105" s="56">
        <v>26</v>
      </c>
      <c r="AC105" s="6">
        <v>27</v>
      </c>
      <c r="AD105" s="6">
        <v>28</v>
      </c>
      <c r="AE105" s="7">
        <v>29</v>
      </c>
      <c r="AF105" s="56">
        <v>30</v>
      </c>
      <c r="AG105" s="56">
        <v>31</v>
      </c>
      <c r="AH105" s="49"/>
      <c r="AI105" s="296"/>
    </row>
    <row r="106" spans="2:35">
      <c r="B106" s="363" t="s">
        <v>18</v>
      </c>
      <c r="C106" s="7">
        <v>1</v>
      </c>
      <c r="D106" s="7">
        <v>2</v>
      </c>
      <c r="E106" s="7">
        <v>3</v>
      </c>
      <c r="F106" s="7">
        <v>4</v>
      </c>
      <c r="G106" s="7">
        <v>5</v>
      </c>
      <c r="H106" s="8">
        <v>6</v>
      </c>
      <c r="I106" s="6">
        <v>7</v>
      </c>
      <c r="J106" s="8">
        <v>8</v>
      </c>
      <c r="K106" s="7">
        <v>9</v>
      </c>
      <c r="L106" s="7">
        <v>10</v>
      </c>
      <c r="M106" s="7">
        <v>11</v>
      </c>
      <c r="N106" s="7">
        <v>12</v>
      </c>
      <c r="O106" s="6">
        <v>13</v>
      </c>
      <c r="P106" s="6">
        <v>14</v>
      </c>
      <c r="Q106" s="7">
        <v>15</v>
      </c>
      <c r="R106" s="7">
        <v>16</v>
      </c>
      <c r="S106" s="7">
        <v>17</v>
      </c>
      <c r="T106" s="7">
        <v>18</v>
      </c>
      <c r="U106" s="7">
        <v>19</v>
      </c>
      <c r="V106" s="6">
        <v>20</v>
      </c>
      <c r="W106" s="6">
        <v>21</v>
      </c>
      <c r="X106" s="7">
        <v>22</v>
      </c>
      <c r="Y106" s="56">
        <v>23</v>
      </c>
      <c r="Z106" s="56">
        <v>24</v>
      </c>
      <c r="AA106" s="8">
        <v>25</v>
      </c>
      <c r="AB106" s="56">
        <v>26</v>
      </c>
      <c r="AC106" s="6">
        <v>27</v>
      </c>
      <c r="AD106" s="6">
        <v>28</v>
      </c>
      <c r="AE106" s="7">
        <v>29</v>
      </c>
      <c r="AF106" s="56">
        <v>30</v>
      </c>
      <c r="AG106" s="56">
        <v>31</v>
      </c>
      <c r="AH106" s="49"/>
      <c r="AI106" s="296"/>
    </row>
    <row r="107" spans="2:35">
      <c r="B107" s="363" t="s">
        <v>21</v>
      </c>
      <c r="C107" s="7">
        <v>1</v>
      </c>
      <c r="D107" s="7">
        <v>2</v>
      </c>
      <c r="E107" s="7">
        <v>3</v>
      </c>
      <c r="F107" s="7">
        <v>4</v>
      </c>
      <c r="G107" s="7">
        <v>5</v>
      </c>
      <c r="H107" s="8">
        <v>6</v>
      </c>
      <c r="I107" s="6">
        <v>7</v>
      </c>
      <c r="J107" s="8">
        <v>8</v>
      </c>
      <c r="K107" s="7">
        <v>9</v>
      </c>
      <c r="L107" s="7">
        <v>10</v>
      </c>
      <c r="M107" s="7">
        <v>11</v>
      </c>
      <c r="N107" s="7">
        <v>12</v>
      </c>
      <c r="O107" s="6">
        <v>13</v>
      </c>
      <c r="P107" s="6">
        <v>14</v>
      </c>
      <c r="Q107" s="7">
        <v>15</v>
      </c>
      <c r="R107" s="7">
        <v>16</v>
      </c>
      <c r="S107" s="7">
        <v>17</v>
      </c>
      <c r="T107" s="7">
        <v>18</v>
      </c>
      <c r="U107" s="7">
        <v>19</v>
      </c>
      <c r="V107" s="6">
        <v>20</v>
      </c>
      <c r="W107" s="6">
        <v>21</v>
      </c>
      <c r="X107" s="7">
        <v>22</v>
      </c>
      <c r="Y107" s="56">
        <v>23</v>
      </c>
      <c r="Z107" s="56">
        <v>24</v>
      </c>
      <c r="AA107" s="8">
        <v>25</v>
      </c>
      <c r="AB107" s="56">
        <v>26</v>
      </c>
      <c r="AC107" s="6">
        <v>27</v>
      </c>
      <c r="AD107" s="6">
        <v>28</v>
      </c>
      <c r="AE107" s="7">
        <v>29</v>
      </c>
      <c r="AF107" s="56">
        <v>30</v>
      </c>
      <c r="AG107" s="56">
        <v>31</v>
      </c>
      <c r="AH107" s="49"/>
      <c r="AI107" s="296"/>
    </row>
    <row r="108" spans="2:35">
      <c r="B108" s="363" t="s">
        <v>62</v>
      </c>
      <c r="C108" s="7">
        <v>1</v>
      </c>
      <c r="D108" s="7">
        <v>2</v>
      </c>
      <c r="E108" s="7">
        <v>3</v>
      </c>
      <c r="F108" s="7">
        <v>4</v>
      </c>
      <c r="G108" s="7">
        <v>5</v>
      </c>
      <c r="H108" s="8">
        <v>6</v>
      </c>
      <c r="I108" s="6">
        <v>7</v>
      </c>
      <c r="J108" s="8">
        <v>8</v>
      </c>
      <c r="K108" s="7">
        <v>9</v>
      </c>
      <c r="L108" s="7">
        <v>10</v>
      </c>
      <c r="M108" s="7">
        <v>11</v>
      </c>
      <c r="N108" s="7">
        <v>12</v>
      </c>
      <c r="O108" s="6">
        <v>13</v>
      </c>
      <c r="P108" s="6">
        <v>14</v>
      </c>
      <c r="Q108" s="7">
        <v>15</v>
      </c>
      <c r="R108" s="7">
        <v>16</v>
      </c>
      <c r="S108" s="7">
        <v>17</v>
      </c>
      <c r="T108" s="7">
        <v>18</v>
      </c>
      <c r="U108" s="7">
        <v>19</v>
      </c>
      <c r="V108" s="6">
        <v>20</v>
      </c>
      <c r="W108" s="6">
        <v>21</v>
      </c>
      <c r="X108" s="7">
        <v>22</v>
      </c>
      <c r="Y108" s="56">
        <v>23</v>
      </c>
      <c r="Z108" s="56">
        <v>24</v>
      </c>
      <c r="AA108" s="8">
        <v>25</v>
      </c>
      <c r="AB108" s="56">
        <v>26</v>
      </c>
      <c r="AC108" s="6">
        <v>27</v>
      </c>
      <c r="AD108" s="6">
        <v>28</v>
      </c>
      <c r="AE108" s="7">
        <v>29</v>
      </c>
      <c r="AF108" s="56">
        <v>30</v>
      </c>
      <c r="AG108" s="56">
        <v>31</v>
      </c>
      <c r="AH108" s="49"/>
      <c r="AI108" s="296"/>
    </row>
    <row r="109" spans="2:35">
      <c r="B109" s="364" t="s">
        <v>63</v>
      </c>
      <c r="C109" s="7">
        <v>1</v>
      </c>
      <c r="D109" s="7">
        <v>2</v>
      </c>
      <c r="E109" s="7">
        <v>3</v>
      </c>
      <c r="F109" s="7">
        <v>4</v>
      </c>
      <c r="G109" s="7">
        <v>5</v>
      </c>
      <c r="H109" s="8">
        <v>6</v>
      </c>
      <c r="I109" s="6">
        <v>7</v>
      </c>
      <c r="J109" s="8">
        <v>8</v>
      </c>
      <c r="K109" s="7">
        <v>9</v>
      </c>
      <c r="L109" s="7">
        <v>10</v>
      </c>
      <c r="M109" s="7">
        <v>11</v>
      </c>
      <c r="N109" s="7">
        <v>12</v>
      </c>
      <c r="O109" s="6">
        <v>13</v>
      </c>
      <c r="P109" s="6">
        <v>14</v>
      </c>
      <c r="Q109" s="7">
        <v>15</v>
      </c>
      <c r="R109" s="7">
        <v>16</v>
      </c>
      <c r="S109" s="7">
        <v>17</v>
      </c>
      <c r="T109" s="7">
        <v>18</v>
      </c>
      <c r="U109" s="7">
        <v>19</v>
      </c>
      <c r="V109" s="6">
        <v>20</v>
      </c>
      <c r="W109" s="6">
        <v>21</v>
      </c>
      <c r="X109" s="7">
        <v>22</v>
      </c>
      <c r="Y109" s="56">
        <v>23</v>
      </c>
      <c r="Z109" s="56">
        <v>24</v>
      </c>
      <c r="AA109" s="8">
        <v>25</v>
      </c>
      <c r="AB109" s="56">
        <v>26</v>
      </c>
      <c r="AC109" s="6">
        <v>27</v>
      </c>
      <c r="AD109" s="6">
        <v>28</v>
      </c>
      <c r="AE109" s="7">
        <v>29</v>
      </c>
      <c r="AF109" s="56">
        <v>30</v>
      </c>
      <c r="AG109" s="56">
        <v>31</v>
      </c>
      <c r="AH109" s="49"/>
      <c r="AI109" s="296"/>
    </row>
    <row r="110" spans="2:35">
      <c r="B110" s="5">
        <v>46023</v>
      </c>
      <c r="C110" s="893"/>
      <c r="D110" s="894"/>
      <c r="E110" s="894"/>
      <c r="F110" s="894"/>
      <c r="G110" s="894"/>
      <c r="H110" s="894"/>
      <c r="I110" s="894"/>
      <c r="J110" s="894"/>
      <c r="K110" s="894"/>
      <c r="L110" s="894"/>
      <c r="M110" s="894"/>
      <c r="N110" s="894"/>
      <c r="O110" s="894"/>
      <c r="P110" s="894"/>
      <c r="Q110" s="894"/>
      <c r="R110" s="894"/>
      <c r="S110" s="894"/>
      <c r="T110" s="894"/>
      <c r="U110" s="894"/>
      <c r="V110" s="894"/>
      <c r="W110" s="894"/>
      <c r="X110" s="894"/>
      <c r="Y110" s="894"/>
      <c r="Z110" s="894"/>
      <c r="AA110" s="894"/>
      <c r="AB110" s="894"/>
      <c r="AC110" s="894"/>
      <c r="AD110" s="894"/>
      <c r="AE110" s="894"/>
      <c r="AF110" s="894"/>
      <c r="AG110" s="894"/>
      <c r="AH110" s="894"/>
      <c r="AI110" s="296"/>
    </row>
    <row r="111" spans="2:35">
      <c r="B111" s="9"/>
      <c r="C111" s="18" t="s">
        <v>2</v>
      </c>
      <c r="D111" s="18" t="s">
        <v>3</v>
      </c>
      <c r="E111" s="18" t="s">
        <v>4</v>
      </c>
      <c r="F111" s="18" t="s">
        <v>5</v>
      </c>
      <c r="G111" s="18" t="s">
        <v>6</v>
      </c>
      <c r="H111" s="18" t="s">
        <v>7</v>
      </c>
      <c r="I111" s="18" t="s">
        <v>1</v>
      </c>
      <c r="J111" s="18" t="s">
        <v>2</v>
      </c>
      <c r="K111" s="18" t="s">
        <v>3</v>
      </c>
      <c r="L111" s="18" t="s">
        <v>4</v>
      </c>
      <c r="M111" s="18" t="s">
        <v>5</v>
      </c>
      <c r="N111" s="18" t="s">
        <v>6</v>
      </c>
      <c r="O111" s="18" t="s">
        <v>7</v>
      </c>
      <c r="P111" s="18" t="s">
        <v>1</v>
      </c>
      <c r="Q111" s="18" t="s">
        <v>2</v>
      </c>
      <c r="R111" s="18" t="s">
        <v>3</v>
      </c>
      <c r="S111" s="18" t="s">
        <v>4</v>
      </c>
      <c r="T111" s="18" t="s">
        <v>5</v>
      </c>
      <c r="U111" s="18" t="s">
        <v>6</v>
      </c>
      <c r="V111" s="18" t="s">
        <v>7</v>
      </c>
      <c r="W111" s="18" t="s">
        <v>1</v>
      </c>
      <c r="X111" s="18" t="s">
        <v>2</v>
      </c>
      <c r="Y111" s="18" t="s">
        <v>3</v>
      </c>
      <c r="Z111" s="18" t="s">
        <v>4</v>
      </c>
      <c r="AA111" s="18" t="s">
        <v>5</v>
      </c>
      <c r="AB111" s="18" t="s">
        <v>6</v>
      </c>
      <c r="AC111" s="18" t="s">
        <v>7</v>
      </c>
      <c r="AD111" s="18" t="s">
        <v>1</v>
      </c>
      <c r="AE111" s="18" t="s">
        <v>2</v>
      </c>
      <c r="AF111" s="18" t="s">
        <v>3</v>
      </c>
      <c r="AG111" s="18" t="s">
        <v>4</v>
      </c>
      <c r="AH111" s="49"/>
      <c r="AI111" s="156" t="s">
        <v>48</v>
      </c>
    </row>
    <row r="112" spans="2:35">
      <c r="B112" s="363" t="s">
        <v>61</v>
      </c>
      <c r="C112" s="8">
        <v>1</v>
      </c>
      <c r="D112" s="56">
        <v>2</v>
      </c>
      <c r="E112" s="6">
        <v>3</v>
      </c>
      <c r="F112" s="6">
        <v>4</v>
      </c>
      <c r="G112" s="7">
        <v>5</v>
      </c>
      <c r="H112" s="8">
        <v>6</v>
      </c>
      <c r="I112" s="56">
        <v>7</v>
      </c>
      <c r="J112" s="56">
        <v>8</v>
      </c>
      <c r="K112" s="56">
        <v>9</v>
      </c>
      <c r="L112" s="6">
        <v>10</v>
      </c>
      <c r="M112" s="6">
        <v>11</v>
      </c>
      <c r="N112" s="7">
        <v>12</v>
      </c>
      <c r="O112" s="7">
        <v>13</v>
      </c>
      <c r="P112" s="7">
        <v>14</v>
      </c>
      <c r="Q112" s="7">
        <v>15</v>
      </c>
      <c r="R112" s="7">
        <v>16</v>
      </c>
      <c r="S112" s="6">
        <v>17</v>
      </c>
      <c r="T112" s="6">
        <v>18</v>
      </c>
      <c r="U112" s="7">
        <v>19</v>
      </c>
      <c r="V112" s="7">
        <v>20</v>
      </c>
      <c r="W112" s="7">
        <v>21</v>
      </c>
      <c r="X112" s="7">
        <v>22</v>
      </c>
      <c r="Y112" s="7">
        <v>23</v>
      </c>
      <c r="Z112" s="6">
        <v>24</v>
      </c>
      <c r="AA112" s="6">
        <v>25</v>
      </c>
      <c r="AB112" s="7">
        <v>26</v>
      </c>
      <c r="AC112" s="56">
        <v>27</v>
      </c>
      <c r="AD112" s="56">
        <v>28</v>
      </c>
      <c r="AE112" s="56">
        <v>29</v>
      </c>
      <c r="AF112" s="56">
        <v>30</v>
      </c>
      <c r="AG112" s="6">
        <v>31</v>
      </c>
      <c r="AH112" s="49"/>
      <c r="AI112" s="296"/>
    </row>
    <row r="113" spans="2:35">
      <c r="B113" s="363" t="s">
        <v>24</v>
      </c>
      <c r="C113" s="8">
        <v>1</v>
      </c>
      <c r="D113" s="56">
        <v>2</v>
      </c>
      <c r="E113" s="6">
        <v>3</v>
      </c>
      <c r="F113" s="6">
        <v>4</v>
      </c>
      <c r="G113" s="7">
        <v>5</v>
      </c>
      <c r="H113" s="8">
        <v>6</v>
      </c>
      <c r="I113" s="56">
        <v>7</v>
      </c>
      <c r="J113" s="56">
        <v>8</v>
      </c>
      <c r="K113" s="56">
        <v>9</v>
      </c>
      <c r="L113" s="6">
        <v>10</v>
      </c>
      <c r="M113" s="6">
        <v>11</v>
      </c>
      <c r="N113" s="7">
        <v>12</v>
      </c>
      <c r="O113" s="7">
        <v>13</v>
      </c>
      <c r="P113" s="7">
        <v>14</v>
      </c>
      <c r="Q113" s="7">
        <v>15</v>
      </c>
      <c r="R113" s="7">
        <v>16</v>
      </c>
      <c r="S113" s="6">
        <v>17</v>
      </c>
      <c r="T113" s="6">
        <v>18</v>
      </c>
      <c r="U113" s="7">
        <v>19</v>
      </c>
      <c r="V113" s="7">
        <v>20</v>
      </c>
      <c r="W113" s="7">
        <v>21</v>
      </c>
      <c r="X113" s="7">
        <v>22</v>
      </c>
      <c r="Y113" s="7">
        <v>23</v>
      </c>
      <c r="Z113" s="6">
        <v>24</v>
      </c>
      <c r="AA113" s="6">
        <v>25</v>
      </c>
      <c r="AB113" s="7">
        <v>26</v>
      </c>
      <c r="AC113" s="56">
        <v>27</v>
      </c>
      <c r="AD113" s="56">
        <v>28</v>
      </c>
      <c r="AE113" s="56">
        <v>29</v>
      </c>
      <c r="AF113" s="56">
        <v>30</v>
      </c>
      <c r="AG113" s="6">
        <v>31</v>
      </c>
      <c r="AH113" s="49"/>
      <c r="AI113" s="296"/>
    </row>
    <row r="114" spans="2:35">
      <c r="B114" s="363" t="s">
        <v>15</v>
      </c>
      <c r="C114" s="8">
        <v>1</v>
      </c>
      <c r="D114" s="56">
        <v>2</v>
      </c>
      <c r="E114" s="6">
        <v>3</v>
      </c>
      <c r="F114" s="6">
        <v>4</v>
      </c>
      <c r="G114" s="7">
        <v>5</v>
      </c>
      <c r="H114" s="8">
        <v>6</v>
      </c>
      <c r="I114" s="56">
        <v>7</v>
      </c>
      <c r="J114" s="56">
        <v>8</v>
      </c>
      <c r="K114" s="56">
        <v>9</v>
      </c>
      <c r="L114" s="6">
        <v>10</v>
      </c>
      <c r="M114" s="6">
        <v>11</v>
      </c>
      <c r="N114" s="7">
        <v>12</v>
      </c>
      <c r="O114" s="7">
        <v>13</v>
      </c>
      <c r="P114" s="7">
        <v>14</v>
      </c>
      <c r="Q114" s="7">
        <v>15</v>
      </c>
      <c r="R114" s="7">
        <v>16</v>
      </c>
      <c r="S114" s="6">
        <v>17</v>
      </c>
      <c r="T114" s="6">
        <v>18</v>
      </c>
      <c r="U114" s="7">
        <v>19</v>
      </c>
      <c r="V114" s="7">
        <v>20</v>
      </c>
      <c r="W114" s="7">
        <v>21</v>
      </c>
      <c r="X114" s="7">
        <v>22</v>
      </c>
      <c r="Y114" s="7">
        <v>23</v>
      </c>
      <c r="Z114" s="6">
        <v>24</v>
      </c>
      <c r="AA114" s="6">
        <v>25</v>
      </c>
      <c r="AB114" s="7">
        <v>26</v>
      </c>
      <c r="AC114" s="56">
        <v>27</v>
      </c>
      <c r="AD114" s="56">
        <v>28</v>
      </c>
      <c r="AE114" s="56">
        <v>29</v>
      </c>
      <c r="AF114" s="56">
        <v>30</v>
      </c>
      <c r="AG114" s="6">
        <v>31</v>
      </c>
      <c r="AH114" s="49"/>
    </row>
    <row r="115" spans="2:35">
      <c r="B115" s="363" t="s">
        <v>18</v>
      </c>
      <c r="C115" s="8">
        <v>1</v>
      </c>
      <c r="D115" s="56">
        <v>2</v>
      </c>
      <c r="E115" s="6">
        <v>3</v>
      </c>
      <c r="F115" s="6">
        <v>4</v>
      </c>
      <c r="G115" s="7">
        <v>5</v>
      </c>
      <c r="H115" s="8">
        <v>6</v>
      </c>
      <c r="I115" s="56">
        <v>7</v>
      </c>
      <c r="J115" s="56">
        <v>8</v>
      </c>
      <c r="K115" s="56">
        <v>9</v>
      </c>
      <c r="L115" s="6">
        <v>10</v>
      </c>
      <c r="M115" s="6">
        <v>11</v>
      </c>
      <c r="N115" s="7">
        <v>12</v>
      </c>
      <c r="O115" s="7">
        <v>13</v>
      </c>
      <c r="P115" s="7">
        <v>14</v>
      </c>
      <c r="Q115" s="7">
        <v>15</v>
      </c>
      <c r="R115" s="7">
        <v>16</v>
      </c>
      <c r="S115" s="6">
        <v>17</v>
      </c>
      <c r="T115" s="6">
        <v>18</v>
      </c>
      <c r="U115" s="7">
        <v>19</v>
      </c>
      <c r="V115" s="7">
        <v>20</v>
      </c>
      <c r="W115" s="7">
        <v>21</v>
      </c>
      <c r="X115" s="7">
        <v>22</v>
      </c>
      <c r="Y115" s="7">
        <v>23</v>
      </c>
      <c r="Z115" s="6">
        <v>24</v>
      </c>
      <c r="AA115" s="6">
        <v>25</v>
      </c>
      <c r="AB115" s="7">
        <v>26</v>
      </c>
      <c r="AC115" s="56">
        <v>27</v>
      </c>
      <c r="AD115" s="56">
        <v>28</v>
      </c>
      <c r="AE115" s="56">
        <v>29</v>
      </c>
      <c r="AF115" s="56">
        <v>30</v>
      </c>
      <c r="AG115" s="6">
        <v>31</v>
      </c>
      <c r="AH115" s="49"/>
      <c r="AI115" s="296"/>
    </row>
    <row r="116" spans="2:35">
      <c r="B116" s="363" t="s">
        <v>21</v>
      </c>
      <c r="C116" s="8">
        <v>1</v>
      </c>
      <c r="D116" s="56">
        <v>2</v>
      </c>
      <c r="E116" s="6">
        <v>3</v>
      </c>
      <c r="F116" s="6">
        <v>4</v>
      </c>
      <c r="G116" s="7">
        <v>5</v>
      </c>
      <c r="H116" s="8">
        <v>6</v>
      </c>
      <c r="I116" s="56">
        <v>7</v>
      </c>
      <c r="J116" s="56">
        <v>8</v>
      </c>
      <c r="K116" s="56">
        <v>9</v>
      </c>
      <c r="L116" s="6">
        <v>10</v>
      </c>
      <c r="M116" s="6">
        <v>11</v>
      </c>
      <c r="N116" s="7">
        <v>12</v>
      </c>
      <c r="O116" s="7">
        <v>13</v>
      </c>
      <c r="P116" s="7">
        <v>14</v>
      </c>
      <c r="Q116" s="7">
        <v>15</v>
      </c>
      <c r="R116" s="7">
        <v>16</v>
      </c>
      <c r="S116" s="6">
        <v>17</v>
      </c>
      <c r="T116" s="6">
        <v>18</v>
      </c>
      <c r="U116" s="7">
        <v>19</v>
      </c>
      <c r="V116" s="7">
        <v>20</v>
      </c>
      <c r="W116" s="7">
        <v>21</v>
      </c>
      <c r="X116" s="7">
        <v>22</v>
      </c>
      <c r="Y116" s="7">
        <v>23</v>
      </c>
      <c r="Z116" s="6">
        <v>24</v>
      </c>
      <c r="AA116" s="6">
        <v>25</v>
      </c>
      <c r="AB116" s="7">
        <v>26</v>
      </c>
      <c r="AC116" s="56">
        <v>27</v>
      </c>
      <c r="AD116" s="56">
        <v>28</v>
      </c>
      <c r="AE116" s="56">
        <v>29</v>
      </c>
      <c r="AF116" s="56">
        <v>30</v>
      </c>
      <c r="AG116" s="6">
        <v>31</v>
      </c>
      <c r="AH116" s="49"/>
      <c r="AI116" s="296"/>
    </row>
    <row r="117" spans="2:35">
      <c r="B117" s="363" t="s">
        <v>62</v>
      </c>
      <c r="C117" s="8">
        <v>1</v>
      </c>
      <c r="D117" s="56">
        <v>2</v>
      </c>
      <c r="E117" s="6">
        <v>3</v>
      </c>
      <c r="F117" s="6">
        <v>4</v>
      </c>
      <c r="G117" s="7">
        <v>5</v>
      </c>
      <c r="H117" s="8">
        <v>6</v>
      </c>
      <c r="I117" s="56">
        <v>7</v>
      </c>
      <c r="J117" s="56">
        <v>8</v>
      </c>
      <c r="K117" s="56">
        <v>9</v>
      </c>
      <c r="L117" s="6">
        <v>10</v>
      </c>
      <c r="M117" s="6">
        <v>11</v>
      </c>
      <c r="N117" s="7">
        <v>12</v>
      </c>
      <c r="O117" s="7">
        <v>13</v>
      </c>
      <c r="P117" s="7">
        <v>14</v>
      </c>
      <c r="Q117" s="7">
        <v>15</v>
      </c>
      <c r="R117" s="7">
        <v>16</v>
      </c>
      <c r="S117" s="6">
        <v>17</v>
      </c>
      <c r="T117" s="6">
        <v>18</v>
      </c>
      <c r="U117" s="7">
        <v>19</v>
      </c>
      <c r="V117" s="7">
        <v>20</v>
      </c>
      <c r="W117" s="7">
        <v>21</v>
      </c>
      <c r="X117" s="7">
        <v>22</v>
      </c>
      <c r="Y117" s="7">
        <v>23</v>
      </c>
      <c r="Z117" s="6">
        <v>24</v>
      </c>
      <c r="AA117" s="6">
        <v>25</v>
      </c>
      <c r="AB117" s="7">
        <v>26</v>
      </c>
      <c r="AC117" s="56">
        <v>27</v>
      </c>
      <c r="AD117" s="56">
        <v>28</v>
      </c>
      <c r="AE117" s="56">
        <v>29</v>
      </c>
      <c r="AF117" s="56">
        <v>30</v>
      </c>
      <c r="AG117" s="6">
        <v>31</v>
      </c>
      <c r="AH117" s="49"/>
      <c r="AI117" s="296"/>
    </row>
    <row r="118" spans="2:35">
      <c r="B118" s="364" t="s">
        <v>63</v>
      </c>
      <c r="C118" s="8">
        <v>1</v>
      </c>
      <c r="D118" s="56">
        <v>2</v>
      </c>
      <c r="E118" s="6">
        <v>3</v>
      </c>
      <c r="F118" s="6">
        <v>4</v>
      </c>
      <c r="G118" s="7">
        <v>5</v>
      </c>
      <c r="H118" s="8">
        <v>6</v>
      </c>
      <c r="I118" s="56">
        <v>7</v>
      </c>
      <c r="J118" s="56">
        <v>8</v>
      </c>
      <c r="K118" s="56">
        <v>9</v>
      </c>
      <c r="L118" s="6">
        <v>10</v>
      </c>
      <c r="M118" s="6">
        <v>11</v>
      </c>
      <c r="N118" s="7">
        <v>12</v>
      </c>
      <c r="O118" s="7">
        <v>13</v>
      </c>
      <c r="P118" s="7">
        <v>14</v>
      </c>
      <c r="Q118" s="7">
        <v>15</v>
      </c>
      <c r="R118" s="7">
        <v>16</v>
      </c>
      <c r="S118" s="6">
        <v>17</v>
      </c>
      <c r="T118" s="6">
        <v>18</v>
      </c>
      <c r="U118" s="7">
        <v>19</v>
      </c>
      <c r="V118" s="7">
        <v>20</v>
      </c>
      <c r="W118" s="7">
        <v>21</v>
      </c>
      <c r="X118" s="7">
        <v>22</v>
      </c>
      <c r="Y118" s="7">
        <v>23</v>
      </c>
      <c r="Z118" s="6">
        <v>24</v>
      </c>
      <c r="AA118" s="6">
        <v>25</v>
      </c>
      <c r="AB118" s="7">
        <v>26</v>
      </c>
      <c r="AC118" s="56">
        <v>27</v>
      </c>
      <c r="AD118" s="56">
        <v>28</v>
      </c>
      <c r="AE118" s="56">
        <v>29</v>
      </c>
      <c r="AF118" s="56">
        <v>30</v>
      </c>
      <c r="AG118" s="6">
        <v>31</v>
      </c>
      <c r="AH118" s="49"/>
      <c r="AI118" s="296"/>
    </row>
    <row r="119" spans="2:35">
      <c r="B119" s="5"/>
      <c r="C119" s="893"/>
      <c r="D119" s="894"/>
      <c r="E119" s="894"/>
      <c r="F119" s="894"/>
      <c r="G119" s="894"/>
      <c r="H119" s="894"/>
      <c r="I119" s="894"/>
      <c r="J119" s="894"/>
      <c r="K119" s="894"/>
      <c r="L119" s="894"/>
      <c r="M119" s="894"/>
      <c r="N119" s="894"/>
      <c r="O119" s="894"/>
      <c r="P119" s="894"/>
      <c r="Q119" s="894"/>
      <c r="R119" s="894"/>
      <c r="S119" s="894"/>
      <c r="T119" s="894"/>
      <c r="U119" s="894"/>
      <c r="V119" s="894"/>
      <c r="W119" s="894"/>
      <c r="X119" s="894"/>
      <c r="Y119" s="894"/>
      <c r="Z119" s="894"/>
      <c r="AA119" s="894"/>
      <c r="AB119" s="894"/>
      <c r="AC119" s="894"/>
      <c r="AD119" s="894"/>
      <c r="AE119" s="894"/>
      <c r="AF119" s="894"/>
      <c r="AG119" s="894"/>
      <c r="AH119" s="894"/>
    </row>
  </sheetData>
  <mergeCells count="14">
    <mergeCell ref="C119:AH119"/>
    <mergeCell ref="C2:AH2"/>
    <mergeCell ref="C74:AH74"/>
    <mergeCell ref="C83:AH83"/>
    <mergeCell ref="C92:AH92"/>
    <mergeCell ref="C101:AH101"/>
    <mergeCell ref="C29:AH29"/>
    <mergeCell ref="C38:AH38"/>
    <mergeCell ref="C47:AH47"/>
    <mergeCell ref="C56:AH56"/>
    <mergeCell ref="C65:AH65"/>
    <mergeCell ref="C110:AH110"/>
    <mergeCell ref="C20:AH20"/>
    <mergeCell ref="C11:AH11"/>
  </mergeCells>
  <conditionalFormatting sqref="B4:H7">
    <cfRule type="cellIs" dxfId="785" priority="232" operator="equal">
      <formula>"M"</formula>
    </cfRule>
    <cfRule type="cellIs" dxfId="784" priority="233" operator="equal">
      <formula>"G"</formula>
    </cfRule>
    <cfRule type="cellIs" dxfId="783" priority="234" operator="equal">
      <formula>"V"</formula>
    </cfRule>
  </conditionalFormatting>
  <conditionalFormatting sqref="B2:AH3">
    <cfRule type="cellIs" dxfId="782" priority="265" operator="equal">
      <formula>"M"</formula>
    </cfRule>
    <cfRule type="cellIs" dxfId="781" priority="266" operator="equal">
      <formula>"G"</formula>
    </cfRule>
    <cfRule type="cellIs" dxfId="780" priority="267" operator="equal">
      <formula>"V"</formula>
    </cfRule>
  </conditionalFormatting>
  <conditionalFormatting sqref="B8:AH119">
    <cfRule type="cellIs" dxfId="779" priority="1" operator="equal">
      <formula>"M"</formula>
    </cfRule>
    <cfRule type="cellIs" dxfId="778" priority="2" operator="equal">
      <formula>"G"</formula>
    </cfRule>
    <cfRule type="cellIs" dxfId="777" priority="3" operator="equal">
      <formula>"V"</formula>
    </cfRule>
  </conditionalFormatting>
  <conditionalFormatting sqref="E6:G6">
    <cfRule type="cellIs" dxfId="776" priority="247" operator="equal">
      <formula>"M"</formula>
    </cfRule>
    <cfRule type="cellIs" dxfId="775" priority="248" operator="equal">
      <formula>"G"</formula>
    </cfRule>
    <cfRule type="cellIs" dxfId="774" priority="249" operator="equal">
      <formula>"V"</formula>
    </cfRule>
  </conditionalFormatting>
  <conditionalFormatting sqref="E42:G42">
    <cfRule type="cellIs" dxfId="773" priority="2485" operator="equal">
      <formula>"M"</formula>
    </cfRule>
    <cfRule type="cellIs" dxfId="772" priority="2486" operator="equal">
      <formula>"G"</formula>
    </cfRule>
    <cfRule type="cellIs" dxfId="771" priority="2487" operator="equal">
      <formula>"V"</formula>
    </cfRule>
  </conditionalFormatting>
  <conditionalFormatting sqref="F99:J100">
    <cfRule type="cellIs" dxfId="770" priority="1138" operator="equal">
      <formula>"M"</formula>
    </cfRule>
    <cfRule type="cellIs" dxfId="769" priority="1139" operator="equal">
      <formula>"G"</formula>
    </cfRule>
    <cfRule type="cellIs" dxfId="768" priority="1140" operator="equal">
      <formula>"V"</formula>
    </cfRule>
  </conditionalFormatting>
  <conditionalFormatting sqref="I6:J7">
    <cfRule type="cellIs" dxfId="767" priority="241" operator="equal">
      <formula>"M"</formula>
    </cfRule>
    <cfRule type="cellIs" dxfId="766" priority="242" operator="equal">
      <formula>"G"</formula>
    </cfRule>
    <cfRule type="cellIs" dxfId="765" priority="243" operator="equal">
      <formula>"V"</formula>
    </cfRule>
  </conditionalFormatting>
  <conditionalFormatting sqref="I5:P5">
    <cfRule type="cellIs" dxfId="764" priority="238" operator="equal">
      <formula>"M"</formula>
    </cfRule>
    <cfRule type="cellIs" dxfId="763" priority="239" operator="equal">
      <formula>"G"</formula>
    </cfRule>
    <cfRule type="cellIs" dxfId="762" priority="240" operator="equal">
      <formula>"V"</formula>
    </cfRule>
  </conditionalFormatting>
  <conditionalFormatting sqref="I4:AH4">
    <cfRule type="cellIs" dxfId="761" priority="220" operator="equal">
      <formula>"M"</formula>
    </cfRule>
    <cfRule type="cellIs" dxfId="760" priority="221" operator="equal">
      <formula>"G"</formula>
    </cfRule>
    <cfRule type="cellIs" dxfId="759" priority="222" operator="equal">
      <formula>"V"</formula>
    </cfRule>
  </conditionalFormatting>
  <conditionalFormatting sqref="J42:K42">
    <cfRule type="cellIs" dxfId="758" priority="2821" operator="equal">
      <formula>"M"</formula>
    </cfRule>
    <cfRule type="cellIs" dxfId="757" priority="2822" operator="equal">
      <formula>"G"</formula>
    </cfRule>
    <cfRule type="cellIs" dxfId="756" priority="2823" operator="equal">
      <formula>"V"</formula>
    </cfRule>
  </conditionalFormatting>
  <conditionalFormatting sqref="J6:P6">
    <cfRule type="cellIs" dxfId="755" priority="229" operator="equal">
      <formula>"M"</formula>
    </cfRule>
    <cfRule type="cellIs" dxfId="754" priority="230" operator="equal">
      <formula>"G"</formula>
    </cfRule>
    <cfRule type="cellIs" dxfId="753" priority="231" operator="equal">
      <formula>"V"</formula>
    </cfRule>
  </conditionalFormatting>
  <conditionalFormatting sqref="J7:AH7">
    <cfRule type="cellIs" dxfId="752" priority="235" operator="equal">
      <formula>"M"</formula>
    </cfRule>
    <cfRule type="cellIs" dxfId="751" priority="236" operator="equal">
      <formula>"G"</formula>
    </cfRule>
    <cfRule type="cellIs" dxfId="750" priority="237" operator="equal">
      <formula>"V"</formula>
    </cfRule>
  </conditionalFormatting>
  <conditionalFormatting sqref="L43:P43 L97:P97">
    <cfRule type="cellIs" dxfId="749" priority="2818" operator="equal">
      <formula>"M"</formula>
    </cfRule>
    <cfRule type="cellIs" dxfId="748" priority="2819" operator="equal">
      <formula>"G"</formula>
    </cfRule>
    <cfRule type="cellIs" dxfId="747" priority="2820" operator="equal">
      <formula>"V"</formula>
    </cfRule>
  </conditionalFormatting>
  <conditionalFormatting sqref="M99:Q100">
    <cfRule type="cellIs" dxfId="746" priority="1111" operator="equal">
      <formula>"M"</formula>
    </cfRule>
    <cfRule type="cellIs" dxfId="745" priority="1112" operator="equal">
      <formula>"G"</formula>
    </cfRule>
    <cfRule type="cellIs" dxfId="744" priority="1113" operator="equal">
      <formula>"V"</formula>
    </cfRule>
  </conditionalFormatting>
  <conditionalFormatting sqref="Q5:W6">
    <cfRule type="cellIs" dxfId="743" priority="226" operator="equal">
      <formula>"M"</formula>
    </cfRule>
    <cfRule type="cellIs" dxfId="742" priority="227" operator="equal">
      <formula>"G"</formula>
    </cfRule>
    <cfRule type="cellIs" dxfId="741" priority="228" operator="equal">
      <formula>"V"</formula>
    </cfRule>
  </conditionalFormatting>
  <conditionalFormatting sqref="Q84:AF84">
    <cfRule type="cellIs" dxfId="740" priority="2773" operator="equal">
      <formula>"M"</formula>
    </cfRule>
    <cfRule type="cellIs" dxfId="739" priority="2774" operator="equal">
      <formula>"G"</formula>
    </cfRule>
    <cfRule type="cellIs" dxfId="738" priority="2775" operator="equal">
      <formula>"V"</formula>
    </cfRule>
  </conditionalFormatting>
  <conditionalFormatting sqref="R57:AG57">
    <cfRule type="cellIs" dxfId="737" priority="2734" operator="equal">
      <formula>"M"</formula>
    </cfRule>
    <cfRule type="cellIs" dxfId="736" priority="2735" operator="equal">
      <formula>"G"</formula>
    </cfRule>
    <cfRule type="cellIs" dxfId="735" priority="2736" operator="equal">
      <formula>"V"</formula>
    </cfRule>
  </conditionalFormatting>
  <conditionalFormatting sqref="T15:T19 J17:P19 T24:T28 J26:P28 I49:P50 P50:P52">
    <cfRule type="cellIs" dxfId="734" priority="3070" operator="equal">
      <formula>"M"</formula>
    </cfRule>
    <cfRule type="cellIs" dxfId="733" priority="3071" operator="equal">
      <formula>"G"</formula>
    </cfRule>
    <cfRule type="cellIs" dxfId="732" priority="3072" operator="equal">
      <formula>"V"</formula>
    </cfRule>
  </conditionalFormatting>
  <conditionalFormatting sqref="T40:T41 T49:T52">
    <cfRule type="cellIs" dxfId="731" priority="2833" operator="equal">
      <formula>"M"</formula>
    </cfRule>
    <cfRule type="cellIs" dxfId="730" priority="2834" operator="equal">
      <formula>"G"</formula>
    </cfRule>
    <cfRule type="cellIs" dxfId="729" priority="2835" operator="equal">
      <formula>"V"</formula>
    </cfRule>
  </conditionalFormatting>
  <conditionalFormatting sqref="T6:U7">
    <cfRule type="cellIs" dxfId="728" priority="244" operator="equal">
      <formula>"M"</formula>
    </cfRule>
    <cfRule type="cellIs" dxfId="727" priority="245" operator="equal">
      <formula>"G"</formula>
    </cfRule>
    <cfRule type="cellIs" dxfId="726" priority="246" operator="equal">
      <formula>"V"</formula>
    </cfRule>
  </conditionalFormatting>
  <conditionalFormatting sqref="T75:AD75">
    <cfRule type="cellIs" dxfId="725" priority="2788" operator="equal">
      <formula>"M"</formula>
    </cfRule>
    <cfRule type="cellIs" dxfId="724" priority="2789" operator="equal">
      <formula>"G"</formula>
    </cfRule>
    <cfRule type="cellIs" dxfId="723" priority="2790" operator="equal">
      <formula>"V"</formula>
    </cfRule>
  </conditionalFormatting>
  <conditionalFormatting sqref="T48:AF48">
    <cfRule type="cellIs" dxfId="722" priority="2743" operator="equal">
      <formula>"M"</formula>
    </cfRule>
    <cfRule type="cellIs" dxfId="721" priority="2744" operator="equal">
      <formula>"G"</formula>
    </cfRule>
    <cfRule type="cellIs" dxfId="720" priority="2745" operator="equal">
      <formula>"V"</formula>
    </cfRule>
  </conditionalFormatting>
  <conditionalFormatting sqref="T111:AF111">
    <cfRule type="cellIs" dxfId="719" priority="1660" operator="equal">
      <formula>"M"</formula>
    </cfRule>
    <cfRule type="cellIs" dxfId="718" priority="1661" operator="equal">
      <formula>"G"</formula>
    </cfRule>
    <cfRule type="cellIs" dxfId="717" priority="1662" operator="equal">
      <formula>"V"</formula>
    </cfRule>
  </conditionalFormatting>
  <conditionalFormatting sqref="U3:V3">
    <cfRule type="cellIs" dxfId="716" priority="253" operator="equal">
      <formula>"M"</formula>
    </cfRule>
    <cfRule type="cellIs" dxfId="715" priority="254" operator="equal">
      <formula>"G"</formula>
    </cfRule>
    <cfRule type="cellIs" dxfId="714" priority="255" operator="equal">
      <formula>"V"</formula>
    </cfRule>
  </conditionalFormatting>
  <conditionalFormatting sqref="V21:Y21">
    <cfRule type="cellIs" dxfId="713" priority="211" operator="equal">
      <formula>"M"</formula>
    </cfRule>
    <cfRule type="cellIs" dxfId="712" priority="212" operator="equal">
      <formula>"G"</formula>
    </cfRule>
    <cfRule type="cellIs" dxfId="711" priority="213" operator="equal">
      <formula>"V"</formula>
    </cfRule>
  </conditionalFormatting>
  <conditionalFormatting sqref="V66:Y66 V93:Y93 W102:Y102">
    <cfRule type="cellIs" dxfId="710" priority="2812" operator="equal">
      <formula>"M"</formula>
    </cfRule>
    <cfRule type="cellIs" dxfId="709" priority="2813" operator="equal">
      <formula>"G"</formula>
    </cfRule>
    <cfRule type="cellIs" dxfId="708" priority="2814" operator="equal">
      <formula>"V"</formula>
    </cfRule>
  </conditionalFormatting>
  <conditionalFormatting sqref="W39:AG39">
    <cfRule type="cellIs" dxfId="707" priority="205" operator="equal">
      <formula>"M"</formula>
    </cfRule>
    <cfRule type="cellIs" dxfId="706" priority="206" operator="equal">
      <formula>"G"</formula>
    </cfRule>
    <cfRule type="cellIs" dxfId="705" priority="207" operator="equal">
      <formula>"V"</formula>
    </cfRule>
  </conditionalFormatting>
  <conditionalFormatting sqref="W6:AH6">
    <cfRule type="cellIs" dxfId="704" priority="223" operator="equal">
      <formula>"M"</formula>
    </cfRule>
    <cfRule type="cellIs" dxfId="703" priority="224" operator="equal">
      <formula>"G"</formula>
    </cfRule>
    <cfRule type="cellIs" dxfId="702" priority="225" operator="equal">
      <formula>"V"</formula>
    </cfRule>
  </conditionalFormatting>
  <conditionalFormatting sqref="X3:Y3">
    <cfRule type="cellIs" dxfId="701" priority="262" operator="equal">
      <formula>"M"</formula>
    </cfRule>
    <cfRule type="cellIs" dxfId="700" priority="263" operator="equal">
      <formula>"G"</formula>
    </cfRule>
    <cfRule type="cellIs" dxfId="699" priority="264" operator="equal">
      <formula>"V"</formula>
    </cfRule>
  </conditionalFormatting>
  <conditionalFormatting sqref="X5:AH5">
    <cfRule type="cellIs" dxfId="698" priority="217" operator="equal">
      <formula>"M"</formula>
    </cfRule>
    <cfRule type="cellIs" dxfId="697" priority="218" operator="equal">
      <formula>"G"</formula>
    </cfRule>
    <cfRule type="cellIs" dxfId="696" priority="219" operator="equal">
      <formula>"V"</formula>
    </cfRule>
  </conditionalFormatting>
  <conditionalFormatting sqref="Z30:AE30">
    <cfRule type="cellIs" dxfId="695" priority="2809" operator="equal">
      <formula>"M"</formula>
    </cfRule>
    <cfRule type="cellIs" dxfId="694" priority="2810" operator="equal">
      <formula>"G"</formula>
    </cfRule>
    <cfRule type="cellIs" dxfId="693" priority="2811" operator="equal">
      <formula>"V"</formula>
    </cfRule>
  </conditionalFormatting>
  <conditionalFormatting sqref="AA3:AB3">
    <cfRule type="cellIs" dxfId="692" priority="256" operator="equal">
      <formula>"M"</formula>
    </cfRule>
    <cfRule type="cellIs" dxfId="691" priority="257" operator="equal">
      <formula>"G"</formula>
    </cfRule>
    <cfRule type="cellIs" dxfId="690" priority="258" operator="equal">
      <formula>"V"</formula>
    </cfRule>
  </conditionalFormatting>
  <conditionalFormatting sqref="AB53:AD53">
    <cfRule type="cellIs" dxfId="689" priority="2263" operator="equal">
      <formula>"M"</formula>
    </cfRule>
    <cfRule type="cellIs" dxfId="688" priority="2264" operator="equal">
      <formula>"G"</formula>
    </cfRule>
    <cfRule type="cellIs" dxfId="687" priority="2265" operator="equal">
      <formula>"V"</formula>
    </cfRule>
  </conditionalFormatting>
  <conditionalFormatting sqref="AB21:AF21">
    <cfRule type="cellIs" dxfId="686" priority="208" operator="equal">
      <formula>"M"</formula>
    </cfRule>
    <cfRule type="cellIs" dxfId="685" priority="209" operator="equal">
      <formula>"G"</formula>
    </cfRule>
    <cfRule type="cellIs" dxfId="684" priority="210" operator="equal">
      <formula>"V"</formula>
    </cfRule>
  </conditionalFormatting>
  <conditionalFormatting sqref="AB66:AF66">
    <cfRule type="cellIs" dxfId="683" priority="2722" operator="equal">
      <formula>"M"</formula>
    </cfRule>
    <cfRule type="cellIs" dxfId="682" priority="2723" operator="equal">
      <formula>"G"</formula>
    </cfRule>
    <cfRule type="cellIs" dxfId="681" priority="2724" operator="equal">
      <formula>"V"</formula>
    </cfRule>
  </conditionalFormatting>
  <conditionalFormatting sqref="AC42:AD43">
    <cfRule type="cellIs" dxfId="680" priority="2299" operator="equal">
      <formula>"M"</formula>
    </cfRule>
    <cfRule type="cellIs" dxfId="679" priority="2300" operator="equal">
      <formula>"G"</formula>
    </cfRule>
    <cfRule type="cellIs" dxfId="678" priority="2301" operator="equal">
      <formula>"V"</formula>
    </cfRule>
  </conditionalFormatting>
  <conditionalFormatting sqref="AD3:AE4">
    <cfRule type="cellIs" dxfId="677" priority="259" operator="equal">
      <formula>"M"</formula>
    </cfRule>
    <cfRule type="cellIs" dxfId="676" priority="260" operator="equal">
      <formula>"G"</formula>
    </cfRule>
    <cfRule type="cellIs" dxfId="675" priority="261" operator="equal">
      <formula>"V"</formula>
    </cfRule>
  </conditionalFormatting>
  <conditionalFormatting sqref="AD75:AE82 AB93:AE93 AC102:AE102">
    <cfRule type="cellIs" dxfId="674" priority="2815" operator="equal">
      <formula>"M"</formula>
    </cfRule>
    <cfRule type="cellIs" dxfId="673" priority="2816" operator="equal">
      <formula>"G"</formula>
    </cfRule>
    <cfRule type="cellIs" dxfId="672" priority="2817" operator="equal">
      <formula>"V"</formula>
    </cfRule>
  </conditionalFormatting>
  <conditionalFormatting sqref="AE3:AF3">
    <cfRule type="cellIs" dxfId="671" priority="250" operator="equal">
      <formula>"M"</formula>
    </cfRule>
    <cfRule type="cellIs" dxfId="670" priority="251" operator="equal">
      <formula>"G"</formula>
    </cfRule>
    <cfRule type="cellIs" dxfId="669" priority="252" operator="equal">
      <formula>"V"</formula>
    </cfRule>
  </conditionalFormatting>
  <conditionalFormatting sqref="AF26 AF44 AF53 AF98">
    <cfRule type="cellIs" dxfId="668" priority="2839" operator="equal">
      <formula>"M"</formula>
    </cfRule>
    <cfRule type="cellIs" dxfId="667" priority="2840" operator="equal">
      <formula>"G"</formula>
    </cfRule>
    <cfRule type="cellIs" dxfId="666" priority="2841" operator="equal">
      <formula>"V"</formula>
    </cfRule>
  </conditionalFormatting>
  <hyperlinks>
    <hyperlink ref="AI2" r:id="rId1" xr:uid="{7C40CCBA-FCA8-4878-8B24-A9F019897FD7}"/>
    <hyperlink ref="AI12" r:id="rId2" xr:uid="{B0712A36-0A0C-4ED0-996B-0A852166C1C3}"/>
    <hyperlink ref="AI21" r:id="rId3" xr:uid="{C656D16F-4863-402F-939A-22A960233590}"/>
    <hyperlink ref="AI30" r:id="rId4" xr:uid="{2A8AD855-564F-4D9E-8C9D-45526697CE02}"/>
    <hyperlink ref="AI39" r:id="rId5" xr:uid="{D6AD32A4-7362-4D39-B9D8-B7DF53E663C3}"/>
    <hyperlink ref="AI48" r:id="rId6" xr:uid="{2F523E36-BCCA-4143-9049-34C8268D62BC}"/>
    <hyperlink ref="AI57" r:id="rId7" xr:uid="{18B94C52-2406-43F1-AAE3-2DFFC4E8D55E}"/>
    <hyperlink ref="AI66" r:id="rId8" xr:uid="{58EF62D5-8684-42DF-9D44-5AB5777D9557}"/>
    <hyperlink ref="AI75" r:id="rId9" xr:uid="{1F78155E-201C-4EF6-B886-6F08DFC018CA}"/>
    <hyperlink ref="AI84" r:id="rId10" xr:uid="{7A2B49E4-B6C7-4CE5-8BE2-E41806802784}"/>
    <hyperlink ref="AI93" r:id="rId11" xr:uid="{E87994F5-A0BE-4228-9FC0-F9DB161EB7CD}"/>
    <hyperlink ref="AI102" r:id="rId12" xr:uid="{3816A286-3D9E-416F-BCC2-F34B36C4C845}"/>
    <hyperlink ref="AI111" r:id="rId13" xr:uid="{65A0FDE0-CDD6-45F1-BA8F-82B0692A68B1}"/>
  </hyperlinks>
  <pageMargins left="0.7" right="0.7" top="0.75" bottom="0.75" header="0.3" footer="0.3"/>
  <pageSetup paperSize="9" orientation="portrait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5D6B-D641-453D-83EA-BCA38A418F3B}">
  <sheetPr>
    <tabColor rgb="FF00B050"/>
  </sheetPr>
  <dimension ref="A1:AH135"/>
  <sheetViews>
    <sheetView topLeftCell="A31" workbookViewId="0">
      <selection activeCell="P51" sqref="P51"/>
    </sheetView>
  </sheetViews>
  <sheetFormatPr defaultColWidth="9.140625" defaultRowHeight="16.5"/>
  <cols>
    <col min="1" max="1" width="23.85546875" style="458" customWidth="1"/>
    <col min="2" max="2" width="3.5703125" style="458" bestFit="1" customWidth="1"/>
    <col min="3" max="3" width="3.28515625" style="458" bestFit="1" customWidth="1"/>
    <col min="4" max="4" width="2.7109375" style="458" bestFit="1" customWidth="1"/>
    <col min="5" max="5" width="3.5703125" style="458" bestFit="1" customWidth="1"/>
    <col min="6" max="7" width="3.28515625" style="458" bestFit="1" customWidth="1"/>
    <col min="8" max="9" width="3.5703125" style="458" bestFit="1" customWidth="1"/>
    <col min="10" max="10" width="3.28515625" style="458" bestFit="1" customWidth="1"/>
    <col min="11" max="11" width="4" style="458" customWidth="1"/>
    <col min="12" max="12" width="3.5703125" style="458" bestFit="1" customWidth="1"/>
    <col min="13" max="14" width="3.28515625" style="458" bestFit="1" customWidth="1"/>
    <col min="15" max="16" width="3.5703125" style="458" bestFit="1" customWidth="1"/>
    <col min="17" max="17" width="3.28515625" style="458" bestFit="1" customWidth="1"/>
    <col min="18" max="18" width="3.140625" style="458" bestFit="1" customWidth="1"/>
    <col min="19" max="19" width="3.5703125" style="458" bestFit="1" customWidth="1"/>
    <col min="20" max="21" width="3.28515625" style="458" bestFit="1" customWidth="1"/>
    <col min="22" max="23" width="3.5703125" style="458" bestFit="1" customWidth="1"/>
    <col min="24" max="24" width="3.28515625" style="458" bestFit="1" customWidth="1"/>
    <col min="25" max="25" width="3.140625" style="458" bestFit="1" customWidth="1"/>
    <col min="26" max="26" width="3.5703125" style="458" bestFit="1" customWidth="1"/>
    <col min="27" max="28" width="3.28515625" style="458" bestFit="1" customWidth="1"/>
    <col min="29" max="30" width="3.5703125" style="458" bestFit="1" customWidth="1"/>
    <col min="31" max="31" width="3.28515625" style="458" bestFit="1" customWidth="1"/>
    <col min="32" max="32" width="3.140625" style="458" bestFit="1" customWidth="1"/>
    <col min="33" max="33" width="9.140625" style="445" bestFit="1" customWidth="1"/>
    <col min="34" max="34" width="42.7109375" style="445" customWidth="1"/>
    <col min="35" max="16384" width="9.140625" style="445"/>
  </cols>
  <sheetData>
    <row r="1" spans="1:34">
      <c r="A1" s="444">
        <v>46023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7"/>
      <c r="S1" s="897"/>
      <c r="T1" s="897"/>
      <c r="U1" s="897"/>
      <c r="V1" s="897"/>
      <c r="W1" s="897"/>
      <c r="X1" s="897"/>
      <c r="Y1" s="897"/>
      <c r="Z1" s="897"/>
      <c r="AA1" s="897"/>
      <c r="AB1" s="897"/>
      <c r="AC1" s="897"/>
      <c r="AD1" s="897"/>
      <c r="AE1" s="897"/>
      <c r="AF1" s="897"/>
      <c r="AG1" s="897"/>
      <c r="AH1" s="571"/>
    </row>
    <row r="2" spans="1:34">
      <c r="A2" s="446"/>
      <c r="B2" s="447" t="s">
        <v>2</v>
      </c>
      <c r="C2" s="447" t="s">
        <v>3</v>
      </c>
      <c r="D2" s="447" t="s">
        <v>4</v>
      </c>
      <c r="E2" s="447" t="s">
        <v>5</v>
      </c>
      <c r="F2" s="565" t="s">
        <v>6</v>
      </c>
      <c r="G2" s="447" t="s">
        <v>7</v>
      </c>
      <c r="H2" s="566" t="s">
        <v>1</v>
      </c>
      <c r="I2" s="447" t="s">
        <v>2</v>
      </c>
      <c r="J2" s="447" t="s">
        <v>3</v>
      </c>
      <c r="K2" s="447" t="s">
        <v>4</v>
      </c>
      <c r="L2" s="447" t="s">
        <v>5</v>
      </c>
      <c r="M2" s="447" t="s">
        <v>6</v>
      </c>
      <c r="N2" s="447" t="s">
        <v>7</v>
      </c>
      <c r="O2" s="447" t="s">
        <v>1</v>
      </c>
      <c r="P2" s="447" t="s">
        <v>2</v>
      </c>
      <c r="Q2" s="447" t="s">
        <v>3</v>
      </c>
      <c r="R2" s="447" t="s">
        <v>4</v>
      </c>
      <c r="S2" s="447" t="s">
        <v>5</v>
      </c>
      <c r="T2" s="447" t="s">
        <v>6</v>
      </c>
      <c r="U2" s="447" t="s">
        <v>7</v>
      </c>
      <c r="V2" s="447" t="s">
        <v>1</v>
      </c>
      <c r="W2" s="447" t="s">
        <v>2</v>
      </c>
      <c r="X2" s="447" t="s">
        <v>3</v>
      </c>
      <c r="Y2" s="447" t="s">
        <v>4</v>
      </c>
      <c r="Z2" s="447" t="s">
        <v>5</v>
      </c>
      <c r="AA2" s="447" t="s">
        <v>6</v>
      </c>
      <c r="AB2" s="447" t="s">
        <v>7</v>
      </c>
      <c r="AC2" s="447" t="s">
        <v>1</v>
      </c>
      <c r="AD2" s="447" t="s">
        <v>2</v>
      </c>
      <c r="AE2" s="447" t="s">
        <v>3</v>
      </c>
      <c r="AF2" s="447" t="s">
        <v>4</v>
      </c>
      <c r="AG2" s="448"/>
      <c r="AH2" s="156" t="s">
        <v>64</v>
      </c>
    </row>
    <row r="3" spans="1:34">
      <c r="A3" s="450" t="s">
        <v>61</v>
      </c>
      <c r="B3" s="451">
        <v>1</v>
      </c>
      <c r="C3" s="452" t="s">
        <v>9</v>
      </c>
      <c r="D3" s="567">
        <v>3</v>
      </c>
      <c r="E3" s="567">
        <v>4</v>
      </c>
      <c r="F3" s="452" t="s">
        <v>9</v>
      </c>
      <c r="G3" s="451">
        <v>6</v>
      </c>
      <c r="H3" s="452" t="s">
        <v>9</v>
      </c>
      <c r="I3" s="452" t="s">
        <v>9</v>
      </c>
      <c r="J3" s="452" t="s">
        <v>9</v>
      </c>
      <c r="K3" s="569">
        <v>10</v>
      </c>
      <c r="L3" s="567">
        <v>11</v>
      </c>
      <c r="M3" s="452" t="s">
        <v>9</v>
      </c>
      <c r="N3" s="452" t="s">
        <v>9</v>
      </c>
      <c r="O3" s="451" t="s">
        <v>14</v>
      </c>
      <c r="P3" s="451" t="s">
        <v>14</v>
      </c>
      <c r="Q3" s="451" t="s">
        <v>14</v>
      </c>
      <c r="R3" s="451" t="s">
        <v>14</v>
      </c>
      <c r="S3" s="451" t="s">
        <v>14</v>
      </c>
      <c r="T3" s="451" t="s">
        <v>14</v>
      </c>
      <c r="U3" s="451" t="s">
        <v>14</v>
      </c>
      <c r="V3" s="452">
        <v>21</v>
      </c>
      <c r="W3" s="452">
        <v>22</v>
      </c>
      <c r="X3" s="452">
        <v>23</v>
      </c>
      <c r="Y3" s="567">
        <v>24</v>
      </c>
      <c r="Z3" s="567">
        <v>25</v>
      </c>
      <c r="AA3" s="452">
        <v>26</v>
      </c>
      <c r="AB3" s="452">
        <v>27</v>
      </c>
      <c r="AC3" s="451" t="s">
        <v>14</v>
      </c>
      <c r="AD3" s="451" t="s">
        <v>14</v>
      </c>
      <c r="AE3" s="451" t="s">
        <v>14</v>
      </c>
      <c r="AF3" s="451" t="s">
        <v>14</v>
      </c>
      <c r="AG3" s="448"/>
    </row>
    <row r="4" spans="1:34">
      <c r="A4" s="450" t="s">
        <v>24</v>
      </c>
      <c r="B4" s="451">
        <v>1</v>
      </c>
      <c r="C4" s="452" t="s">
        <v>9</v>
      </c>
      <c r="D4" s="567">
        <v>3</v>
      </c>
      <c r="E4" s="567">
        <v>4</v>
      </c>
      <c r="F4" s="452" t="s">
        <v>9</v>
      </c>
      <c r="G4" s="451">
        <v>6</v>
      </c>
      <c r="H4" s="452" t="s">
        <v>9</v>
      </c>
      <c r="I4" s="452" t="s">
        <v>9</v>
      </c>
      <c r="J4" s="452" t="s">
        <v>9</v>
      </c>
      <c r="K4" s="569">
        <v>10</v>
      </c>
      <c r="L4" s="567">
        <v>11</v>
      </c>
      <c r="M4" s="452" t="s">
        <v>9</v>
      </c>
      <c r="N4" s="452">
        <v>13</v>
      </c>
      <c r="O4" s="452">
        <v>14</v>
      </c>
      <c r="P4" s="452">
        <v>15</v>
      </c>
      <c r="Q4" s="452">
        <v>16</v>
      </c>
      <c r="R4" s="567">
        <v>17</v>
      </c>
      <c r="S4" s="567">
        <v>18</v>
      </c>
      <c r="T4" s="452">
        <v>19</v>
      </c>
      <c r="U4" s="452">
        <v>20</v>
      </c>
      <c r="V4" s="451" t="s">
        <v>14</v>
      </c>
      <c r="W4" s="451" t="s">
        <v>14</v>
      </c>
      <c r="X4" s="451" t="s">
        <v>14</v>
      </c>
      <c r="Y4" s="451" t="s">
        <v>14</v>
      </c>
      <c r="Z4" s="451" t="s">
        <v>14</v>
      </c>
      <c r="AA4" s="451" t="s">
        <v>14</v>
      </c>
      <c r="AB4" s="451" t="s">
        <v>14</v>
      </c>
      <c r="AC4" s="452">
        <v>28</v>
      </c>
      <c r="AD4" s="452">
        <v>29</v>
      </c>
      <c r="AE4" s="452">
        <v>30</v>
      </c>
      <c r="AF4" s="567">
        <v>31</v>
      </c>
      <c r="AG4" s="448"/>
    </row>
    <row r="5" spans="1:34">
      <c r="A5" s="450" t="s">
        <v>15</v>
      </c>
      <c r="B5" s="451">
        <v>1</v>
      </c>
      <c r="C5" s="452">
        <v>2</v>
      </c>
      <c r="D5" s="567">
        <v>3</v>
      </c>
      <c r="E5" s="567">
        <v>4</v>
      </c>
      <c r="F5" s="452">
        <v>5</v>
      </c>
      <c r="G5" s="451">
        <v>6</v>
      </c>
      <c r="H5" s="451" t="s">
        <v>14</v>
      </c>
      <c r="I5" s="451" t="s">
        <v>14</v>
      </c>
      <c r="J5" s="451" t="s">
        <v>14</v>
      </c>
      <c r="K5" s="451" t="s">
        <v>14</v>
      </c>
      <c r="L5" s="451" t="s">
        <v>14</v>
      </c>
      <c r="M5" s="451" t="s">
        <v>14</v>
      </c>
      <c r="N5" s="451" t="s">
        <v>14</v>
      </c>
      <c r="O5" s="452">
        <v>14</v>
      </c>
      <c r="P5" s="452">
        <v>15</v>
      </c>
      <c r="Q5" s="452">
        <v>16</v>
      </c>
      <c r="R5" s="567">
        <v>17</v>
      </c>
      <c r="S5" s="567">
        <v>18</v>
      </c>
      <c r="T5" s="452">
        <v>19</v>
      </c>
      <c r="U5" s="452">
        <v>20</v>
      </c>
      <c r="V5" s="452">
        <v>21</v>
      </c>
      <c r="W5" s="452">
        <v>22</v>
      </c>
      <c r="X5" s="452">
        <v>23</v>
      </c>
      <c r="Y5" s="567">
        <v>24</v>
      </c>
      <c r="Z5" s="567">
        <v>25</v>
      </c>
      <c r="AA5" s="452">
        <v>26</v>
      </c>
      <c r="AB5" s="452">
        <v>27</v>
      </c>
      <c r="AC5" s="452">
        <v>28</v>
      </c>
      <c r="AD5" s="452" t="s">
        <v>9</v>
      </c>
      <c r="AE5" s="452" t="s">
        <v>9</v>
      </c>
      <c r="AF5" s="567">
        <v>31</v>
      </c>
      <c r="AG5" s="448"/>
    </row>
    <row r="6" spans="1:34">
      <c r="A6" s="450" t="s">
        <v>18</v>
      </c>
      <c r="B6" s="451" t="s">
        <v>14</v>
      </c>
      <c r="C6" s="451" t="s">
        <v>14</v>
      </c>
      <c r="D6" s="451" t="s">
        <v>14</v>
      </c>
      <c r="E6" s="451" t="s">
        <v>14</v>
      </c>
      <c r="F6" s="451" t="s">
        <v>14</v>
      </c>
      <c r="G6" s="451" t="s">
        <v>14</v>
      </c>
      <c r="H6" s="452">
        <v>7</v>
      </c>
      <c r="I6" s="568">
        <v>8</v>
      </c>
      <c r="J6" s="452">
        <v>9</v>
      </c>
      <c r="K6" s="569">
        <v>10</v>
      </c>
      <c r="L6" s="567">
        <v>11</v>
      </c>
      <c r="M6" s="452">
        <v>12</v>
      </c>
      <c r="N6" s="452">
        <v>13</v>
      </c>
      <c r="O6" s="452">
        <v>14</v>
      </c>
      <c r="P6" s="452">
        <v>15</v>
      </c>
      <c r="Q6" s="452">
        <v>16</v>
      </c>
      <c r="R6" s="567">
        <v>17</v>
      </c>
      <c r="S6" s="567">
        <v>18</v>
      </c>
      <c r="T6" s="452">
        <v>19</v>
      </c>
      <c r="U6" s="452">
        <v>20</v>
      </c>
      <c r="V6" s="452">
        <v>21</v>
      </c>
      <c r="W6" s="452">
        <v>22</v>
      </c>
      <c r="X6" s="452">
        <v>23</v>
      </c>
      <c r="Y6" s="567">
        <v>24</v>
      </c>
      <c r="Z6" s="567">
        <v>25</v>
      </c>
      <c r="AA6" s="452">
        <v>26</v>
      </c>
      <c r="AB6" s="452">
        <v>27</v>
      </c>
      <c r="AC6" s="452">
        <v>28</v>
      </c>
      <c r="AD6" s="452">
        <v>29</v>
      </c>
      <c r="AE6" s="452">
        <v>30</v>
      </c>
      <c r="AF6" s="567">
        <v>31</v>
      </c>
      <c r="AG6" s="448"/>
    </row>
    <row r="7" spans="1:34">
      <c r="A7" s="450" t="s">
        <v>21</v>
      </c>
      <c r="B7" s="451">
        <v>1</v>
      </c>
      <c r="C7" s="452" t="s">
        <v>9</v>
      </c>
      <c r="D7" s="567">
        <v>3</v>
      </c>
      <c r="E7" s="567">
        <v>4</v>
      </c>
      <c r="F7" s="452" t="s">
        <v>9</v>
      </c>
      <c r="G7" s="451">
        <v>6</v>
      </c>
      <c r="H7" s="452" t="s">
        <v>9</v>
      </c>
      <c r="I7" s="568">
        <v>8</v>
      </c>
      <c r="J7" s="452">
        <v>9</v>
      </c>
      <c r="K7" s="569">
        <v>10</v>
      </c>
      <c r="L7" s="567">
        <v>11</v>
      </c>
      <c r="M7" s="452">
        <v>12</v>
      </c>
      <c r="N7" s="452">
        <v>13</v>
      </c>
      <c r="O7" s="452">
        <v>14</v>
      </c>
      <c r="P7" s="452">
        <v>15</v>
      </c>
      <c r="Q7" s="452" t="s">
        <v>9</v>
      </c>
      <c r="R7" s="567">
        <v>17</v>
      </c>
      <c r="S7" s="567">
        <v>18</v>
      </c>
      <c r="T7" s="452">
        <v>19</v>
      </c>
      <c r="U7" s="452">
        <v>20</v>
      </c>
      <c r="V7" s="452">
        <v>21</v>
      </c>
      <c r="W7" s="452">
        <v>22</v>
      </c>
      <c r="X7" s="452" t="s">
        <v>9</v>
      </c>
      <c r="Y7" s="567">
        <v>24</v>
      </c>
      <c r="Z7" s="567">
        <v>25</v>
      </c>
      <c r="AA7" s="452">
        <v>26</v>
      </c>
      <c r="AB7" s="452">
        <v>27</v>
      </c>
      <c r="AC7" s="452">
        <v>28</v>
      </c>
      <c r="AD7" s="452">
        <v>29</v>
      </c>
      <c r="AE7" s="452" t="s">
        <v>9</v>
      </c>
      <c r="AF7" s="567">
        <v>31</v>
      </c>
      <c r="AG7" s="448"/>
    </row>
    <row r="8" spans="1:34">
      <c r="A8" s="450" t="s">
        <v>62</v>
      </c>
      <c r="B8" s="451">
        <v>1</v>
      </c>
      <c r="C8" s="452">
        <v>2</v>
      </c>
      <c r="D8" s="567">
        <v>3</v>
      </c>
      <c r="E8" s="567">
        <v>4</v>
      </c>
      <c r="F8" s="452">
        <v>5</v>
      </c>
      <c r="G8" s="451">
        <v>6</v>
      </c>
      <c r="H8" s="452">
        <v>7</v>
      </c>
      <c r="I8" s="568">
        <v>8</v>
      </c>
      <c r="J8" s="452">
        <v>9</v>
      </c>
      <c r="K8" s="569">
        <v>10</v>
      </c>
      <c r="L8" s="567">
        <v>11</v>
      </c>
      <c r="M8" s="452">
        <v>12</v>
      </c>
      <c r="N8" s="452">
        <v>13</v>
      </c>
      <c r="O8" s="452">
        <v>14</v>
      </c>
      <c r="P8" s="452">
        <v>15</v>
      </c>
      <c r="Q8" s="452">
        <v>16</v>
      </c>
      <c r="R8" s="567">
        <v>17</v>
      </c>
      <c r="S8" s="567">
        <v>18</v>
      </c>
      <c r="T8" s="452" t="s">
        <v>9</v>
      </c>
      <c r="U8" s="452" t="s">
        <v>9</v>
      </c>
      <c r="V8" s="452" t="s">
        <v>9</v>
      </c>
      <c r="W8" s="452" t="s">
        <v>9</v>
      </c>
      <c r="X8" s="452" t="s">
        <v>3</v>
      </c>
      <c r="Y8" s="567">
        <v>24</v>
      </c>
      <c r="Z8" s="567">
        <v>25</v>
      </c>
      <c r="AA8" s="452">
        <v>26</v>
      </c>
      <c r="AB8" s="452">
        <v>27</v>
      </c>
      <c r="AC8" s="452">
        <v>28</v>
      </c>
      <c r="AD8" s="452">
        <v>29</v>
      </c>
      <c r="AE8" s="452">
        <v>30</v>
      </c>
      <c r="AF8" s="567">
        <v>31</v>
      </c>
      <c r="AG8" s="448"/>
    </row>
    <row r="9" spans="1:34">
      <c r="A9" s="450" t="s">
        <v>65</v>
      </c>
      <c r="B9" s="451">
        <v>1</v>
      </c>
      <c r="C9" s="452">
        <v>2</v>
      </c>
      <c r="D9" s="567">
        <v>3</v>
      </c>
      <c r="E9" s="567">
        <v>4</v>
      </c>
      <c r="F9" s="452">
        <v>5</v>
      </c>
      <c r="G9" s="451">
        <v>6</v>
      </c>
      <c r="H9" s="452">
        <v>7</v>
      </c>
      <c r="I9" s="568">
        <v>8</v>
      </c>
      <c r="J9" s="452">
        <v>9</v>
      </c>
      <c r="K9" s="569">
        <v>10</v>
      </c>
      <c r="L9" s="567">
        <v>11</v>
      </c>
      <c r="M9" s="452">
        <v>12</v>
      </c>
      <c r="N9" s="452">
        <v>13</v>
      </c>
      <c r="O9" s="452">
        <v>14</v>
      </c>
      <c r="P9" s="452">
        <v>15</v>
      </c>
      <c r="Q9" s="452">
        <v>16</v>
      </c>
      <c r="R9" s="567">
        <v>17</v>
      </c>
      <c r="S9" s="567">
        <v>18</v>
      </c>
      <c r="T9" s="452">
        <v>19</v>
      </c>
      <c r="U9" s="452">
        <v>20</v>
      </c>
      <c r="V9" s="452">
        <v>21</v>
      </c>
      <c r="W9" s="452">
        <v>22</v>
      </c>
      <c r="X9" s="452">
        <v>23</v>
      </c>
      <c r="Y9" s="567">
        <v>24</v>
      </c>
      <c r="Z9" s="567">
        <v>25</v>
      </c>
      <c r="AA9" s="452">
        <v>26</v>
      </c>
      <c r="AB9" s="452">
        <v>27</v>
      </c>
      <c r="AC9" s="452">
        <v>28</v>
      </c>
      <c r="AD9" s="452">
        <v>29</v>
      </c>
      <c r="AE9" s="452">
        <v>30</v>
      </c>
      <c r="AF9" s="567">
        <v>31</v>
      </c>
      <c r="AG9" s="448"/>
    </row>
    <row r="10" spans="1:34">
      <c r="A10" s="444">
        <v>46054</v>
      </c>
      <c r="B10" s="897"/>
      <c r="C10" s="897"/>
      <c r="D10" s="897"/>
      <c r="E10" s="897"/>
      <c r="F10" s="897"/>
      <c r="G10" s="897"/>
      <c r="H10" s="897"/>
      <c r="I10" s="897"/>
      <c r="J10" s="897"/>
      <c r="K10" s="897"/>
      <c r="L10" s="897"/>
      <c r="M10" s="897"/>
      <c r="N10" s="897"/>
      <c r="O10" s="897"/>
      <c r="P10" s="897"/>
      <c r="Q10" s="897"/>
      <c r="R10" s="897"/>
      <c r="S10" s="897"/>
      <c r="T10" s="897"/>
      <c r="U10" s="897"/>
      <c r="V10" s="897"/>
      <c r="W10" s="897"/>
      <c r="X10" s="897"/>
      <c r="Y10" s="897"/>
      <c r="Z10" s="897"/>
      <c r="AA10" s="897"/>
      <c r="AB10" s="897"/>
      <c r="AC10" s="897"/>
      <c r="AD10" s="897"/>
      <c r="AE10" s="897"/>
      <c r="AF10" s="897"/>
      <c r="AG10" s="897"/>
    </row>
    <row r="11" spans="1:34">
      <c r="A11" s="446"/>
      <c r="B11" s="447" t="s">
        <v>5</v>
      </c>
      <c r="C11" s="447" t="s">
        <v>6</v>
      </c>
      <c r="D11" s="447" t="s">
        <v>7</v>
      </c>
      <c r="E11" s="447" t="s">
        <v>1</v>
      </c>
      <c r="F11" s="447" t="s">
        <v>2</v>
      </c>
      <c r="G11" s="447" t="s">
        <v>3</v>
      </c>
      <c r="H11" s="447" t="s">
        <v>4</v>
      </c>
      <c r="I11" s="447" t="s">
        <v>5</v>
      </c>
      <c r="J11" s="447" t="s">
        <v>6</v>
      </c>
      <c r="K11" s="447" t="s">
        <v>7</v>
      </c>
      <c r="L11" s="447" t="s">
        <v>1</v>
      </c>
      <c r="M11" s="447" t="s">
        <v>2</v>
      </c>
      <c r="N11" s="447" t="s">
        <v>3</v>
      </c>
      <c r="O11" s="447" t="s">
        <v>4</v>
      </c>
      <c r="P11" s="447" t="s">
        <v>5</v>
      </c>
      <c r="Q11" s="447" t="s">
        <v>6</v>
      </c>
      <c r="R11" s="447" t="s">
        <v>7</v>
      </c>
      <c r="S11" s="447" t="s">
        <v>1</v>
      </c>
      <c r="T11" s="447" t="s">
        <v>2</v>
      </c>
      <c r="U11" s="447" t="s">
        <v>3</v>
      </c>
      <c r="V11" s="447" t="s">
        <v>4</v>
      </c>
      <c r="W11" s="447" t="s">
        <v>5</v>
      </c>
      <c r="X11" s="447" t="s">
        <v>6</v>
      </c>
      <c r="Y11" s="447" t="s">
        <v>7</v>
      </c>
      <c r="Z11" s="447" t="s">
        <v>1</v>
      </c>
      <c r="AA11" s="447" t="s">
        <v>2</v>
      </c>
      <c r="AB11" s="447" t="s">
        <v>3</v>
      </c>
      <c r="AC11" s="447" t="s">
        <v>4</v>
      </c>
      <c r="AD11" s="447" t="s">
        <v>5</v>
      </c>
      <c r="AE11" s="447" t="s">
        <v>6</v>
      </c>
      <c r="AF11" s="447"/>
      <c r="AG11" s="448"/>
    </row>
    <row r="12" spans="1:34">
      <c r="A12" s="450" t="s">
        <v>61</v>
      </c>
      <c r="B12" s="451" t="s">
        <v>14</v>
      </c>
      <c r="C12" s="451" t="s">
        <v>14</v>
      </c>
      <c r="D12" s="451" t="s">
        <v>14</v>
      </c>
      <c r="E12" s="452">
        <v>4</v>
      </c>
      <c r="F12" s="452">
        <v>5</v>
      </c>
      <c r="G12" s="452">
        <v>6</v>
      </c>
      <c r="H12" s="813">
        <v>7</v>
      </c>
      <c r="I12" s="813">
        <v>8</v>
      </c>
      <c r="J12" s="452">
        <v>9</v>
      </c>
      <c r="K12" s="452">
        <v>10</v>
      </c>
      <c r="L12" s="452">
        <v>11</v>
      </c>
      <c r="M12" s="452">
        <v>12</v>
      </c>
      <c r="N12" s="452">
        <v>13</v>
      </c>
      <c r="O12" s="813">
        <v>14</v>
      </c>
      <c r="P12" s="813">
        <v>15</v>
      </c>
      <c r="Q12" s="452" t="s">
        <v>66</v>
      </c>
      <c r="R12" s="452">
        <v>17</v>
      </c>
      <c r="S12" s="452">
        <v>18</v>
      </c>
      <c r="T12" s="452">
        <v>19</v>
      </c>
      <c r="U12" s="452">
        <v>20</v>
      </c>
      <c r="V12" s="813">
        <v>21</v>
      </c>
      <c r="W12" s="813">
        <v>22</v>
      </c>
      <c r="X12" s="452">
        <v>23</v>
      </c>
      <c r="Y12" s="452">
        <v>24</v>
      </c>
      <c r="Z12" s="452">
        <v>25</v>
      </c>
      <c r="AA12" s="452">
        <v>26</v>
      </c>
      <c r="AB12" s="452">
        <v>27</v>
      </c>
      <c r="AC12" s="813">
        <v>28</v>
      </c>
      <c r="AD12" s="452"/>
      <c r="AE12" s="452"/>
      <c r="AF12" s="452"/>
      <c r="AG12" s="448"/>
    </row>
    <row r="13" spans="1:34">
      <c r="A13" s="450" t="s">
        <v>24</v>
      </c>
      <c r="B13" s="453">
        <v>1</v>
      </c>
      <c r="C13" s="452">
        <v>2</v>
      </c>
      <c r="D13" s="452">
        <v>3</v>
      </c>
      <c r="E13" s="452">
        <v>4</v>
      </c>
      <c r="F13" s="452">
        <v>5</v>
      </c>
      <c r="G13" s="452">
        <v>6</v>
      </c>
      <c r="H13" s="813">
        <v>7</v>
      </c>
      <c r="I13" s="813">
        <v>8</v>
      </c>
      <c r="J13" s="452">
        <v>9</v>
      </c>
      <c r="K13" s="452">
        <v>10</v>
      </c>
      <c r="L13" s="451" t="s">
        <v>14</v>
      </c>
      <c r="M13" s="451" t="s">
        <v>14</v>
      </c>
      <c r="N13" s="451" t="s">
        <v>14</v>
      </c>
      <c r="O13" s="451" t="s">
        <v>14</v>
      </c>
      <c r="P13" s="451" t="s">
        <v>14</v>
      </c>
      <c r="Q13" s="451" t="s">
        <v>14</v>
      </c>
      <c r="R13" s="452" t="s">
        <v>14</v>
      </c>
      <c r="S13" s="452">
        <v>18</v>
      </c>
      <c r="T13" s="452">
        <v>19</v>
      </c>
      <c r="U13" s="452">
        <v>20</v>
      </c>
      <c r="V13" s="813">
        <v>21</v>
      </c>
      <c r="W13" s="813">
        <v>22</v>
      </c>
      <c r="X13" s="452">
        <v>23</v>
      </c>
      <c r="Y13" s="452">
        <v>24</v>
      </c>
      <c r="Z13" s="452">
        <v>25</v>
      </c>
      <c r="AA13" s="452">
        <v>26</v>
      </c>
      <c r="AB13" s="452">
        <v>27</v>
      </c>
      <c r="AC13" s="813">
        <v>28</v>
      </c>
      <c r="AD13" s="452"/>
      <c r="AE13" s="452"/>
      <c r="AF13" s="452"/>
      <c r="AG13" s="448"/>
    </row>
    <row r="14" spans="1:34">
      <c r="A14" s="450" t="s">
        <v>15</v>
      </c>
      <c r="B14" s="453">
        <v>1</v>
      </c>
      <c r="C14" s="452">
        <v>2</v>
      </c>
      <c r="D14" s="452">
        <v>3</v>
      </c>
      <c r="E14" s="451" t="s">
        <v>14</v>
      </c>
      <c r="F14" s="451" t="s">
        <v>14</v>
      </c>
      <c r="G14" s="451" t="s">
        <v>14</v>
      </c>
      <c r="H14" s="451" t="s">
        <v>14</v>
      </c>
      <c r="I14" s="451" t="s">
        <v>14</v>
      </c>
      <c r="J14" s="451" t="s">
        <v>14</v>
      </c>
      <c r="K14" s="451" t="s">
        <v>14</v>
      </c>
      <c r="L14" s="452">
        <v>11</v>
      </c>
      <c r="M14" s="452">
        <v>12</v>
      </c>
      <c r="N14" s="452">
        <v>13</v>
      </c>
      <c r="O14" s="813">
        <v>14</v>
      </c>
      <c r="P14" s="813">
        <v>15</v>
      </c>
      <c r="Q14" s="452">
        <v>16</v>
      </c>
      <c r="R14" s="452">
        <v>17</v>
      </c>
      <c r="S14" s="452">
        <v>18</v>
      </c>
      <c r="T14" s="452">
        <v>19</v>
      </c>
      <c r="U14" s="452">
        <v>20</v>
      </c>
      <c r="V14" s="813">
        <v>21</v>
      </c>
      <c r="W14" s="813">
        <v>22</v>
      </c>
      <c r="X14" s="452">
        <v>23</v>
      </c>
      <c r="Y14" s="452">
        <v>24</v>
      </c>
      <c r="Z14" s="452">
        <v>25</v>
      </c>
      <c r="AA14" s="452">
        <v>26</v>
      </c>
      <c r="AB14" s="452">
        <v>27</v>
      </c>
      <c r="AC14" s="813">
        <v>28</v>
      </c>
      <c r="AD14" s="452"/>
      <c r="AE14" s="452"/>
      <c r="AF14" s="452"/>
      <c r="AG14" s="448"/>
    </row>
    <row r="15" spans="1:34">
      <c r="A15" s="450" t="s">
        <v>18</v>
      </c>
      <c r="B15" s="453">
        <v>1</v>
      </c>
      <c r="C15" s="452">
        <v>2</v>
      </c>
      <c r="D15" s="452">
        <v>3</v>
      </c>
      <c r="E15" s="452">
        <v>4</v>
      </c>
      <c r="F15" s="452">
        <v>5</v>
      </c>
      <c r="G15" s="452">
        <v>6</v>
      </c>
      <c r="H15" s="813">
        <v>7</v>
      </c>
      <c r="I15" s="813">
        <v>8</v>
      </c>
      <c r="J15" s="452">
        <v>9</v>
      </c>
      <c r="K15" s="452">
        <v>10</v>
      </c>
      <c r="L15" s="452">
        <v>11</v>
      </c>
      <c r="M15" s="452">
        <v>12</v>
      </c>
      <c r="N15" s="452">
        <v>13</v>
      </c>
      <c r="O15" s="813">
        <v>14</v>
      </c>
      <c r="P15" s="813">
        <v>15</v>
      </c>
      <c r="Q15" s="452">
        <v>16</v>
      </c>
      <c r="R15" s="452">
        <v>17</v>
      </c>
      <c r="S15" s="452">
        <v>18</v>
      </c>
      <c r="T15" s="452">
        <v>19</v>
      </c>
      <c r="U15" s="452">
        <v>20</v>
      </c>
      <c r="V15" s="813">
        <v>21</v>
      </c>
      <c r="W15" s="813">
        <v>22</v>
      </c>
      <c r="X15" s="452">
        <v>23</v>
      </c>
      <c r="Y15" s="452">
        <v>24</v>
      </c>
      <c r="Z15" s="452">
        <v>25</v>
      </c>
      <c r="AA15" s="452">
        <v>26</v>
      </c>
      <c r="AB15" s="452">
        <v>27</v>
      </c>
      <c r="AC15" s="813">
        <v>28</v>
      </c>
      <c r="AD15" s="452"/>
      <c r="AE15" s="452"/>
      <c r="AF15" s="452"/>
      <c r="AG15" s="448"/>
    </row>
    <row r="16" spans="1:34">
      <c r="A16" s="450" t="s">
        <v>21</v>
      </c>
      <c r="B16" s="453">
        <v>1</v>
      </c>
      <c r="C16" s="452">
        <v>2</v>
      </c>
      <c r="D16" s="452">
        <v>3</v>
      </c>
      <c r="E16" s="452">
        <v>4</v>
      </c>
      <c r="F16" s="452">
        <v>5</v>
      </c>
      <c r="G16" s="452">
        <v>6</v>
      </c>
      <c r="H16" s="813">
        <v>7</v>
      </c>
      <c r="I16" s="813">
        <v>8</v>
      </c>
      <c r="J16" s="452">
        <v>9</v>
      </c>
      <c r="K16" s="452">
        <v>10</v>
      </c>
      <c r="L16" s="452">
        <v>11</v>
      </c>
      <c r="M16" s="452">
        <v>12</v>
      </c>
      <c r="N16" s="452" t="s">
        <v>9</v>
      </c>
      <c r="O16" s="813">
        <v>14</v>
      </c>
      <c r="P16" s="813">
        <v>15</v>
      </c>
      <c r="Q16" s="452">
        <v>16</v>
      </c>
      <c r="R16" s="831" t="s">
        <v>66</v>
      </c>
      <c r="S16" s="452">
        <v>18</v>
      </c>
      <c r="T16" s="831" t="s">
        <v>66</v>
      </c>
      <c r="U16" s="452">
        <v>20</v>
      </c>
      <c r="V16" s="813">
        <v>21</v>
      </c>
      <c r="W16" s="813">
        <v>22</v>
      </c>
      <c r="X16" s="452">
        <v>23</v>
      </c>
      <c r="Y16" s="452">
        <v>24</v>
      </c>
      <c r="Z16" s="452">
        <v>25</v>
      </c>
      <c r="AA16" s="452">
        <v>26</v>
      </c>
      <c r="AB16" s="452">
        <v>27</v>
      </c>
      <c r="AC16" s="813">
        <v>28</v>
      </c>
      <c r="AD16" s="452"/>
      <c r="AE16" s="452"/>
      <c r="AF16" s="452"/>
      <c r="AG16" s="448"/>
    </row>
    <row r="17" spans="1:33">
      <c r="A17" s="450" t="s">
        <v>62</v>
      </c>
      <c r="B17" s="453">
        <v>1</v>
      </c>
      <c r="C17" s="452">
        <v>2</v>
      </c>
      <c r="D17" s="452">
        <v>3</v>
      </c>
      <c r="E17" s="452">
        <v>4</v>
      </c>
      <c r="F17" s="452">
        <v>5</v>
      </c>
      <c r="G17" s="452">
        <v>6</v>
      </c>
      <c r="H17" s="813">
        <v>7</v>
      </c>
      <c r="I17" s="813">
        <v>8</v>
      </c>
      <c r="J17" s="452">
        <v>9</v>
      </c>
      <c r="K17" s="452">
        <v>10</v>
      </c>
      <c r="L17" s="452">
        <v>11</v>
      </c>
      <c r="M17" s="452">
        <v>12</v>
      </c>
      <c r="N17" s="452">
        <v>13</v>
      </c>
      <c r="O17" s="813">
        <v>14</v>
      </c>
      <c r="P17" s="813">
        <v>15</v>
      </c>
      <c r="Q17" s="452">
        <v>16</v>
      </c>
      <c r="R17" s="452">
        <v>17</v>
      </c>
      <c r="S17" s="451" t="s">
        <v>14</v>
      </c>
      <c r="T17" s="451" t="s">
        <v>14</v>
      </c>
      <c r="U17" s="451" t="s">
        <v>14</v>
      </c>
      <c r="V17" s="451" t="s">
        <v>14</v>
      </c>
      <c r="W17" s="451" t="s">
        <v>14</v>
      </c>
      <c r="X17" s="451" t="s">
        <v>14</v>
      </c>
      <c r="Y17" s="451" t="s">
        <v>14</v>
      </c>
      <c r="Z17" s="452">
        <v>25</v>
      </c>
      <c r="AA17" s="452">
        <v>26</v>
      </c>
      <c r="AB17" s="452">
        <v>27</v>
      </c>
      <c r="AC17" s="813">
        <v>28</v>
      </c>
      <c r="AD17" s="452"/>
      <c r="AE17" s="452"/>
      <c r="AF17" s="452"/>
      <c r="AG17" s="448"/>
    </row>
    <row r="18" spans="1:33">
      <c r="A18" s="450" t="s">
        <v>65</v>
      </c>
      <c r="B18" s="453">
        <v>1</v>
      </c>
      <c r="C18" s="452">
        <v>2</v>
      </c>
      <c r="D18" s="452">
        <v>3</v>
      </c>
      <c r="E18" s="452">
        <v>4</v>
      </c>
      <c r="F18" s="452">
        <v>5</v>
      </c>
      <c r="G18" s="452">
        <v>6</v>
      </c>
      <c r="H18" s="813">
        <v>7</v>
      </c>
      <c r="I18" s="813">
        <v>8</v>
      </c>
      <c r="J18" s="452">
        <v>9</v>
      </c>
      <c r="K18" s="452">
        <v>10</v>
      </c>
      <c r="L18" s="452">
        <v>11</v>
      </c>
      <c r="M18" s="452">
        <v>12</v>
      </c>
      <c r="N18" s="452">
        <v>13</v>
      </c>
      <c r="O18" s="813">
        <v>14</v>
      </c>
      <c r="P18" s="813">
        <v>15</v>
      </c>
      <c r="Q18" s="452">
        <v>16</v>
      </c>
      <c r="R18" s="452">
        <v>17</v>
      </c>
      <c r="S18" s="452">
        <v>18</v>
      </c>
      <c r="T18" s="452">
        <v>19</v>
      </c>
      <c r="U18" s="452">
        <v>20</v>
      </c>
      <c r="V18" s="813">
        <v>21</v>
      </c>
      <c r="W18" s="813">
        <v>22</v>
      </c>
      <c r="X18" s="452">
        <v>23</v>
      </c>
      <c r="Y18" s="452">
        <v>24</v>
      </c>
      <c r="Z18" s="452" t="s">
        <v>14</v>
      </c>
      <c r="AA18" s="452" t="s">
        <v>14</v>
      </c>
      <c r="AB18" s="452" t="s">
        <v>14</v>
      </c>
      <c r="AC18" s="813" t="s">
        <v>14</v>
      </c>
      <c r="AD18" s="452"/>
      <c r="AE18" s="452"/>
      <c r="AF18" s="452"/>
      <c r="AG18" s="448"/>
    </row>
    <row r="19" spans="1:33">
      <c r="A19" s="444">
        <v>46082</v>
      </c>
      <c r="B19" s="897"/>
      <c r="C19" s="897"/>
      <c r="D19" s="897"/>
      <c r="E19" s="897"/>
      <c r="F19" s="897"/>
      <c r="G19" s="897"/>
      <c r="H19" s="897"/>
      <c r="I19" s="897"/>
      <c r="J19" s="897"/>
      <c r="K19" s="897"/>
      <c r="L19" s="897"/>
      <c r="M19" s="897"/>
      <c r="N19" s="897"/>
      <c r="O19" s="897"/>
      <c r="P19" s="897"/>
      <c r="Q19" s="897"/>
      <c r="R19" s="897"/>
      <c r="S19" s="897"/>
      <c r="T19" s="897"/>
      <c r="U19" s="897"/>
      <c r="V19" s="897"/>
      <c r="W19" s="897"/>
      <c r="X19" s="897"/>
      <c r="Y19" s="897"/>
      <c r="Z19" s="897"/>
      <c r="AA19" s="897"/>
      <c r="AB19" s="897"/>
      <c r="AC19" s="897"/>
      <c r="AD19" s="897"/>
      <c r="AE19" s="897"/>
      <c r="AF19" s="897"/>
      <c r="AG19" s="897"/>
    </row>
    <row r="20" spans="1:33">
      <c r="A20" s="446"/>
      <c r="B20" s="447" t="s">
        <v>5</v>
      </c>
      <c r="C20" s="447" t="s">
        <v>6</v>
      </c>
      <c r="D20" s="447" t="s">
        <v>7</v>
      </c>
      <c r="E20" s="447" t="s">
        <v>1</v>
      </c>
      <c r="F20" s="447" t="s">
        <v>2</v>
      </c>
      <c r="G20" s="447" t="s">
        <v>3</v>
      </c>
      <c r="H20" s="447" t="s">
        <v>4</v>
      </c>
      <c r="I20" s="447" t="s">
        <v>5</v>
      </c>
      <c r="J20" s="447" t="s">
        <v>6</v>
      </c>
      <c r="K20" s="447" t="s">
        <v>7</v>
      </c>
      <c r="L20" s="447" t="s">
        <v>1</v>
      </c>
      <c r="M20" s="447" t="s">
        <v>2</v>
      </c>
      <c r="N20" s="447" t="s">
        <v>3</v>
      </c>
      <c r="O20" s="447" t="s">
        <v>4</v>
      </c>
      <c r="P20" s="447" t="s">
        <v>5</v>
      </c>
      <c r="Q20" s="447" t="s">
        <v>6</v>
      </c>
      <c r="R20" s="447" t="s">
        <v>7</v>
      </c>
      <c r="S20" s="447" t="s">
        <v>1</v>
      </c>
      <c r="T20" s="447" t="s">
        <v>2</v>
      </c>
      <c r="U20" s="447" t="s">
        <v>3</v>
      </c>
      <c r="V20" s="447" t="s">
        <v>4</v>
      </c>
      <c r="W20" s="447" t="s">
        <v>5</v>
      </c>
      <c r="X20" s="447" t="s">
        <v>6</v>
      </c>
      <c r="Y20" s="447" t="s">
        <v>7</v>
      </c>
      <c r="Z20" s="447" t="s">
        <v>1</v>
      </c>
      <c r="AA20" s="447" t="s">
        <v>2</v>
      </c>
      <c r="AB20" s="447" t="s">
        <v>3</v>
      </c>
      <c r="AC20" s="447" t="s">
        <v>4</v>
      </c>
      <c r="AD20" s="447" t="s">
        <v>5</v>
      </c>
      <c r="AE20" s="447" t="s">
        <v>6</v>
      </c>
      <c r="AF20" s="447" t="s">
        <v>7</v>
      </c>
      <c r="AG20" s="448"/>
    </row>
    <row r="21" spans="1:33">
      <c r="A21" s="450" t="s">
        <v>61</v>
      </c>
      <c r="B21" s="567">
        <v>1</v>
      </c>
      <c r="C21" s="452">
        <v>2</v>
      </c>
      <c r="D21" s="452">
        <v>3</v>
      </c>
      <c r="E21" s="452">
        <v>4</v>
      </c>
      <c r="F21" s="452">
        <v>5</v>
      </c>
      <c r="G21" s="452">
        <v>6</v>
      </c>
      <c r="H21" s="567">
        <v>7</v>
      </c>
      <c r="I21" s="567">
        <v>8</v>
      </c>
      <c r="J21" s="452">
        <v>9</v>
      </c>
      <c r="K21" s="452">
        <v>10</v>
      </c>
      <c r="L21" s="452">
        <v>11</v>
      </c>
      <c r="M21" s="452">
        <v>12</v>
      </c>
      <c r="N21" s="452">
        <v>13</v>
      </c>
      <c r="O21" s="567">
        <v>14</v>
      </c>
      <c r="P21" s="567">
        <v>15</v>
      </c>
      <c r="Q21" s="452">
        <v>16</v>
      </c>
      <c r="R21" s="452">
        <v>17</v>
      </c>
      <c r="S21" s="452">
        <v>18</v>
      </c>
      <c r="T21" s="452">
        <v>19</v>
      </c>
      <c r="U21" s="452">
        <v>20</v>
      </c>
      <c r="V21" s="567">
        <v>21</v>
      </c>
      <c r="W21" s="567">
        <v>22</v>
      </c>
      <c r="X21" s="452">
        <v>23</v>
      </c>
      <c r="Y21" s="452">
        <v>24</v>
      </c>
      <c r="Z21" s="451" t="s">
        <v>14</v>
      </c>
      <c r="AA21" s="451" t="s">
        <v>14</v>
      </c>
      <c r="AB21" s="451" t="s">
        <v>14</v>
      </c>
      <c r="AC21" s="451" t="s">
        <v>14</v>
      </c>
      <c r="AD21" s="451" t="s">
        <v>14</v>
      </c>
      <c r="AE21" s="451" t="s">
        <v>14</v>
      </c>
      <c r="AF21" s="451" t="s">
        <v>14</v>
      </c>
      <c r="AG21" s="448"/>
    </row>
    <row r="22" spans="1:33">
      <c r="A22" s="450" t="s">
        <v>24</v>
      </c>
      <c r="B22" s="567">
        <v>1</v>
      </c>
      <c r="C22" s="452">
        <v>2</v>
      </c>
      <c r="D22" s="452">
        <v>3</v>
      </c>
      <c r="E22" s="452">
        <v>4</v>
      </c>
      <c r="F22" s="452">
        <v>5</v>
      </c>
      <c r="G22" s="452">
        <v>6</v>
      </c>
      <c r="H22" s="567">
        <v>7</v>
      </c>
      <c r="I22" s="567">
        <v>8</v>
      </c>
      <c r="J22" s="452">
        <v>9</v>
      </c>
      <c r="K22" s="452">
        <v>10</v>
      </c>
      <c r="L22" s="831" t="s">
        <v>66</v>
      </c>
      <c r="M22" s="452">
        <v>12</v>
      </c>
      <c r="N22" s="452">
        <v>13</v>
      </c>
      <c r="O22" s="567">
        <v>14</v>
      </c>
      <c r="P22" s="567">
        <v>15</v>
      </c>
      <c r="Q22" s="831" t="s">
        <v>66</v>
      </c>
      <c r="R22" s="452">
        <v>17</v>
      </c>
      <c r="S22" s="451" t="s">
        <v>14</v>
      </c>
      <c r="T22" s="451" t="s">
        <v>14</v>
      </c>
      <c r="U22" s="451" t="s">
        <v>14</v>
      </c>
      <c r="V22" s="451" t="s">
        <v>14</v>
      </c>
      <c r="W22" s="451" t="s">
        <v>14</v>
      </c>
      <c r="X22" s="451" t="s">
        <v>14</v>
      </c>
      <c r="Y22" s="451" t="s">
        <v>14</v>
      </c>
      <c r="Z22" s="452">
        <v>25</v>
      </c>
      <c r="AA22" s="452">
        <v>26</v>
      </c>
      <c r="AB22" s="452">
        <v>27</v>
      </c>
      <c r="AC22" s="567">
        <v>28</v>
      </c>
      <c r="AD22" s="567">
        <v>29</v>
      </c>
      <c r="AE22" s="452">
        <v>30</v>
      </c>
      <c r="AF22" s="452">
        <v>31</v>
      </c>
      <c r="AG22" s="448"/>
    </row>
    <row r="23" spans="1:33">
      <c r="A23" s="450" t="s">
        <v>15</v>
      </c>
      <c r="B23" s="567">
        <v>1</v>
      </c>
      <c r="C23" s="452">
        <v>2</v>
      </c>
      <c r="D23" s="452">
        <v>3</v>
      </c>
      <c r="E23" s="452">
        <v>4</v>
      </c>
      <c r="F23" s="452">
        <v>5</v>
      </c>
      <c r="G23" s="452">
        <v>6</v>
      </c>
      <c r="H23" s="567">
        <v>7</v>
      </c>
      <c r="I23" s="567">
        <v>8</v>
      </c>
      <c r="J23" s="452">
        <v>9</v>
      </c>
      <c r="K23" s="452">
        <v>10</v>
      </c>
      <c r="L23" s="451" t="s">
        <v>14</v>
      </c>
      <c r="M23" s="451" t="s">
        <v>14</v>
      </c>
      <c r="N23" s="451" t="s">
        <v>14</v>
      </c>
      <c r="O23" s="451" t="s">
        <v>14</v>
      </c>
      <c r="P23" s="451" t="s">
        <v>14</v>
      </c>
      <c r="Q23" s="451" t="s">
        <v>14</v>
      </c>
      <c r="R23" s="451" t="s">
        <v>14</v>
      </c>
      <c r="S23" s="452">
        <v>18</v>
      </c>
      <c r="T23" s="452">
        <v>19</v>
      </c>
      <c r="U23" s="452">
        <v>20</v>
      </c>
      <c r="V23" s="567">
        <v>21</v>
      </c>
      <c r="W23" s="567">
        <v>22</v>
      </c>
      <c r="X23" s="452">
        <v>23</v>
      </c>
      <c r="Y23" s="452">
        <v>24</v>
      </c>
      <c r="Z23" s="452">
        <v>25</v>
      </c>
      <c r="AA23" s="452">
        <v>26</v>
      </c>
      <c r="AB23" s="452">
        <v>27</v>
      </c>
      <c r="AC23" s="567">
        <v>28</v>
      </c>
      <c r="AD23" s="567">
        <v>29</v>
      </c>
      <c r="AE23" s="452">
        <v>30</v>
      </c>
      <c r="AF23" s="452">
        <v>31</v>
      </c>
      <c r="AG23" s="448"/>
    </row>
    <row r="24" spans="1:33">
      <c r="A24" s="450" t="s">
        <v>18</v>
      </c>
      <c r="B24" s="567">
        <v>1</v>
      </c>
      <c r="C24" s="452">
        <v>2</v>
      </c>
      <c r="D24" s="452">
        <v>3</v>
      </c>
      <c r="E24" s="451" t="s">
        <v>14</v>
      </c>
      <c r="F24" s="451" t="s">
        <v>14</v>
      </c>
      <c r="G24" s="451" t="s">
        <v>14</v>
      </c>
      <c r="H24" s="451" t="s">
        <v>14</v>
      </c>
      <c r="I24" s="451" t="s">
        <v>14</v>
      </c>
      <c r="J24" s="451" t="s">
        <v>14</v>
      </c>
      <c r="K24" s="451" t="s">
        <v>14</v>
      </c>
      <c r="L24" s="452">
        <v>11</v>
      </c>
      <c r="M24" s="452">
        <v>12</v>
      </c>
      <c r="N24" s="831" t="s">
        <v>66</v>
      </c>
      <c r="O24" s="567">
        <v>14</v>
      </c>
      <c r="P24" s="567">
        <v>15</v>
      </c>
      <c r="Q24" s="452">
        <v>16</v>
      </c>
      <c r="R24" s="452">
        <v>17</v>
      </c>
      <c r="S24" s="452">
        <v>18</v>
      </c>
      <c r="T24" s="452">
        <v>19</v>
      </c>
      <c r="U24" s="452">
        <v>20</v>
      </c>
      <c r="V24" s="567">
        <v>21</v>
      </c>
      <c r="W24" s="567">
        <v>22</v>
      </c>
      <c r="X24" s="452">
        <v>23</v>
      </c>
      <c r="Y24" s="452">
        <v>24</v>
      </c>
      <c r="Z24" s="452">
        <v>25</v>
      </c>
      <c r="AA24" s="452">
        <v>26</v>
      </c>
      <c r="AB24" s="452">
        <v>27</v>
      </c>
      <c r="AC24" s="567">
        <v>28</v>
      </c>
      <c r="AD24" s="567">
        <v>29</v>
      </c>
      <c r="AE24" s="452" t="s">
        <v>9</v>
      </c>
      <c r="AF24" s="452" t="s">
        <v>9</v>
      </c>
      <c r="AG24" s="448"/>
    </row>
    <row r="25" spans="1:33">
      <c r="A25" s="450" t="s">
        <v>21</v>
      </c>
      <c r="B25" s="567">
        <v>1</v>
      </c>
      <c r="C25" s="452">
        <v>2</v>
      </c>
      <c r="D25" s="452">
        <v>3</v>
      </c>
      <c r="E25" s="452">
        <v>4</v>
      </c>
      <c r="F25" s="452">
        <v>5</v>
      </c>
      <c r="G25" s="452">
        <v>6</v>
      </c>
      <c r="H25" s="567">
        <v>7</v>
      </c>
      <c r="I25" s="567">
        <v>8</v>
      </c>
      <c r="J25" s="452">
        <v>9</v>
      </c>
      <c r="K25" s="452">
        <v>10</v>
      </c>
      <c r="L25" s="452">
        <v>11</v>
      </c>
      <c r="M25" s="452">
        <v>12</v>
      </c>
      <c r="N25" s="452">
        <v>13</v>
      </c>
      <c r="O25" s="567">
        <v>14</v>
      </c>
      <c r="P25" s="567">
        <v>15</v>
      </c>
      <c r="Q25" s="452">
        <v>16</v>
      </c>
      <c r="R25" s="452">
        <v>17</v>
      </c>
      <c r="S25" s="452">
        <v>18</v>
      </c>
      <c r="T25" s="452">
        <v>19</v>
      </c>
      <c r="U25" s="452">
        <v>20</v>
      </c>
      <c r="V25" s="567">
        <v>21</v>
      </c>
      <c r="W25" s="567">
        <v>22</v>
      </c>
      <c r="X25" s="452">
        <v>23</v>
      </c>
      <c r="Y25" s="452">
        <v>24</v>
      </c>
      <c r="Z25" s="452">
        <v>25</v>
      </c>
      <c r="AA25" s="452">
        <v>26</v>
      </c>
      <c r="AB25" s="452">
        <v>27</v>
      </c>
      <c r="AC25" s="567">
        <v>28</v>
      </c>
      <c r="AD25" s="567">
        <v>29</v>
      </c>
      <c r="AE25" s="452" t="s">
        <v>9</v>
      </c>
      <c r="AF25" s="452" t="s">
        <v>9</v>
      </c>
      <c r="AG25" s="448"/>
    </row>
    <row r="26" spans="1:33">
      <c r="A26" s="450" t="s">
        <v>62</v>
      </c>
      <c r="B26" s="567">
        <v>1</v>
      </c>
      <c r="C26" s="452">
        <v>2</v>
      </c>
      <c r="D26" s="452">
        <v>3</v>
      </c>
      <c r="E26" s="452">
        <v>4</v>
      </c>
      <c r="F26" s="452">
        <v>5</v>
      </c>
      <c r="G26" s="452">
        <v>6</v>
      </c>
      <c r="H26" s="567">
        <v>7</v>
      </c>
      <c r="I26" s="567">
        <v>8</v>
      </c>
      <c r="J26" s="452">
        <v>9</v>
      </c>
      <c r="K26" s="452">
        <v>10</v>
      </c>
      <c r="L26" s="452">
        <v>11</v>
      </c>
      <c r="M26" s="452">
        <v>12</v>
      </c>
      <c r="N26" s="452">
        <v>13</v>
      </c>
      <c r="O26" s="567">
        <v>14</v>
      </c>
      <c r="P26" s="567">
        <v>15</v>
      </c>
      <c r="Q26" s="452">
        <v>16</v>
      </c>
      <c r="R26" s="452">
        <v>17</v>
      </c>
      <c r="S26" s="452">
        <v>18</v>
      </c>
      <c r="T26" s="452">
        <v>19</v>
      </c>
      <c r="U26" s="452">
        <v>20</v>
      </c>
      <c r="V26" s="567">
        <v>21</v>
      </c>
      <c r="W26" s="567">
        <v>22</v>
      </c>
      <c r="X26" s="452">
        <v>23</v>
      </c>
      <c r="Y26" s="452">
        <v>24</v>
      </c>
      <c r="Z26" s="452">
        <v>25</v>
      </c>
      <c r="AA26" s="452">
        <v>26</v>
      </c>
      <c r="AB26" s="452">
        <v>27</v>
      </c>
      <c r="AC26" s="567">
        <v>28</v>
      </c>
      <c r="AD26" s="567">
        <v>29</v>
      </c>
      <c r="AE26" s="452">
        <v>30</v>
      </c>
      <c r="AF26" s="452">
        <v>31</v>
      </c>
      <c r="AG26" s="448"/>
    </row>
    <row r="27" spans="1:33">
      <c r="A27" s="450" t="s">
        <v>65</v>
      </c>
      <c r="B27" s="567" t="s">
        <v>14</v>
      </c>
      <c r="C27" s="452" t="s">
        <v>14</v>
      </c>
      <c r="D27" s="452" t="s">
        <v>14</v>
      </c>
      <c r="E27" s="452">
        <v>4</v>
      </c>
      <c r="F27" s="452">
        <v>5</v>
      </c>
      <c r="G27" s="452">
        <v>6</v>
      </c>
      <c r="H27" s="567">
        <v>7</v>
      </c>
      <c r="I27" s="567">
        <v>8</v>
      </c>
      <c r="J27" s="452">
        <v>9</v>
      </c>
      <c r="K27" s="452">
        <v>10</v>
      </c>
      <c r="L27" s="452">
        <v>11</v>
      </c>
      <c r="M27" s="452">
        <v>12</v>
      </c>
      <c r="N27" s="452">
        <v>13</v>
      </c>
      <c r="O27" s="567">
        <v>14</v>
      </c>
      <c r="P27" s="567">
        <v>15</v>
      </c>
      <c r="Q27" s="452">
        <v>16</v>
      </c>
      <c r="R27" s="452">
        <v>17</v>
      </c>
      <c r="S27" s="452">
        <v>18</v>
      </c>
      <c r="T27" s="452">
        <v>19</v>
      </c>
      <c r="U27" s="452">
        <v>20</v>
      </c>
      <c r="V27" s="567">
        <v>21</v>
      </c>
      <c r="W27" s="567">
        <v>22</v>
      </c>
      <c r="X27" s="452">
        <v>23</v>
      </c>
      <c r="Y27" s="452">
        <v>24</v>
      </c>
      <c r="Z27" s="452">
        <v>25</v>
      </c>
      <c r="AA27" s="452">
        <v>26</v>
      </c>
      <c r="AB27" s="452">
        <v>27</v>
      </c>
      <c r="AC27" s="567">
        <v>28</v>
      </c>
      <c r="AD27" s="567">
        <v>29</v>
      </c>
      <c r="AE27" s="452">
        <v>30</v>
      </c>
      <c r="AF27" s="452">
        <v>31</v>
      </c>
      <c r="AG27" s="448"/>
    </row>
    <row r="28" spans="1:33">
      <c r="A28" s="444">
        <v>46113</v>
      </c>
      <c r="B28" s="897"/>
      <c r="C28" s="897"/>
      <c r="D28" s="897"/>
      <c r="E28" s="897"/>
      <c r="F28" s="897"/>
      <c r="G28" s="897"/>
      <c r="H28" s="897"/>
      <c r="I28" s="897"/>
      <c r="J28" s="897"/>
      <c r="K28" s="897"/>
      <c r="L28" s="897"/>
      <c r="M28" s="897"/>
      <c r="N28" s="897"/>
      <c r="O28" s="897"/>
      <c r="P28" s="897"/>
      <c r="Q28" s="897"/>
      <c r="R28" s="897"/>
      <c r="S28" s="897"/>
      <c r="T28" s="897"/>
      <c r="U28" s="897"/>
      <c r="V28" s="897"/>
      <c r="W28" s="897"/>
      <c r="X28" s="897"/>
      <c r="Y28" s="897"/>
      <c r="Z28" s="897"/>
      <c r="AA28" s="897"/>
      <c r="AB28" s="897"/>
      <c r="AC28" s="897"/>
      <c r="AD28" s="897"/>
      <c r="AE28" s="897"/>
      <c r="AF28" s="897"/>
      <c r="AG28" s="897"/>
    </row>
    <row r="29" spans="1:33">
      <c r="A29" s="446"/>
      <c r="B29" s="447" t="s">
        <v>1</v>
      </c>
      <c r="C29" s="447" t="s">
        <v>2</v>
      </c>
      <c r="D29" s="447" t="s">
        <v>3</v>
      </c>
      <c r="E29" s="447" t="s">
        <v>4</v>
      </c>
      <c r="F29" s="447" t="s">
        <v>5</v>
      </c>
      <c r="G29" s="447" t="s">
        <v>6</v>
      </c>
      <c r="H29" s="447" t="s">
        <v>7</v>
      </c>
      <c r="I29" s="447" t="s">
        <v>1</v>
      </c>
      <c r="J29" s="447" t="s">
        <v>2</v>
      </c>
      <c r="K29" s="447" t="s">
        <v>3</v>
      </c>
      <c r="L29" s="447" t="s">
        <v>4</v>
      </c>
      <c r="M29" s="447" t="s">
        <v>5</v>
      </c>
      <c r="N29" s="447" t="s">
        <v>6</v>
      </c>
      <c r="O29" s="447" t="s">
        <v>7</v>
      </c>
      <c r="P29" s="447" t="s">
        <v>1</v>
      </c>
      <c r="Q29" s="447" t="s">
        <v>2</v>
      </c>
      <c r="R29" s="447" t="s">
        <v>3</v>
      </c>
      <c r="S29" s="447" t="s">
        <v>4</v>
      </c>
      <c r="T29" s="447" t="s">
        <v>5</v>
      </c>
      <c r="U29" s="447" t="s">
        <v>6</v>
      </c>
      <c r="V29" s="447" t="s">
        <v>7</v>
      </c>
      <c r="W29" s="447" t="s">
        <v>1</v>
      </c>
      <c r="X29" s="447" t="s">
        <v>2</v>
      </c>
      <c r="Y29" s="447" t="s">
        <v>3</v>
      </c>
      <c r="Z29" s="447" t="s">
        <v>4</v>
      </c>
      <c r="AA29" s="447" t="s">
        <v>5</v>
      </c>
      <c r="AB29" s="447" t="s">
        <v>6</v>
      </c>
      <c r="AC29" s="447" t="s">
        <v>7</v>
      </c>
      <c r="AD29" s="447" t="s">
        <v>1</v>
      </c>
      <c r="AE29" s="447" t="s">
        <v>2</v>
      </c>
      <c r="AF29" s="447"/>
      <c r="AG29" s="448"/>
    </row>
    <row r="30" spans="1:33">
      <c r="A30" s="450" t="s">
        <v>61</v>
      </c>
      <c r="B30" s="451" t="s">
        <v>14</v>
      </c>
      <c r="C30" s="451" t="s">
        <v>14</v>
      </c>
      <c r="D30" s="451" t="s">
        <v>14</v>
      </c>
      <c r="E30" s="451" t="s">
        <v>14</v>
      </c>
      <c r="F30" s="451" t="s">
        <v>14</v>
      </c>
      <c r="G30" s="451" t="s">
        <v>14</v>
      </c>
      <c r="H30" s="451" t="s">
        <v>14</v>
      </c>
      <c r="I30" s="452">
        <v>8</v>
      </c>
      <c r="J30" s="452">
        <v>9</v>
      </c>
      <c r="K30" s="452">
        <v>10</v>
      </c>
      <c r="L30" s="567">
        <v>11</v>
      </c>
      <c r="M30" s="567">
        <v>12</v>
      </c>
      <c r="N30" s="452">
        <v>13</v>
      </c>
      <c r="O30" s="452">
        <v>14</v>
      </c>
      <c r="P30" s="452">
        <v>15</v>
      </c>
      <c r="Q30" s="452">
        <v>16</v>
      </c>
      <c r="R30" s="452">
        <v>17</v>
      </c>
      <c r="S30" s="567">
        <v>18</v>
      </c>
      <c r="T30" s="567">
        <v>19</v>
      </c>
      <c r="U30" s="452">
        <v>20</v>
      </c>
      <c r="V30" s="452">
        <v>21</v>
      </c>
      <c r="W30" s="452">
        <v>22</v>
      </c>
      <c r="X30" s="452">
        <v>23</v>
      </c>
      <c r="Y30" s="452">
        <v>24</v>
      </c>
      <c r="Z30" s="567">
        <v>25</v>
      </c>
      <c r="AA30" s="567">
        <v>26</v>
      </c>
      <c r="AB30" s="452">
        <v>27</v>
      </c>
      <c r="AC30" s="452">
        <v>28</v>
      </c>
      <c r="AD30" s="452">
        <v>29</v>
      </c>
      <c r="AE30" s="452">
        <v>30</v>
      </c>
      <c r="AF30" s="452"/>
      <c r="AG30" s="448"/>
    </row>
    <row r="31" spans="1:33">
      <c r="A31" s="450" t="s">
        <v>24</v>
      </c>
      <c r="B31" s="452">
        <v>1</v>
      </c>
      <c r="C31" s="451">
        <v>2</v>
      </c>
      <c r="D31" s="451">
        <v>3</v>
      </c>
      <c r="E31" s="567">
        <v>4</v>
      </c>
      <c r="F31" s="567">
        <v>5</v>
      </c>
      <c r="G31" s="831" t="s">
        <v>66</v>
      </c>
      <c r="H31" s="831" t="s">
        <v>66</v>
      </c>
      <c r="I31" s="452">
        <v>8</v>
      </c>
      <c r="J31" s="452">
        <v>9</v>
      </c>
      <c r="K31" s="452">
        <v>10</v>
      </c>
      <c r="L31" s="567">
        <v>11</v>
      </c>
      <c r="M31" s="567">
        <v>12</v>
      </c>
      <c r="N31" s="831" t="s">
        <v>66</v>
      </c>
      <c r="O31" s="452">
        <v>14</v>
      </c>
      <c r="P31" s="451" t="s">
        <v>14</v>
      </c>
      <c r="Q31" s="451" t="s">
        <v>14</v>
      </c>
      <c r="R31" s="451" t="s">
        <v>14</v>
      </c>
      <c r="S31" s="451" t="s">
        <v>14</v>
      </c>
      <c r="T31" s="451" t="s">
        <v>14</v>
      </c>
      <c r="U31" s="451" t="s">
        <v>14</v>
      </c>
      <c r="V31" s="451" t="s">
        <v>14</v>
      </c>
      <c r="W31" s="452">
        <v>22</v>
      </c>
      <c r="X31" s="452">
        <v>23</v>
      </c>
      <c r="Y31" s="452">
        <v>24</v>
      </c>
      <c r="Z31" s="567">
        <v>25</v>
      </c>
      <c r="AA31" s="567">
        <v>26</v>
      </c>
      <c r="AB31" s="452">
        <v>27</v>
      </c>
      <c r="AC31" s="452">
        <v>28</v>
      </c>
      <c r="AD31" s="452" t="s">
        <v>14</v>
      </c>
      <c r="AE31" s="452" t="s">
        <v>14</v>
      </c>
      <c r="AF31" s="452"/>
      <c r="AG31" s="448"/>
    </row>
    <row r="32" spans="1:33">
      <c r="A32" s="450" t="s">
        <v>15</v>
      </c>
      <c r="B32" s="452">
        <v>1</v>
      </c>
      <c r="C32" s="451">
        <v>2</v>
      </c>
      <c r="D32" s="451">
        <v>3</v>
      </c>
      <c r="E32" s="567">
        <v>4</v>
      </c>
      <c r="F32" s="567">
        <v>5</v>
      </c>
      <c r="G32" s="831" t="s">
        <v>66</v>
      </c>
      <c r="H32" s="831" t="s">
        <v>66</v>
      </c>
      <c r="I32" s="451" t="s">
        <v>14</v>
      </c>
      <c r="J32" s="451" t="s">
        <v>14</v>
      </c>
      <c r="K32" s="451" t="s">
        <v>14</v>
      </c>
      <c r="L32" s="451" t="s">
        <v>14</v>
      </c>
      <c r="M32" s="451" t="s">
        <v>14</v>
      </c>
      <c r="N32" s="451" t="s">
        <v>14</v>
      </c>
      <c r="O32" s="451" t="s">
        <v>14</v>
      </c>
      <c r="P32" s="452">
        <v>15</v>
      </c>
      <c r="Q32" s="452">
        <v>16</v>
      </c>
      <c r="R32" s="452">
        <v>17</v>
      </c>
      <c r="S32" s="567">
        <v>18</v>
      </c>
      <c r="T32" s="567">
        <v>19</v>
      </c>
      <c r="U32" s="452">
        <v>20</v>
      </c>
      <c r="V32" s="452">
        <v>21</v>
      </c>
      <c r="W32" s="452">
        <v>22</v>
      </c>
      <c r="X32" s="452">
        <v>23</v>
      </c>
      <c r="Y32" s="452">
        <v>24</v>
      </c>
      <c r="Z32" s="567">
        <v>25</v>
      </c>
      <c r="AA32" s="567">
        <v>26</v>
      </c>
      <c r="AB32" s="452">
        <v>27</v>
      </c>
      <c r="AC32" s="452">
        <v>28</v>
      </c>
      <c r="AD32" s="452">
        <v>29</v>
      </c>
      <c r="AE32" s="831" t="s">
        <v>66</v>
      </c>
      <c r="AF32" s="452"/>
      <c r="AG32" s="448"/>
    </row>
    <row r="33" spans="1:33">
      <c r="A33" s="450" t="s">
        <v>18</v>
      </c>
      <c r="B33" s="452" t="s">
        <v>9</v>
      </c>
      <c r="C33" s="451">
        <v>2</v>
      </c>
      <c r="D33" s="451">
        <v>3</v>
      </c>
      <c r="E33" s="567">
        <v>4</v>
      </c>
      <c r="F33" s="567">
        <v>5</v>
      </c>
      <c r="G33" s="452">
        <v>6</v>
      </c>
      <c r="H33" s="452">
        <v>7</v>
      </c>
      <c r="I33" s="452">
        <v>8</v>
      </c>
      <c r="J33" s="452">
        <v>9</v>
      </c>
      <c r="K33" s="452">
        <v>10</v>
      </c>
      <c r="L33" s="567">
        <v>11</v>
      </c>
      <c r="M33" s="567">
        <v>12</v>
      </c>
      <c r="N33" s="452">
        <v>13</v>
      </c>
      <c r="O33" s="452">
        <v>14</v>
      </c>
      <c r="P33" s="452">
        <v>15</v>
      </c>
      <c r="Q33" s="452">
        <v>16</v>
      </c>
      <c r="R33" s="452">
        <v>17</v>
      </c>
      <c r="S33" s="567">
        <v>18</v>
      </c>
      <c r="T33" s="567">
        <v>19</v>
      </c>
      <c r="U33" s="452">
        <v>20</v>
      </c>
      <c r="V33" s="452">
        <v>21</v>
      </c>
      <c r="W33" s="452">
        <v>22</v>
      </c>
      <c r="X33" s="452">
        <v>23</v>
      </c>
      <c r="Y33" s="452">
        <v>24</v>
      </c>
      <c r="Z33" s="567">
        <v>25</v>
      </c>
      <c r="AA33" s="567">
        <v>26</v>
      </c>
      <c r="AB33" s="452">
        <v>27</v>
      </c>
      <c r="AC33" s="452">
        <v>28</v>
      </c>
      <c r="AD33" s="452">
        <v>29</v>
      </c>
      <c r="AE33" s="452">
        <v>30</v>
      </c>
      <c r="AF33" s="452"/>
      <c r="AG33" s="448"/>
    </row>
    <row r="34" spans="1:33">
      <c r="A34" s="450" t="s">
        <v>21</v>
      </c>
      <c r="B34" s="452" t="s">
        <v>9</v>
      </c>
      <c r="C34" s="451">
        <v>2</v>
      </c>
      <c r="D34" s="451">
        <v>3</v>
      </c>
      <c r="E34" s="567">
        <v>4</v>
      </c>
      <c r="F34" s="567">
        <v>5</v>
      </c>
      <c r="G34" s="452">
        <v>6</v>
      </c>
      <c r="H34" s="452">
        <v>7</v>
      </c>
      <c r="I34" s="452">
        <v>8</v>
      </c>
      <c r="J34" s="452">
        <v>9</v>
      </c>
      <c r="K34" s="452">
        <v>10</v>
      </c>
      <c r="L34" s="567">
        <v>11</v>
      </c>
      <c r="M34" s="567">
        <v>12</v>
      </c>
      <c r="N34" s="452">
        <v>13</v>
      </c>
      <c r="O34" s="452">
        <v>14</v>
      </c>
      <c r="P34" s="452">
        <v>15</v>
      </c>
      <c r="Q34" s="452">
        <v>16</v>
      </c>
      <c r="R34" s="452">
        <v>17</v>
      </c>
      <c r="S34" s="567">
        <v>18</v>
      </c>
      <c r="T34" s="567">
        <v>19</v>
      </c>
      <c r="U34" s="452">
        <v>20</v>
      </c>
      <c r="V34" s="452">
        <v>21</v>
      </c>
      <c r="W34" s="452">
        <v>22</v>
      </c>
      <c r="X34" s="452">
        <v>23</v>
      </c>
      <c r="Y34" s="452">
        <v>24</v>
      </c>
      <c r="Z34" s="567">
        <v>25</v>
      </c>
      <c r="AA34" s="567">
        <v>26</v>
      </c>
      <c r="AB34" s="452">
        <v>27</v>
      </c>
      <c r="AC34" s="452">
        <v>28</v>
      </c>
      <c r="AD34" s="452">
        <v>29</v>
      </c>
      <c r="AE34" s="452">
        <v>30</v>
      </c>
      <c r="AF34" s="452"/>
      <c r="AG34" s="448"/>
    </row>
    <row r="35" spans="1:33">
      <c r="A35" s="450" t="s">
        <v>62</v>
      </c>
      <c r="B35" s="452">
        <v>1</v>
      </c>
      <c r="C35" s="451">
        <v>2</v>
      </c>
      <c r="D35" s="451">
        <v>3</v>
      </c>
      <c r="E35" s="567">
        <v>4</v>
      </c>
      <c r="F35" s="567">
        <v>5</v>
      </c>
      <c r="G35" s="452">
        <v>6</v>
      </c>
      <c r="H35" s="452">
        <v>7</v>
      </c>
      <c r="I35" s="452">
        <v>8</v>
      </c>
      <c r="J35" s="452">
        <v>9</v>
      </c>
      <c r="K35" s="452">
        <v>10</v>
      </c>
      <c r="L35" s="567">
        <v>11</v>
      </c>
      <c r="M35" s="567">
        <v>12</v>
      </c>
      <c r="N35" s="452">
        <v>13</v>
      </c>
      <c r="O35" s="452">
        <v>14</v>
      </c>
      <c r="P35" s="452">
        <v>15</v>
      </c>
      <c r="Q35" s="452">
        <v>16</v>
      </c>
      <c r="R35" s="452">
        <v>17</v>
      </c>
      <c r="S35" s="567">
        <v>18</v>
      </c>
      <c r="T35" s="567">
        <v>19</v>
      </c>
      <c r="U35" s="452">
        <v>20</v>
      </c>
      <c r="V35" s="452">
        <v>21</v>
      </c>
      <c r="W35" s="451" t="s">
        <v>14</v>
      </c>
      <c r="X35" s="451" t="s">
        <v>14</v>
      </c>
      <c r="Y35" s="451" t="s">
        <v>14</v>
      </c>
      <c r="Z35" s="451" t="s">
        <v>14</v>
      </c>
      <c r="AA35" s="451" t="s">
        <v>14</v>
      </c>
      <c r="AB35" s="451" t="s">
        <v>14</v>
      </c>
      <c r="AC35" s="451" t="s">
        <v>14</v>
      </c>
      <c r="AD35" s="452">
        <v>29</v>
      </c>
      <c r="AE35" s="452">
        <v>30</v>
      </c>
      <c r="AF35" s="452"/>
      <c r="AG35" s="448"/>
    </row>
    <row r="36" spans="1:33">
      <c r="A36" s="450" t="s">
        <v>65</v>
      </c>
      <c r="B36" s="452">
        <v>1</v>
      </c>
      <c r="C36" s="451">
        <v>2</v>
      </c>
      <c r="D36" s="451">
        <v>3</v>
      </c>
      <c r="E36" s="567">
        <v>4</v>
      </c>
      <c r="F36" s="567">
        <v>5</v>
      </c>
      <c r="G36" s="452">
        <v>6</v>
      </c>
      <c r="H36" s="452">
        <v>7</v>
      </c>
      <c r="I36" s="452">
        <v>8</v>
      </c>
      <c r="J36" s="831" t="s">
        <v>66</v>
      </c>
      <c r="K36" s="831" t="s">
        <v>66</v>
      </c>
      <c r="L36" s="567">
        <v>11</v>
      </c>
      <c r="M36" s="567">
        <v>12</v>
      </c>
      <c r="N36" s="452">
        <v>13</v>
      </c>
      <c r="O36" s="452">
        <v>14</v>
      </c>
      <c r="P36" s="452">
        <v>15</v>
      </c>
      <c r="Q36" s="831" t="s">
        <v>66</v>
      </c>
      <c r="R36" s="452">
        <v>17</v>
      </c>
      <c r="S36" s="567">
        <v>18</v>
      </c>
      <c r="T36" s="567">
        <v>19</v>
      </c>
      <c r="U36" s="452">
        <v>20</v>
      </c>
      <c r="V36" s="452">
        <v>21</v>
      </c>
      <c r="W36" s="452">
        <v>22</v>
      </c>
      <c r="X36" s="452">
        <v>23</v>
      </c>
      <c r="Y36" s="452">
        <v>24</v>
      </c>
      <c r="Z36" s="567">
        <v>25</v>
      </c>
      <c r="AA36" s="567">
        <v>26</v>
      </c>
      <c r="AB36" s="452" t="s">
        <v>9</v>
      </c>
      <c r="AC36" s="452" t="s">
        <v>9</v>
      </c>
      <c r="AD36" s="452" t="s">
        <v>9</v>
      </c>
      <c r="AE36" s="452" t="s">
        <v>9</v>
      </c>
      <c r="AF36" s="452"/>
      <c r="AG36" s="448"/>
    </row>
    <row r="37" spans="1:33">
      <c r="A37" s="444">
        <v>46143</v>
      </c>
      <c r="B37" s="897"/>
      <c r="C37" s="897"/>
      <c r="D37" s="897"/>
      <c r="E37" s="897"/>
      <c r="F37" s="897"/>
      <c r="G37" s="897"/>
      <c r="H37" s="897"/>
      <c r="I37" s="897"/>
      <c r="J37" s="897"/>
      <c r="K37" s="897"/>
      <c r="L37" s="897"/>
      <c r="M37" s="897"/>
      <c r="N37" s="897"/>
      <c r="O37" s="897"/>
      <c r="P37" s="897"/>
      <c r="Q37" s="897"/>
      <c r="R37" s="897"/>
      <c r="S37" s="897"/>
      <c r="T37" s="897"/>
      <c r="U37" s="897"/>
      <c r="V37" s="897"/>
      <c r="W37" s="897"/>
      <c r="X37" s="897"/>
      <c r="Y37" s="897"/>
      <c r="Z37" s="897"/>
      <c r="AA37" s="897"/>
      <c r="AB37" s="897"/>
      <c r="AC37" s="897"/>
      <c r="AD37" s="897"/>
      <c r="AE37" s="897"/>
      <c r="AF37" s="897"/>
      <c r="AG37" s="897"/>
    </row>
    <row r="38" spans="1:33">
      <c r="A38" s="446"/>
      <c r="B38" s="447" t="s">
        <v>3</v>
      </c>
      <c r="C38" s="447" t="s">
        <v>4</v>
      </c>
      <c r="D38" s="447" t="s">
        <v>5</v>
      </c>
      <c r="E38" s="447" t="s">
        <v>6</v>
      </c>
      <c r="F38" s="447" t="s">
        <v>7</v>
      </c>
      <c r="G38" s="447" t="s">
        <v>1</v>
      </c>
      <c r="H38" s="447" t="s">
        <v>2</v>
      </c>
      <c r="I38" s="447" t="s">
        <v>3</v>
      </c>
      <c r="J38" s="447" t="s">
        <v>4</v>
      </c>
      <c r="K38" s="447" t="s">
        <v>5</v>
      </c>
      <c r="L38" s="447" t="s">
        <v>6</v>
      </c>
      <c r="M38" s="447" t="s">
        <v>7</v>
      </c>
      <c r="N38" s="447" t="s">
        <v>1</v>
      </c>
      <c r="O38" s="447" t="s">
        <v>2</v>
      </c>
      <c r="P38" s="447" t="s">
        <v>3</v>
      </c>
      <c r="Q38" s="447" t="s">
        <v>4</v>
      </c>
      <c r="R38" s="447" t="s">
        <v>5</v>
      </c>
      <c r="S38" s="447" t="s">
        <v>6</v>
      </c>
      <c r="T38" s="447" t="s">
        <v>7</v>
      </c>
      <c r="U38" s="447" t="s">
        <v>1</v>
      </c>
      <c r="V38" s="447" t="s">
        <v>2</v>
      </c>
      <c r="W38" s="447" t="s">
        <v>3</v>
      </c>
      <c r="X38" s="447" t="s">
        <v>4</v>
      </c>
      <c r="Y38" s="447" t="s">
        <v>5</v>
      </c>
      <c r="Z38" s="447" t="s">
        <v>6</v>
      </c>
      <c r="AA38" s="447" t="s">
        <v>7</v>
      </c>
      <c r="AB38" s="447" t="s">
        <v>1</v>
      </c>
      <c r="AC38" s="447" t="s">
        <v>2</v>
      </c>
      <c r="AD38" s="447" t="s">
        <v>3</v>
      </c>
      <c r="AE38" s="447" t="s">
        <v>4</v>
      </c>
      <c r="AF38" s="447" t="s">
        <v>5</v>
      </c>
      <c r="AG38" s="448"/>
    </row>
    <row r="39" spans="1:33">
      <c r="A39" s="450" t="s">
        <v>61</v>
      </c>
      <c r="B39" s="451">
        <v>1</v>
      </c>
      <c r="C39" s="451">
        <v>2</v>
      </c>
      <c r="D39" s="567">
        <v>3</v>
      </c>
      <c r="E39" s="452">
        <v>4</v>
      </c>
      <c r="F39" s="452">
        <v>5</v>
      </c>
      <c r="G39" s="452">
        <v>6</v>
      </c>
      <c r="H39" s="452">
        <v>7</v>
      </c>
      <c r="I39" s="452">
        <v>8</v>
      </c>
      <c r="J39" s="567">
        <v>9</v>
      </c>
      <c r="K39" s="567">
        <v>10</v>
      </c>
      <c r="L39" s="452">
        <v>11</v>
      </c>
      <c r="M39" s="452">
        <v>12</v>
      </c>
      <c r="N39" s="452">
        <v>13</v>
      </c>
      <c r="O39" s="452">
        <v>14</v>
      </c>
      <c r="P39" s="451">
        <v>15</v>
      </c>
      <c r="Q39" s="567">
        <v>16</v>
      </c>
      <c r="R39" s="567">
        <v>17</v>
      </c>
      <c r="S39" s="452">
        <v>18</v>
      </c>
      <c r="T39" s="452">
        <v>19</v>
      </c>
      <c r="U39" s="451" t="s">
        <v>14</v>
      </c>
      <c r="V39" s="451" t="s">
        <v>14</v>
      </c>
      <c r="W39" s="451" t="s">
        <v>14</v>
      </c>
      <c r="X39" s="451" t="s">
        <v>14</v>
      </c>
      <c r="Y39" s="451" t="s">
        <v>14</v>
      </c>
      <c r="Z39" s="451" t="s">
        <v>14</v>
      </c>
      <c r="AA39" s="451" t="s">
        <v>14</v>
      </c>
      <c r="AB39" s="452">
        <v>27</v>
      </c>
      <c r="AC39" s="452">
        <v>28</v>
      </c>
      <c r="AD39" s="452">
        <v>29</v>
      </c>
      <c r="AE39" s="567">
        <v>30</v>
      </c>
      <c r="AF39" s="567">
        <v>31</v>
      </c>
      <c r="AG39" s="457"/>
    </row>
    <row r="40" spans="1:33">
      <c r="A40" s="450" t="s">
        <v>24</v>
      </c>
      <c r="B40" s="451" t="s">
        <v>14</v>
      </c>
      <c r="C40" s="451" t="s">
        <v>14</v>
      </c>
      <c r="D40" s="567" t="s">
        <v>14</v>
      </c>
      <c r="E40" s="452" t="s">
        <v>14</v>
      </c>
      <c r="F40" s="452" t="s">
        <v>14</v>
      </c>
      <c r="G40" s="452">
        <v>6</v>
      </c>
      <c r="H40" s="452">
        <v>7</v>
      </c>
      <c r="I40" s="452">
        <v>8</v>
      </c>
      <c r="J40" s="567">
        <v>9</v>
      </c>
      <c r="K40" s="567">
        <v>10</v>
      </c>
      <c r="L40" s="452">
        <v>11</v>
      </c>
      <c r="M40" s="452">
        <v>12</v>
      </c>
      <c r="N40" s="452">
        <v>13</v>
      </c>
      <c r="O40" s="452">
        <v>14</v>
      </c>
      <c r="P40" s="451">
        <v>15</v>
      </c>
      <c r="Q40" s="567">
        <v>16</v>
      </c>
      <c r="R40" s="567">
        <v>17</v>
      </c>
      <c r="S40" s="452">
        <v>18</v>
      </c>
      <c r="T40" s="452">
        <v>19</v>
      </c>
      <c r="U40" s="452">
        <v>20</v>
      </c>
      <c r="V40" s="452">
        <v>21</v>
      </c>
      <c r="W40" s="452">
        <v>22</v>
      </c>
      <c r="X40" s="567">
        <v>23</v>
      </c>
      <c r="Y40" s="567">
        <v>24</v>
      </c>
      <c r="Z40" s="452">
        <v>25</v>
      </c>
      <c r="AA40" s="452">
        <v>26</v>
      </c>
      <c r="AB40" s="452">
        <v>27</v>
      </c>
      <c r="AC40" s="452">
        <v>28</v>
      </c>
      <c r="AD40" s="452">
        <v>29</v>
      </c>
      <c r="AE40" s="567">
        <v>30</v>
      </c>
      <c r="AF40" s="567">
        <v>31</v>
      </c>
      <c r="AG40" s="457"/>
    </row>
    <row r="41" spans="1:33">
      <c r="A41" s="450" t="s">
        <v>15</v>
      </c>
      <c r="B41" s="451">
        <v>1</v>
      </c>
      <c r="C41" s="451">
        <v>2</v>
      </c>
      <c r="D41" s="567">
        <v>3</v>
      </c>
      <c r="E41" s="452">
        <v>4</v>
      </c>
      <c r="F41" s="452">
        <v>5</v>
      </c>
      <c r="G41" s="452">
        <v>6</v>
      </c>
      <c r="H41" s="452">
        <v>7</v>
      </c>
      <c r="I41" s="452">
        <v>8</v>
      </c>
      <c r="J41" s="567">
        <v>9</v>
      </c>
      <c r="K41" s="567">
        <v>10</v>
      </c>
      <c r="L41" s="452">
        <v>11</v>
      </c>
      <c r="M41" s="452">
        <v>12</v>
      </c>
      <c r="N41" s="451" t="s">
        <v>14</v>
      </c>
      <c r="O41" s="451" t="s">
        <v>14</v>
      </c>
      <c r="P41" s="451" t="s">
        <v>14</v>
      </c>
      <c r="Q41" s="451" t="s">
        <v>14</v>
      </c>
      <c r="R41" s="451" t="s">
        <v>14</v>
      </c>
      <c r="S41" s="451" t="s">
        <v>14</v>
      </c>
      <c r="T41" s="451" t="s">
        <v>14</v>
      </c>
      <c r="U41" s="452">
        <v>20</v>
      </c>
      <c r="V41" s="452">
        <v>21</v>
      </c>
      <c r="W41" s="452">
        <v>22</v>
      </c>
      <c r="X41" s="567">
        <v>23</v>
      </c>
      <c r="Y41" s="567">
        <v>24</v>
      </c>
      <c r="Z41" s="452">
        <v>25</v>
      </c>
      <c r="AA41" s="452">
        <v>26</v>
      </c>
      <c r="AB41" s="452">
        <v>27</v>
      </c>
      <c r="AC41" s="452">
        <v>28</v>
      </c>
      <c r="AD41" s="452">
        <v>29</v>
      </c>
      <c r="AE41" s="567">
        <v>30</v>
      </c>
      <c r="AF41" s="567">
        <v>31</v>
      </c>
      <c r="AG41" s="457"/>
    </row>
    <row r="42" spans="1:33">
      <c r="A42" s="450" t="s">
        <v>18</v>
      </c>
      <c r="B42" s="451">
        <v>1</v>
      </c>
      <c r="C42" s="451">
        <v>2</v>
      </c>
      <c r="D42" s="567">
        <v>3</v>
      </c>
      <c r="E42" s="452">
        <v>4</v>
      </c>
      <c r="F42" s="452">
        <v>5</v>
      </c>
      <c r="G42" s="451" t="s">
        <v>14</v>
      </c>
      <c r="H42" s="451" t="s">
        <v>14</v>
      </c>
      <c r="I42" s="451" t="s">
        <v>14</v>
      </c>
      <c r="J42" s="451" t="s">
        <v>14</v>
      </c>
      <c r="K42" s="451" t="s">
        <v>14</v>
      </c>
      <c r="L42" s="451" t="s">
        <v>14</v>
      </c>
      <c r="M42" s="451" t="s">
        <v>14</v>
      </c>
      <c r="N42" s="452">
        <v>13</v>
      </c>
      <c r="O42" s="452">
        <v>14</v>
      </c>
      <c r="P42" s="451">
        <v>15</v>
      </c>
      <c r="Q42" s="567">
        <v>16</v>
      </c>
      <c r="R42" s="567">
        <v>17</v>
      </c>
      <c r="S42" s="452">
        <v>18</v>
      </c>
      <c r="T42" s="452">
        <v>19</v>
      </c>
      <c r="U42" s="452">
        <v>20</v>
      </c>
      <c r="V42" s="452">
        <v>21</v>
      </c>
      <c r="W42" s="452">
        <v>22</v>
      </c>
      <c r="X42" s="567">
        <v>23</v>
      </c>
      <c r="Y42" s="567">
        <v>24</v>
      </c>
      <c r="Z42" s="452">
        <v>25</v>
      </c>
      <c r="AA42" s="452">
        <v>26</v>
      </c>
      <c r="AB42" s="452" t="s">
        <v>14</v>
      </c>
      <c r="AC42" s="452" t="s">
        <v>14</v>
      </c>
      <c r="AD42" s="452" t="s">
        <v>14</v>
      </c>
      <c r="AE42" s="567" t="s">
        <v>14</v>
      </c>
      <c r="AF42" s="567" t="s">
        <v>14</v>
      </c>
      <c r="AG42" s="457"/>
    </row>
    <row r="43" spans="1:33">
      <c r="A43" s="450" t="s">
        <v>21</v>
      </c>
      <c r="B43" s="451">
        <v>1</v>
      </c>
      <c r="C43" s="451">
        <v>2</v>
      </c>
      <c r="D43" s="567">
        <v>3</v>
      </c>
      <c r="E43" s="452">
        <v>4</v>
      </c>
      <c r="F43" s="452">
        <v>5</v>
      </c>
      <c r="G43" s="452">
        <v>6</v>
      </c>
      <c r="H43" s="452">
        <v>7</v>
      </c>
      <c r="I43" s="452">
        <v>8</v>
      </c>
      <c r="J43" s="567">
        <v>9</v>
      </c>
      <c r="K43" s="567">
        <v>10</v>
      </c>
      <c r="L43" s="452">
        <v>11</v>
      </c>
      <c r="M43" s="452">
        <v>12</v>
      </c>
      <c r="N43" s="452">
        <v>13</v>
      </c>
      <c r="O43" s="452">
        <v>14</v>
      </c>
      <c r="P43" s="451">
        <v>15</v>
      </c>
      <c r="Q43" s="567">
        <v>16</v>
      </c>
      <c r="R43" s="567">
        <v>17</v>
      </c>
      <c r="S43" s="452">
        <v>18</v>
      </c>
      <c r="T43" s="452">
        <v>19</v>
      </c>
      <c r="U43" s="452">
        <v>20</v>
      </c>
      <c r="V43" s="452">
        <v>21</v>
      </c>
      <c r="W43" s="452">
        <v>22</v>
      </c>
      <c r="X43" s="567">
        <v>23</v>
      </c>
      <c r="Y43" s="567">
        <v>24</v>
      </c>
      <c r="Z43" s="452">
        <v>25</v>
      </c>
      <c r="AA43" s="452">
        <v>26</v>
      </c>
      <c r="AB43" s="452">
        <v>27</v>
      </c>
      <c r="AC43" s="452">
        <v>28</v>
      </c>
      <c r="AD43" s="452">
        <v>29</v>
      </c>
      <c r="AE43" s="567">
        <v>30</v>
      </c>
      <c r="AF43" s="567">
        <v>31</v>
      </c>
      <c r="AG43" s="457"/>
    </row>
    <row r="44" spans="1:33">
      <c r="A44" s="450" t="s">
        <v>62</v>
      </c>
      <c r="B44" s="451">
        <v>1</v>
      </c>
      <c r="C44" s="451">
        <v>2</v>
      </c>
      <c r="D44" s="567">
        <v>3</v>
      </c>
      <c r="E44" s="452">
        <v>4</v>
      </c>
      <c r="F44" s="452">
        <v>5</v>
      </c>
      <c r="G44" s="452">
        <v>6</v>
      </c>
      <c r="H44" s="452">
        <v>7</v>
      </c>
      <c r="I44" s="452">
        <v>8</v>
      </c>
      <c r="J44" s="567">
        <v>9</v>
      </c>
      <c r="K44" s="567">
        <v>10</v>
      </c>
      <c r="L44" s="452">
        <v>11</v>
      </c>
      <c r="M44" s="452">
        <v>12</v>
      </c>
      <c r="N44" s="452">
        <v>13</v>
      </c>
      <c r="O44" s="452">
        <v>14</v>
      </c>
      <c r="P44" s="451">
        <v>15</v>
      </c>
      <c r="Q44" s="567">
        <v>16</v>
      </c>
      <c r="R44" s="567">
        <v>17</v>
      </c>
      <c r="S44" s="452">
        <v>18</v>
      </c>
      <c r="T44" s="452">
        <v>19</v>
      </c>
      <c r="U44" s="452">
        <v>20</v>
      </c>
      <c r="V44" s="452">
        <v>21</v>
      </c>
      <c r="W44" s="452">
        <v>22</v>
      </c>
      <c r="X44" s="567">
        <v>23</v>
      </c>
      <c r="Y44" s="567">
        <v>24</v>
      </c>
      <c r="Z44" s="452">
        <v>25</v>
      </c>
      <c r="AA44" s="452">
        <v>26</v>
      </c>
      <c r="AB44" s="452">
        <v>27</v>
      </c>
      <c r="AC44" s="452">
        <v>28</v>
      </c>
      <c r="AD44" s="452">
        <v>29</v>
      </c>
      <c r="AE44" s="567">
        <v>30</v>
      </c>
      <c r="AF44" s="567">
        <v>31</v>
      </c>
      <c r="AG44" s="457"/>
    </row>
    <row r="45" spans="1:33">
      <c r="A45" s="450" t="s">
        <v>65</v>
      </c>
      <c r="B45" s="451">
        <v>1</v>
      </c>
      <c r="C45" s="451">
        <v>2</v>
      </c>
      <c r="D45" s="567">
        <v>3</v>
      </c>
      <c r="E45" s="452">
        <v>4</v>
      </c>
      <c r="F45" s="452">
        <v>5</v>
      </c>
      <c r="G45" s="452">
        <v>6</v>
      </c>
      <c r="H45" s="452">
        <v>7</v>
      </c>
      <c r="I45" s="452">
        <v>8</v>
      </c>
      <c r="J45" s="567">
        <v>9</v>
      </c>
      <c r="K45" s="567">
        <v>10</v>
      </c>
      <c r="L45" s="452">
        <v>11</v>
      </c>
      <c r="M45" s="452">
        <v>12</v>
      </c>
      <c r="N45" s="452">
        <v>13</v>
      </c>
      <c r="O45" s="452">
        <v>14</v>
      </c>
      <c r="P45" s="451">
        <v>15</v>
      </c>
      <c r="Q45" s="567">
        <v>16</v>
      </c>
      <c r="R45" s="567">
        <v>17</v>
      </c>
      <c r="S45" s="452">
        <v>18</v>
      </c>
      <c r="T45" s="452">
        <v>19</v>
      </c>
      <c r="U45" s="452">
        <v>20</v>
      </c>
      <c r="V45" s="452">
        <v>21</v>
      </c>
      <c r="W45" s="452">
        <v>22</v>
      </c>
      <c r="X45" s="567">
        <v>23</v>
      </c>
      <c r="Y45" s="567">
        <v>24</v>
      </c>
      <c r="Z45" s="452">
        <v>25</v>
      </c>
      <c r="AA45" s="452">
        <v>26</v>
      </c>
      <c r="AB45" s="452">
        <v>27</v>
      </c>
      <c r="AC45" s="452">
        <v>28</v>
      </c>
      <c r="AD45" s="452">
        <v>29</v>
      </c>
      <c r="AE45" s="567">
        <v>30</v>
      </c>
      <c r="AF45" s="567">
        <v>31</v>
      </c>
      <c r="AG45" s="457"/>
    </row>
    <row r="46" spans="1:33">
      <c r="A46" s="444">
        <v>46174</v>
      </c>
      <c r="B46" s="897"/>
      <c r="C46" s="897"/>
      <c r="D46" s="897"/>
      <c r="E46" s="897"/>
      <c r="F46" s="897"/>
      <c r="G46" s="897"/>
      <c r="H46" s="897"/>
      <c r="I46" s="897"/>
      <c r="J46" s="897"/>
      <c r="K46" s="897"/>
      <c r="L46" s="897"/>
      <c r="M46" s="897"/>
      <c r="N46" s="897"/>
      <c r="O46" s="897"/>
      <c r="P46" s="897"/>
      <c r="Q46" s="897"/>
      <c r="R46" s="897"/>
      <c r="S46" s="897"/>
      <c r="T46" s="897"/>
      <c r="U46" s="897"/>
      <c r="V46" s="897"/>
      <c r="W46" s="897"/>
      <c r="X46" s="897"/>
      <c r="Y46" s="897"/>
      <c r="Z46" s="897"/>
      <c r="AA46" s="897"/>
      <c r="AB46" s="897"/>
      <c r="AC46" s="897"/>
      <c r="AD46" s="897"/>
      <c r="AE46" s="897"/>
      <c r="AF46" s="897"/>
      <c r="AG46" s="897"/>
    </row>
    <row r="47" spans="1:33">
      <c r="A47" s="446"/>
      <c r="B47" s="447" t="s">
        <v>6</v>
      </c>
      <c r="C47" s="447" t="s">
        <v>7</v>
      </c>
      <c r="D47" s="447" t="s">
        <v>1</v>
      </c>
      <c r="E47" s="447" t="s">
        <v>2</v>
      </c>
      <c r="F47" s="447" t="s">
        <v>3</v>
      </c>
      <c r="G47" s="447" t="s">
        <v>4</v>
      </c>
      <c r="H47" s="447" t="s">
        <v>5</v>
      </c>
      <c r="I47" s="447" t="s">
        <v>6</v>
      </c>
      <c r="J47" s="447" t="s">
        <v>7</v>
      </c>
      <c r="K47" s="447" t="s">
        <v>1</v>
      </c>
      <c r="L47" s="447" t="s">
        <v>2</v>
      </c>
      <c r="M47" s="447" t="s">
        <v>3</v>
      </c>
      <c r="N47" s="447" t="s">
        <v>4</v>
      </c>
      <c r="O47" s="447" t="s">
        <v>5</v>
      </c>
      <c r="P47" s="447" t="s">
        <v>6</v>
      </c>
      <c r="Q47" s="447" t="s">
        <v>7</v>
      </c>
      <c r="R47" s="447" t="s">
        <v>1</v>
      </c>
      <c r="S47" s="447" t="s">
        <v>2</v>
      </c>
      <c r="T47" s="447" t="s">
        <v>3</v>
      </c>
      <c r="U47" s="447" t="s">
        <v>4</v>
      </c>
      <c r="V47" s="447" t="s">
        <v>5</v>
      </c>
      <c r="W47" s="447" t="s">
        <v>6</v>
      </c>
      <c r="X47" s="447" t="s">
        <v>7</v>
      </c>
      <c r="Y47" s="447" t="s">
        <v>1</v>
      </c>
      <c r="Z47" s="447" t="s">
        <v>2</v>
      </c>
      <c r="AA47" s="447" t="s">
        <v>3</v>
      </c>
      <c r="AB47" s="447" t="s">
        <v>4</v>
      </c>
      <c r="AC47" s="447" t="s">
        <v>5</v>
      </c>
      <c r="AD47" s="447" t="s">
        <v>6</v>
      </c>
      <c r="AE47" s="447" t="s">
        <v>7</v>
      </c>
      <c r="AF47" s="447"/>
      <c r="AG47" s="448"/>
    </row>
    <row r="48" spans="1:33">
      <c r="A48" s="450" t="s">
        <v>61</v>
      </c>
      <c r="B48" s="452">
        <v>1</v>
      </c>
      <c r="C48" s="452">
        <v>2</v>
      </c>
      <c r="D48" s="452">
        <v>3</v>
      </c>
      <c r="E48" s="452">
        <v>4</v>
      </c>
      <c r="F48" s="452">
        <v>5</v>
      </c>
      <c r="G48" s="567">
        <v>6</v>
      </c>
      <c r="H48" s="567">
        <v>7</v>
      </c>
      <c r="I48" s="452">
        <v>8</v>
      </c>
      <c r="J48" s="452">
        <v>9</v>
      </c>
      <c r="K48" s="452">
        <v>10</v>
      </c>
      <c r="L48" s="452">
        <v>11</v>
      </c>
      <c r="M48" s="452">
        <v>12</v>
      </c>
      <c r="N48" s="567">
        <v>13</v>
      </c>
      <c r="O48" s="567">
        <v>14</v>
      </c>
      <c r="P48" s="452">
        <v>15</v>
      </c>
      <c r="Q48" s="452">
        <v>16</v>
      </c>
      <c r="R48" s="452">
        <v>17</v>
      </c>
      <c r="S48" s="452">
        <v>18</v>
      </c>
      <c r="T48" s="452">
        <v>19</v>
      </c>
      <c r="U48" s="567">
        <v>20</v>
      </c>
      <c r="V48" s="567">
        <v>21</v>
      </c>
      <c r="W48" s="452">
        <v>22</v>
      </c>
      <c r="X48" s="452">
        <v>23</v>
      </c>
      <c r="Y48" s="452">
        <v>24</v>
      </c>
      <c r="Z48" s="452">
        <v>25</v>
      </c>
      <c r="AA48" s="452">
        <v>26</v>
      </c>
      <c r="AB48" s="567">
        <v>27</v>
      </c>
      <c r="AC48" s="567">
        <v>28</v>
      </c>
      <c r="AD48" s="452">
        <v>29</v>
      </c>
      <c r="AE48" s="452">
        <v>30</v>
      </c>
      <c r="AF48" s="452"/>
      <c r="AG48" s="448"/>
    </row>
    <row r="49" spans="1:33">
      <c r="A49" s="450" t="s">
        <v>24</v>
      </c>
      <c r="B49" s="452">
        <v>1</v>
      </c>
      <c r="C49" s="452">
        <v>2</v>
      </c>
      <c r="D49" s="451" t="s">
        <v>14</v>
      </c>
      <c r="E49" s="451" t="s">
        <v>14</v>
      </c>
      <c r="F49" s="451" t="s">
        <v>14</v>
      </c>
      <c r="G49" s="451" t="s">
        <v>14</v>
      </c>
      <c r="H49" s="451" t="s">
        <v>14</v>
      </c>
      <c r="I49" s="451" t="s">
        <v>14</v>
      </c>
      <c r="J49" s="451" t="s">
        <v>14</v>
      </c>
      <c r="K49" s="452">
        <v>10</v>
      </c>
      <c r="L49" s="452">
        <v>11</v>
      </c>
      <c r="M49" s="452">
        <v>12</v>
      </c>
      <c r="N49" s="567">
        <v>13</v>
      </c>
      <c r="O49" s="567">
        <v>14</v>
      </c>
      <c r="P49" s="452">
        <v>15</v>
      </c>
      <c r="Q49" s="452">
        <v>16</v>
      </c>
      <c r="R49" s="452">
        <v>17</v>
      </c>
      <c r="S49" s="452">
        <v>18</v>
      </c>
      <c r="T49" s="452">
        <v>19</v>
      </c>
      <c r="U49" s="567">
        <v>20</v>
      </c>
      <c r="V49" s="567">
        <v>21</v>
      </c>
      <c r="W49" s="452">
        <v>22</v>
      </c>
      <c r="X49" s="452">
        <v>23</v>
      </c>
      <c r="Y49" s="452">
        <v>24</v>
      </c>
      <c r="Z49" s="452">
        <v>25</v>
      </c>
      <c r="AA49" s="452">
        <v>26</v>
      </c>
      <c r="AB49" s="567">
        <v>27</v>
      </c>
      <c r="AC49" s="567">
        <v>28</v>
      </c>
      <c r="AD49" s="452">
        <v>29</v>
      </c>
      <c r="AE49" s="452">
        <v>30</v>
      </c>
      <c r="AF49" s="452"/>
      <c r="AG49" s="448"/>
    </row>
    <row r="50" spans="1:33">
      <c r="A50" s="450" t="s">
        <v>15</v>
      </c>
      <c r="B50" s="452" t="s">
        <v>9</v>
      </c>
      <c r="C50" s="452" t="s">
        <v>9</v>
      </c>
      <c r="D50" s="452" t="s">
        <v>9</v>
      </c>
      <c r="E50" s="452" t="s">
        <v>9</v>
      </c>
      <c r="F50" s="452" t="s">
        <v>9</v>
      </c>
      <c r="G50" s="567">
        <v>6</v>
      </c>
      <c r="H50" s="567">
        <v>7</v>
      </c>
      <c r="I50" s="452">
        <v>8</v>
      </c>
      <c r="J50" s="452">
        <v>9</v>
      </c>
      <c r="K50" s="451" t="s">
        <v>14</v>
      </c>
      <c r="L50" s="451" t="s">
        <v>14</v>
      </c>
      <c r="M50" s="451" t="s">
        <v>14</v>
      </c>
      <c r="N50" s="451" t="s">
        <v>14</v>
      </c>
      <c r="O50" s="451" t="s">
        <v>14</v>
      </c>
      <c r="P50" s="451" t="s">
        <v>14</v>
      </c>
      <c r="Q50" s="451" t="s">
        <v>14</v>
      </c>
      <c r="R50" s="452">
        <v>17</v>
      </c>
      <c r="S50" s="452">
        <v>18</v>
      </c>
      <c r="T50" s="452">
        <v>19</v>
      </c>
      <c r="U50" s="567">
        <v>20</v>
      </c>
      <c r="V50" s="567">
        <v>21</v>
      </c>
      <c r="W50" s="452">
        <v>22</v>
      </c>
      <c r="X50" s="452">
        <v>23</v>
      </c>
      <c r="Y50" s="452">
        <v>24</v>
      </c>
      <c r="Z50" s="452">
        <v>25</v>
      </c>
      <c r="AA50" s="452">
        <v>26</v>
      </c>
      <c r="AB50" s="567">
        <v>27</v>
      </c>
      <c r="AC50" s="567">
        <v>28</v>
      </c>
      <c r="AD50" s="452">
        <v>29</v>
      </c>
      <c r="AE50" s="452">
        <v>30</v>
      </c>
      <c r="AF50" s="452"/>
      <c r="AG50" s="448"/>
    </row>
    <row r="51" spans="1:33">
      <c r="A51" s="450" t="s">
        <v>18</v>
      </c>
      <c r="B51" s="452" t="s">
        <v>14</v>
      </c>
      <c r="C51" s="452" t="s">
        <v>14</v>
      </c>
      <c r="D51" s="452">
        <v>3</v>
      </c>
      <c r="E51" s="452">
        <v>4</v>
      </c>
      <c r="F51" s="452">
        <v>5</v>
      </c>
      <c r="G51" s="567">
        <v>6</v>
      </c>
      <c r="H51" s="567">
        <v>7</v>
      </c>
      <c r="I51" s="452">
        <v>8</v>
      </c>
      <c r="J51" s="452">
        <v>9</v>
      </c>
      <c r="K51" s="452">
        <v>10</v>
      </c>
      <c r="L51" s="452">
        <v>11</v>
      </c>
      <c r="M51" s="452">
        <v>12</v>
      </c>
      <c r="N51" s="567">
        <v>13</v>
      </c>
      <c r="O51" s="567">
        <v>14</v>
      </c>
      <c r="P51" s="831" t="s">
        <v>66</v>
      </c>
      <c r="Q51" s="452">
        <v>16</v>
      </c>
      <c r="R51" s="452">
        <v>17</v>
      </c>
      <c r="S51" s="452">
        <v>18</v>
      </c>
      <c r="T51" s="452">
        <v>19</v>
      </c>
      <c r="U51" s="567">
        <v>20</v>
      </c>
      <c r="V51" s="567">
        <v>21</v>
      </c>
      <c r="W51" s="452">
        <v>22</v>
      </c>
      <c r="X51" s="452">
        <v>23</v>
      </c>
      <c r="Y51" s="452">
        <v>24</v>
      </c>
      <c r="Z51" s="452" t="s">
        <v>9</v>
      </c>
      <c r="AA51" s="452" t="s">
        <v>9</v>
      </c>
      <c r="AB51" s="567">
        <v>27</v>
      </c>
      <c r="AC51" s="567">
        <v>28</v>
      </c>
      <c r="AD51" s="452">
        <v>29</v>
      </c>
      <c r="AE51" s="452">
        <v>30</v>
      </c>
      <c r="AF51" s="452"/>
      <c r="AG51" s="448"/>
    </row>
    <row r="52" spans="1:33">
      <c r="A52" s="450" t="s">
        <v>21</v>
      </c>
      <c r="B52" s="452">
        <v>1</v>
      </c>
      <c r="C52" s="452">
        <v>2</v>
      </c>
      <c r="D52" s="452">
        <v>3</v>
      </c>
      <c r="E52" s="452">
        <v>4</v>
      </c>
      <c r="F52" s="452">
        <v>5</v>
      </c>
      <c r="G52" s="567">
        <v>6</v>
      </c>
      <c r="H52" s="567">
        <v>7</v>
      </c>
      <c r="I52" s="452">
        <v>8</v>
      </c>
      <c r="J52" s="452">
        <v>9</v>
      </c>
      <c r="K52" s="452">
        <v>10</v>
      </c>
      <c r="L52" s="452">
        <v>11</v>
      </c>
      <c r="M52" s="452">
        <v>12</v>
      </c>
      <c r="N52" s="567">
        <v>13</v>
      </c>
      <c r="O52" s="567">
        <v>14</v>
      </c>
      <c r="P52" s="452">
        <v>15</v>
      </c>
      <c r="Q52" s="452">
        <v>16</v>
      </c>
      <c r="R52" s="452">
        <v>17</v>
      </c>
      <c r="S52" s="452">
        <v>18</v>
      </c>
      <c r="T52" s="452">
        <v>19</v>
      </c>
      <c r="U52" s="567">
        <v>20</v>
      </c>
      <c r="V52" s="567">
        <v>21</v>
      </c>
      <c r="W52" s="452">
        <v>22</v>
      </c>
      <c r="X52" s="452">
        <v>23</v>
      </c>
      <c r="Y52" s="452">
        <v>24</v>
      </c>
      <c r="Z52" s="452">
        <v>25</v>
      </c>
      <c r="AA52" s="452">
        <v>26</v>
      </c>
      <c r="AB52" s="567">
        <v>27</v>
      </c>
      <c r="AC52" s="567">
        <v>28</v>
      </c>
      <c r="AD52" s="452" t="s">
        <v>9</v>
      </c>
      <c r="AE52" s="452" t="s">
        <v>9</v>
      </c>
      <c r="AF52" s="452"/>
      <c r="AG52" s="448"/>
    </row>
    <row r="53" spans="1:33">
      <c r="A53" s="450" t="s">
        <v>62</v>
      </c>
      <c r="B53" s="452">
        <v>1</v>
      </c>
      <c r="C53" s="452">
        <v>2</v>
      </c>
      <c r="D53" s="452">
        <v>3</v>
      </c>
      <c r="E53" s="452">
        <v>4</v>
      </c>
      <c r="F53" s="452">
        <v>5</v>
      </c>
      <c r="G53" s="567">
        <v>6</v>
      </c>
      <c r="H53" s="567">
        <v>7</v>
      </c>
      <c r="I53" s="452">
        <v>8</v>
      </c>
      <c r="J53" s="452">
        <v>9</v>
      </c>
      <c r="K53" s="452">
        <v>10</v>
      </c>
      <c r="L53" s="452">
        <v>11</v>
      </c>
      <c r="M53" s="452">
        <v>12</v>
      </c>
      <c r="N53" s="567">
        <v>13</v>
      </c>
      <c r="O53" s="567">
        <v>14</v>
      </c>
      <c r="P53" s="452">
        <v>15</v>
      </c>
      <c r="Q53" s="452">
        <v>16</v>
      </c>
      <c r="R53" s="451" t="s">
        <v>14</v>
      </c>
      <c r="S53" s="451" t="s">
        <v>14</v>
      </c>
      <c r="T53" s="451" t="s">
        <v>14</v>
      </c>
      <c r="U53" s="451" t="s">
        <v>14</v>
      </c>
      <c r="V53" s="451" t="s">
        <v>14</v>
      </c>
      <c r="W53" s="451" t="s">
        <v>14</v>
      </c>
      <c r="X53" s="451" t="s">
        <v>14</v>
      </c>
      <c r="Y53" s="452">
        <v>24</v>
      </c>
      <c r="Z53" s="452">
        <v>25</v>
      </c>
      <c r="AA53" s="452">
        <v>26</v>
      </c>
      <c r="AB53" s="567">
        <v>27</v>
      </c>
      <c r="AC53" s="567">
        <v>28</v>
      </c>
      <c r="AD53" s="452">
        <v>29</v>
      </c>
      <c r="AE53" s="452">
        <v>30</v>
      </c>
      <c r="AF53" s="452"/>
      <c r="AG53" s="448"/>
    </row>
    <row r="54" spans="1:33">
      <c r="A54" s="450" t="s">
        <v>65</v>
      </c>
      <c r="B54" s="452">
        <v>1</v>
      </c>
      <c r="C54" s="452">
        <v>2</v>
      </c>
      <c r="D54" s="452">
        <v>3</v>
      </c>
      <c r="E54" s="452">
        <v>4</v>
      </c>
      <c r="F54" s="452">
        <v>5</v>
      </c>
      <c r="G54" s="567">
        <v>6</v>
      </c>
      <c r="H54" s="567">
        <v>7</v>
      </c>
      <c r="I54" s="452">
        <v>8</v>
      </c>
      <c r="J54" s="452">
        <v>9</v>
      </c>
      <c r="K54" s="452">
        <v>10</v>
      </c>
      <c r="L54" s="452">
        <v>11</v>
      </c>
      <c r="M54" s="452">
        <v>12</v>
      </c>
      <c r="N54" s="567">
        <v>13</v>
      </c>
      <c r="O54" s="567">
        <v>14</v>
      </c>
      <c r="P54" s="452">
        <v>15</v>
      </c>
      <c r="Q54" s="452">
        <v>16</v>
      </c>
      <c r="R54" s="452">
        <v>17</v>
      </c>
      <c r="S54" s="452" t="s">
        <v>9</v>
      </c>
      <c r="T54" s="452" t="s">
        <v>9</v>
      </c>
      <c r="U54" s="567">
        <v>20</v>
      </c>
      <c r="V54" s="567">
        <v>21</v>
      </c>
      <c r="W54" s="452">
        <v>22</v>
      </c>
      <c r="X54" s="452">
        <v>23</v>
      </c>
      <c r="Y54" s="451" t="s">
        <v>14</v>
      </c>
      <c r="Z54" s="451" t="s">
        <v>14</v>
      </c>
      <c r="AA54" s="451" t="s">
        <v>14</v>
      </c>
      <c r="AB54" s="451" t="s">
        <v>14</v>
      </c>
      <c r="AC54" s="451" t="s">
        <v>14</v>
      </c>
      <c r="AD54" s="451" t="s">
        <v>14</v>
      </c>
      <c r="AE54" s="451" t="s">
        <v>14</v>
      </c>
      <c r="AF54" s="452"/>
      <c r="AG54" s="448"/>
    </row>
    <row r="55" spans="1:33">
      <c r="A55" s="444">
        <v>46204</v>
      </c>
      <c r="B55" s="897"/>
      <c r="C55" s="897"/>
      <c r="D55" s="897"/>
      <c r="E55" s="897"/>
      <c r="F55" s="897"/>
      <c r="G55" s="897"/>
      <c r="H55" s="897"/>
      <c r="I55" s="897"/>
      <c r="J55" s="897"/>
      <c r="K55" s="897"/>
      <c r="L55" s="897"/>
      <c r="M55" s="897"/>
      <c r="N55" s="897"/>
      <c r="O55" s="897"/>
      <c r="P55" s="897"/>
      <c r="Q55" s="897"/>
      <c r="R55" s="897"/>
      <c r="S55" s="897"/>
      <c r="T55" s="897"/>
      <c r="U55" s="897"/>
      <c r="V55" s="897"/>
      <c r="W55" s="897"/>
      <c r="X55" s="897"/>
      <c r="Y55" s="897"/>
      <c r="Z55" s="897"/>
      <c r="AA55" s="897"/>
      <c r="AB55" s="897"/>
      <c r="AC55" s="897"/>
      <c r="AD55" s="897"/>
      <c r="AE55" s="897"/>
      <c r="AF55" s="897"/>
      <c r="AG55" s="897"/>
    </row>
    <row r="56" spans="1:33">
      <c r="A56" s="446"/>
      <c r="B56" s="447" t="s">
        <v>1</v>
      </c>
      <c r="C56" s="447" t="s">
        <v>2</v>
      </c>
      <c r="D56" s="447" t="s">
        <v>3</v>
      </c>
      <c r="E56" s="447" t="s">
        <v>4</v>
      </c>
      <c r="F56" s="447" t="s">
        <v>5</v>
      </c>
      <c r="G56" s="447" t="s">
        <v>6</v>
      </c>
      <c r="H56" s="447" t="s">
        <v>7</v>
      </c>
      <c r="I56" s="447" t="s">
        <v>1</v>
      </c>
      <c r="J56" s="447" t="s">
        <v>2</v>
      </c>
      <c r="K56" s="447" t="s">
        <v>3</v>
      </c>
      <c r="L56" s="447" t="s">
        <v>4</v>
      </c>
      <c r="M56" s="447" t="s">
        <v>5</v>
      </c>
      <c r="N56" s="447" t="s">
        <v>6</v>
      </c>
      <c r="O56" s="447" t="s">
        <v>7</v>
      </c>
      <c r="P56" s="447" t="s">
        <v>1</v>
      </c>
      <c r="Q56" s="447" t="s">
        <v>2</v>
      </c>
      <c r="R56" s="447" t="s">
        <v>3</v>
      </c>
      <c r="S56" s="447" t="s">
        <v>4</v>
      </c>
      <c r="T56" s="447" t="s">
        <v>5</v>
      </c>
      <c r="U56" s="447" t="s">
        <v>6</v>
      </c>
      <c r="V56" s="447" t="s">
        <v>7</v>
      </c>
      <c r="W56" s="447" t="s">
        <v>1</v>
      </c>
      <c r="X56" s="447" t="s">
        <v>2</v>
      </c>
      <c r="Y56" s="447" t="s">
        <v>3</v>
      </c>
      <c r="Z56" s="447" t="s">
        <v>4</v>
      </c>
      <c r="AA56" s="447" t="s">
        <v>5</v>
      </c>
      <c r="AB56" s="447" t="s">
        <v>6</v>
      </c>
      <c r="AC56" s="447" t="s">
        <v>7</v>
      </c>
      <c r="AD56" s="447" t="s">
        <v>1</v>
      </c>
      <c r="AE56" s="447" t="s">
        <v>2</v>
      </c>
      <c r="AF56" s="447" t="s">
        <v>3</v>
      </c>
      <c r="AG56" s="448"/>
    </row>
    <row r="57" spans="1:33">
      <c r="A57" s="450" t="s">
        <v>61</v>
      </c>
      <c r="B57" s="452">
        <v>1</v>
      </c>
      <c r="C57" s="452">
        <v>2</v>
      </c>
      <c r="D57" s="452">
        <v>3</v>
      </c>
      <c r="E57" s="567">
        <v>4</v>
      </c>
      <c r="F57" s="567">
        <v>5</v>
      </c>
      <c r="G57" s="452">
        <v>6</v>
      </c>
      <c r="H57" s="452">
        <v>7</v>
      </c>
      <c r="I57" s="451" t="s">
        <v>14</v>
      </c>
      <c r="J57" s="451" t="s">
        <v>14</v>
      </c>
      <c r="K57" s="451" t="s">
        <v>14</v>
      </c>
      <c r="L57" s="451" t="s">
        <v>14</v>
      </c>
      <c r="M57" s="451" t="s">
        <v>14</v>
      </c>
      <c r="N57" s="451" t="s">
        <v>14</v>
      </c>
      <c r="O57" s="451" t="s">
        <v>14</v>
      </c>
      <c r="P57" s="452">
        <v>15</v>
      </c>
      <c r="Q57" s="452">
        <v>16</v>
      </c>
      <c r="R57" s="452">
        <v>17</v>
      </c>
      <c r="S57" s="567">
        <v>18</v>
      </c>
      <c r="T57" s="567">
        <v>19</v>
      </c>
      <c r="U57" s="452">
        <v>20</v>
      </c>
      <c r="V57" s="452">
        <v>21</v>
      </c>
      <c r="W57" s="452">
        <v>22</v>
      </c>
      <c r="X57" s="452">
        <v>23</v>
      </c>
      <c r="Y57" s="452">
        <v>24</v>
      </c>
      <c r="Z57" s="567">
        <v>25</v>
      </c>
      <c r="AA57" s="567">
        <v>26</v>
      </c>
      <c r="AB57" s="452">
        <v>27</v>
      </c>
      <c r="AC57" s="452">
        <v>28</v>
      </c>
      <c r="AD57" s="452">
        <v>29</v>
      </c>
      <c r="AE57" s="452">
        <v>30</v>
      </c>
      <c r="AF57" s="452">
        <v>31</v>
      </c>
      <c r="AG57" s="448"/>
    </row>
    <row r="58" spans="1:33">
      <c r="A58" s="450" t="s">
        <v>24</v>
      </c>
      <c r="B58" s="452">
        <v>1</v>
      </c>
      <c r="C58" s="452">
        <v>2</v>
      </c>
      <c r="D58" s="452">
        <v>3</v>
      </c>
      <c r="E58" s="567">
        <v>4</v>
      </c>
      <c r="F58" s="567">
        <v>5</v>
      </c>
      <c r="G58" s="452" t="s">
        <v>9</v>
      </c>
      <c r="H58" s="452" t="s">
        <v>9</v>
      </c>
      <c r="I58" s="452" t="s">
        <v>9</v>
      </c>
      <c r="J58" s="452" t="s">
        <v>9</v>
      </c>
      <c r="K58" s="452" t="s">
        <v>9</v>
      </c>
      <c r="L58" s="567">
        <v>11</v>
      </c>
      <c r="M58" s="567">
        <v>12</v>
      </c>
      <c r="N58" s="452" t="s">
        <v>9</v>
      </c>
      <c r="O58" s="452" t="s">
        <v>9</v>
      </c>
      <c r="P58" s="452" t="s">
        <v>9</v>
      </c>
      <c r="Q58" s="452" t="s">
        <v>9</v>
      </c>
      <c r="R58" s="452" t="s">
        <v>9</v>
      </c>
      <c r="S58" s="567">
        <v>18</v>
      </c>
      <c r="T58" s="567">
        <v>19</v>
      </c>
      <c r="U58" s="452" t="s">
        <v>9</v>
      </c>
      <c r="V58" s="452" t="s">
        <v>9</v>
      </c>
      <c r="W58" s="452" t="s">
        <v>9</v>
      </c>
      <c r="X58" s="452" t="s">
        <v>9</v>
      </c>
      <c r="Y58" s="452" t="s">
        <v>9</v>
      </c>
      <c r="Z58" s="567">
        <v>25</v>
      </c>
      <c r="AA58" s="567">
        <v>26</v>
      </c>
      <c r="AB58" s="452">
        <v>27</v>
      </c>
      <c r="AC58" s="452">
        <v>28</v>
      </c>
      <c r="AD58" s="452" t="s">
        <v>14</v>
      </c>
      <c r="AE58" s="452" t="s">
        <v>14</v>
      </c>
      <c r="AF58" s="452" t="s">
        <v>14</v>
      </c>
      <c r="AG58" s="448"/>
    </row>
    <row r="59" spans="1:33">
      <c r="A59" s="450" t="s">
        <v>15</v>
      </c>
      <c r="B59" s="451" t="s">
        <v>14</v>
      </c>
      <c r="C59" s="451" t="s">
        <v>14</v>
      </c>
      <c r="D59" s="451" t="s">
        <v>14</v>
      </c>
      <c r="E59" s="451" t="s">
        <v>14</v>
      </c>
      <c r="F59" s="451" t="s">
        <v>14</v>
      </c>
      <c r="G59" s="451" t="s">
        <v>14</v>
      </c>
      <c r="H59" s="451" t="s">
        <v>14</v>
      </c>
      <c r="I59" s="452">
        <v>8</v>
      </c>
      <c r="J59" s="452">
        <v>9</v>
      </c>
      <c r="K59" s="452" t="s">
        <v>9</v>
      </c>
      <c r="L59" s="567">
        <v>11</v>
      </c>
      <c r="M59" s="567">
        <v>12</v>
      </c>
      <c r="N59" s="452" t="s">
        <v>9</v>
      </c>
      <c r="O59" s="452" t="s">
        <v>9</v>
      </c>
      <c r="P59" s="452" t="s">
        <v>9</v>
      </c>
      <c r="Q59" s="452" t="s">
        <v>9</v>
      </c>
      <c r="R59" s="452" t="s">
        <v>9</v>
      </c>
      <c r="S59" s="567">
        <v>18</v>
      </c>
      <c r="T59" s="567">
        <v>19</v>
      </c>
      <c r="U59" s="452" t="s">
        <v>9</v>
      </c>
      <c r="V59" s="452" t="s">
        <v>9</v>
      </c>
      <c r="W59" s="452" t="s">
        <v>9</v>
      </c>
      <c r="X59" s="452" t="s">
        <v>9</v>
      </c>
      <c r="Y59" s="452" t="s">
        <v>9</v>
      </c>
      <c r="Z59" s="567">
        <v>25</v>
      </c>
      <c r="AA59" s="567">
        <v>26</v>
      </c>
      <c r="AB59" s="452" t="s">
        <v>9</v>
      </c>
      <c r="AC59" s="452">
        <v>28</v>
      </c>
      <c r="AD59" s="452">
        <v>29</v>
      </c>
      <c r="AE59" s="452">
        <v>30</v>
      </c>
      <c r="AF59" s="452">
        <v>31</v>
      </c>
      <c r="AG59" s="448"/>
    </row>
    <row r="60" spans="1:33">
      <c r="A60" s="450" t="s">
        <v>18</v>
      </c>
      <c r="B60" s="452">
        <v>1</v>
      </c>
      <c r="C60" s="452">
        <v>2</v>
      </c>
      <c r="D60" s="452">
        <v>3</v>
      </c>
      <c r="E60" s="567">
        <v>4</v>
      </c>
      <c r="F60" s="567">
        <v>5</v>
      </c>
      <c r="G60" s="452">
        <v>6</v>
      </c>
      <c r="H60" s="452">
        <v>7</v>
      </c>
      <c r="I60" s="452">
        <v>8</v>
      </c>
      <c r="J60" s="452">
        <v>9</v>
      </c>
      <c r="K60" s="452">
        <v>10</v>
      </c>
      <c r="L60" s="567">
        <v>11</v>
      </c>
      <c r="M60" s="567">
        <v>12</v>
      </c>
      <c r="N60" s="452">
        <v>13</v>
      </c>
      <c r="O60" s="452">
        <v>14</v>
      </c>
      <c r="P60" s="452">
        <v>15</v>
      </c>
      <c r="Q60" s="452">
        <v>16</v>
      </c>
      <c r="R60" s="452">
        <v>17</v>
      </c>
      <c r="S60" s="567">
        <v>18</v>
      </c>
      <c r="T60" s="567">
        <v>19</v>
      </c>
      <c r="U60" s="452">
        <v>20</v>
      </c>
      <c r="V60" s="452">
        <v>21</v>
      </c>
      <c r="W60" s="451" t="s">
        <v>14</v>
      </c>
      <c r="X60" s="451" t="s">
        <v>14</v>
      </c>
      <c r="Y60" s="451" t="s">
        <v>14</v>
      </c>
      <c r="Z60" s="451" t="s">
        <v>14</v>
      </c>
      <c r="AA60" s="451" t="s">
        <v>14</v>
      </c>
      <c r="AB60" s="451" t="s">
        <v>14</v>
      </c>
      <c r="AC60" s="451" t="s">
        <v>14</v>
      </c>
      <c r="AD60" s="452">
        <v>29</v>
      </c>
      <c r="AE60" s="452">
        <v>30</v>
      </c>
      <c r="AF60" s="452">
        <v>31</v>
      </c>
      <c r="AG60" s="448"/>
    </row>
    <row r="61" spans="1:33">
      <c r="A61" s="450" t="s">
        <v>21</v>
      </c>
      <c r="B61" s="452" t="s">
        <v>9</v>
      </c>
      <c r="C61" s="452" t="s">
        <v>9</v>
      </c>
      <c r="D61" s="452" t="s">
        <v>9</v>
      </c>
      <c r="E61" s="567">
        <v>4</v>
      </c>
      <c r="F61" s="567">
        <v>5</v>
      </c>
      <c r="G61" s="452">
        <v>6</v>
      </c>
      <c r="H61" s="452">
        <v>7</v>
      </c>
      <c r="I61" s="452">
        <v>8</v>
      </c>
      <c r="J61" s="452">
        <v>9</v>
      </c>
      <c r="K61" s="452">
        <v>10</v>
      </c>
      <c r="L61" s="567">
        <v>11</v>
      </c>
      <c r="M61" s="567">
        <v>12</v>
      </c>
      <c r="N61" s="452">
        <v>13</v>
      </c>
      <c r="O61" s="452">
        <v>14</v>
      </c>
      <c r="P61" s="452">
        <v>15</v>
      </c>
      <c r="Q61" s="452">
        <v>16</v>
      </c>
      <c r="R61" s="452">
        <v>17</v>
      </c>
      <c r="S61" s="567">
        <v>18</v>
      </c>
      <c r="T61" s="567">
        <v>19</v>
      </c>
      <c r="U61" s="452">
        <v>20</v>
      </c>
      <c r="V61" s="452">
        <v>21</v>
      </c>
      <c r="W61" s="452">
        <v>22</v>
      </c>
      <c r="X61" s="452">
        <v>23</v>
      </c>
      <c r="Y61" s="452">
        <v>24</v>
      </c>
      <c r="Z61" s="567">
        <v>25</v>
      </c>
      <c r="AA61" s="567">
        <v>26</v>
      </c>
      <c r="AB61" s="452">
        <v>27</v>
      </c>
      <c r="AC61" s="452">
        <v>28</v>
      </c>
      <c r="AD61" s="452" t="s">
        <v>9</v>
      </c>
      <c r="AE61" s="452" t="s">
        <v>9</v>
      </c>
      <c r="AF61" s="452" t="s">
        <v>9</v>
      </c>
      <c r="AG61" s="448"/>
    </row>
    <row r="62" spans="1:33">
      <c r="A62" s="450" t="s">
        <v>62</v>
      </c>
      <c r="B62" s="452">
        <v>1</v>
      </c>
      <c r="C62" s="452">
        <v>2</v>
      </c>
      <c r="D62" s="452">
        <v>3</v>
      </c>
      <c r="E62" s="567">
        <v>4</v>
      </c>
      <c r="F62" s="567">
        <v>5</v>
      </c>
      <c r="G62" s="452">
        <v>6</v>
      </c>
      <c r="H62" s="452">
        <v>7</v>
      </c>
      <c r="I62" s="452">
        <v>8</v>
      </c>
      <c r="J62" s="452">
        <v>9</v>
      </c>
      <c r="K62" s="452">
        <v>10</v>
      </c>
      <c r="L62" s="567">
        <v>11</v>
      </c>
      <c r="M62" s="567">
        <v>12</v>
      </c>
      <c r="N62" s="452">
        <v>13</v>
      </c>
      <c r="O62" s="452">
        <v>14</v>
      </c>
      <c r="P62" s="452">
        <v>15</v>
      </c>
      <c r="Q62" s="452">
        <v>16</v>
      </c>
      <c r="R62" s="452">
        <v>17</v>
      </c>
      <c r="S62" s="567">
        <v>18</v>
      </c>
      <c r="T62" s="567">
        <v>19</v>
      </c>
      <c r="U62" s="452">
        <v>20</v>
      </c>
      <c r="V62" s="452">
        <v>21</v>
      </c>
      <c r="W62" s="452">
        <v>22</v>
      </c>
      <c r="X62" s="452">
        <v>23</v>
      </c>
      <c r="Y62" s="452">
        <v>24</v>
      </c>
      <c r="Z62" s="567">
        <v>25</v>
      </c>
      <c r="AA62" s="567">
        <v>26</v>
      </c>
      <c r="AB62" s="452">
        <v>27</v>
      </c>
      <c r="AC62" s="452">
        <v>28</v>
      </c>
      <c r="AD62" s="452">
        <v>29</v>
      </c>
      <c r="AE62" s="452">
        <v>30</v>
      </c>
      <c r="AF62" s="452">
        <v>31</v>
      </c>
      <c r="AG62" s="448"/>
    </row>
    <row r="63" spans="1:33">
      <c r="A63" s="450" t="s">
        <v>65</v>
      </c>
      <c r="B63" s="452">
        <v>1</v>
      </c>
      <c r="C63" s="452">
        <v>2</v>
      </c>
      <c r="D63" s="452">
        <v>3</v>
      </c>
      <c r="E63" s="567">
        <v>4</v>
      </c>
      <c r="F63" s="567">
        <v>5</v>
      </c>
      <c r="G63" s="452">
        <v>6</v>
      </c>
      <c r="H63" s="452">
        <v>7</v>
      </c>
      <c r="I63" s="452">
        <v>8</v>
      </c>
      <c r="J63" s="452">
        <v>9</v>
      </c>
      <c r="K63" s="452">
        <v>10</v>
      </c>
      <c r="L63" s="567">
        <v>11</v>
      </c>
      <c r="M63" s="567">
        <v>12</v>
      </c>
      <c r="N63" s="452">
        <v>13</v>
      </c>
      <c r="O63" s="452">
        <v>14</v>
      </c>
      <c r="P63" s="452">
        <v>15</v>
      </c>
      <c r="Q63" s="452">
        <v>16</v>
      </c>
      <c r="R63" s="452">
        <v>17</v>
      </c>
      <c r="S63" s="567">
        <v>18</v>
      </c>
      <c r="T63" s="567">
        <v>19</v>
      </c>
      <c r="U63" s="452" t="s">
        <v>9</v>
      </c>
      <c r="V63" s="452">
        <v>21</v>
      </c>
      <c r="W63" s="452">
        <v>22</v>
      </c>
      <c r="X63" s="452">
        <v>23</v>
      </c>
      <c r="Y63" s="452">
        <v>24</v>
      </c>
      <c r="Z63" s="567">
        <v>25</v>
      </c>
      <c r="AA63" s="567">
        <v>26</v>
      </c>
      <c r="AB63" s="452">
        <v>27</v>
      </c>
      <c r="AC63" s="452">
        <v>28</v>
      </c>
      <c r="AD63" s="452">
        <v>29</v>
      </c>
      <c r="AE63" s="452">
        <v>30</v>
      </c>
      <c r="AF63" s="452">
        <v>31</v>
      </c>
      <c r="AG63" s="448"/>
    </row>
    <row r="64" spans="1:33">
      <c r="A64" s="444">
        <v>46235</v>
      </c>
      <c r="B64" s="897"/>
      <c r="C64" s="897"/>
      <c r="D64" s="897"/>
      <c r="E64" s="897"/>
      <c r="F64" s="897"/>
      <c r="G64" s="897"/>
      <c r="H64" s="897"/>
      <c r="I64" s="897"/>
      <c r="J64" s="897"/>
      <c r="K64" s="897"/>
      <c r="L64" s="897"/>
      <c r="M64" s="897"/>
      <c r="N64" s="897"/>
      <c r="O64" s="897"/>
      <c r="P64" s="897"/>
      <c r="Q64" s="897"/>
      <c r="R64" s="897"/>
      <c r="S64" s="897"/>
      <c r="T64" s="897"/>
      <c r="U64" s="897"/>
      <c r="V64" s="897"/>
      <c r="W64" s="897"/>
      <c r="X64" s="897"/>
      <c r="Y64" s="897"/>
      <c r="Z64" s="897"/>
      <c r="AA64" s="897"/>
      <c r="AB64" s="897"/>
      <c r="AC64" s="897"/>
      <c r="AD64" s="897"/>
      <c r="AE64" s="897"/>
      <c r="AF64" s="897"/>
      <c r="AG64" s="897"/>
    </row>
    <row r="65" spans="1:34">
      <c r="A65" s="446"/>
      <c r="B65" s="447" t="s">
        <v>4</v>
      </c>
      <c r="C65" s="447" t="s">
        <v>5</v>
      </c>
      <c r="D65" s="447" t="s">
        <v>6</v>
      </c>
      <c r="E65" s="447" t="s">
        <v>7</v>
      </c>
      <c r="F65" s="447" t="s">
        <v>1</v>
      </c>
      <c r="G65" s="447" t="s">
        <v>2</v>
      </c>
      <c r="H65" s="447" t="s">
        <v>3</v>
      </c>
      <c r="I65" s="447" t="s">
        <v>4</v>
      </c>
      <c r="J65" s="447" t="s">
        <v>5</v>
      </c>
      <c r="K65" s="447" t="s">
        <v>6</v>
      </c>
      <c r="L65" s="447" t="s">
        <v>7</v>
      </c>
      <c r="M65" s="447" t="s">
        <v>1</v>
      </c>
      <c r="N65" s="447" t="s">
        <v>2</v>
      </c>
      <c r="O65" s="447" t="s">
        <v>3</v>
      </c>
      <c r="P65" s="447" t="s">
        <v>4</v>
      </c>
      <c r="Q65" s="447" t="s">
        <v>5</v>
      </c>
      <c r="R65" s="447" t="s">
        <v>6</v>
      </c>
      <c r="S65" s="447" t="s">
        <v>7</v>
      </c>
      <c r="T65" s="447" t="s">
        <v>1</v>
      </c>
      <c r="U65" s="447" t="s">
        <v>2</v>
      </c>
      <c r="V65" s="447" t="s">
        <v>3</v>
      </c>
      <c r="W65" s="447" t="s">
        <v>4</v>
      </c>
      <c r="X65" s="447" t="s">
        <v>5</v>
      </c>
      <c r="Y65" s="447" t="s">
        <v>6</v>
      </c>
      <c r="Z65" s="447" t="s">
        <v>7</v>
      </c>
      <c r="AA65" s="447" t="s">
        <v>1</v>
      </c>
      <c r="AB65" s="447" t="s">
        <v>2</v>
      </c>
      <c r="AC65" s="447" t="s">
        <v>3</v>
      </c>
      <c r="AD65" s="447" t="s">
        <v>4</v>
      </c>
      <c r="AE65" s="447" t="s">
        <v>5</v>
      </c>
      <c r="AF65" s="447" t="s">
        <v>6</v>
      </c>
      <c r="AG65" s="448"/>
    </row>
    <row r="66" spans="1:34">
      <c r="A66" s="450" t="s">
        <v>61</v>
      </c>
      <c r="B66" s="567">
        <v>1</v>
      </c>
      <c r="C66" s="567">
        <v>2</v>
      </c>
      <c r="D66" s="452">
        <v>3</v>
      </c>
      <c r="E66" s="452">
        <v>4</v>
      </c>
      <c r="F66" s="452">
        <v>5</v>
      </c>
      <c r="G66" s="452">
        <v>6</v>
      </c>
      <c r="H66" s="452">
        <v>7</v>
      </c>
      <c r="I66" s="567">
        <v>8</v>
      </c>
      <c r="J66" s="567">
        <v>9</v>
      </c>
      <c r="K66" s="452">
        <v>10</v>
      </c>
      <c r="L66" s="452">
        <v>11</v>
      </c>
      <c r="M66" s="452">
        <v>12</v>
      </c>
      <c r="N66" s="452">
        <v>13</v>
      </c>
      <c r="O66" s="452">
        <v>14</v>
      </c>
      <c r="P66" s="451">
        <v>15</v>
      </c>
      <c r="Q66" s="567">
        <v>16</v>
      </c>
      <c r="R66" s="452">
        <v>17</v>
      </c>
      <c r="S66" s="452">
        <v>18</v>
      </c>
      <c r="T66" s="452">
        <v>19</v>
      </c>
      <c r="U66" s="452">
        <v>20</v>
      </c>
      <c r="V66" s="452">
        <v>21</v>
      </c>
      <c r="W66" s="567">
        <v>22</v>
      </c>
      <c r="X66" s="567">
        <v>23</v>
      </c>
      <c r="Y66" s="452">
        <v>24</v>
      </c>
      <c r="Z66" s="452">
        <v>25</v>
      </c>
      <c r="AA66" s="452">
        <v>26</v>
      </c>
      <c r="AB66" s="452">
        <v>27</v>
      </c>
      <c r="AC66" s="452">
        <v>28</v>
      </c>
      <c r="AD66" s="567">
        <v>29</v>
      </c>
      <c r="AE66" s="567">
        <v>30</v>
      </c>
      <c r="AF66" s="452">
        <v>31</v>
      </c>
      <c r="AG66" s="448"/>
      <c r="AH66" s="448"/>
    </row>
    <row r="67" spans="1:34">
      <c r="A67" s="450" t="s">
        <v>24</v>
      </c>
      <c r="B67" s="567" t="s">
        <v>14</v>
      </c>
      <c r="C67" s="567" t="s">
        <v>14</v>
      </c>
      <c r="D67" s="452" t="s">
        <v>14</v>
      </c>
      <c r="E67" s="452" t="s">
        <v>14</v>
      </c>
      <c r="F67" s="452">
        <v>5</v>
      </c>
      <c r="G67" s="452">
        <v>6</v>
      </c>
      <c r="H67" s="452">
        <v>7</v>
      </c>
      <c r="I67" s="567">
        <v>8</v>
      </c>
      <c r="J67" s="567">
        <v>9</v>
      </c>
      <c r="K67" s="452">
        <v>10</v>
      </c>
      <c r="L67" s="452">
        <v>11</v>
      </c>
      <c r="M67" s="452">
        <v>12</v>
      </c>
      <c r="N67" s="452">
        <v>13</v>
      </c>
      <c r="O67" s="452">
        <v>14</v>
      </c>
      <c r="P67" s="451">
        <v>15</v>
      </c>
      <c r="Q67" s="567">
        <v>16</v>
      </c>
      <c r="R67" s="452">
        <v>17</v>
      </c>
      <c r="S67" s="452">
        <v>18</v>
      </c>
      <c r="T67" s="452">
        <v>19</v>
      </c>
      <c r="U67" s="452">
        <v>20</v>
      </c>
      <c r="V67" s="452">
        <v>21</v>
      </c>
      <c r="W67" s="567">
        <v>22</v>
      </c>
      <c r="X67" s="567">
        <v>23</v>
      </c>
      <c r="Y67" s="452">
        <v>24</v>
      </c>
      <c r="Z67" s="452">
        <v>25</v>
      </c>
      <c r="AA67" s="451" t="s">
        <v>14</v>
      </c>
      <c r="AB67" s="451" t="s">
        <v>14</v>
      </c>
      <c r="AC67" s="451" t="s">
        <v>14</v>
      </c>
      <c r="AD67" s="451" t="s">
        <v>14</v>
      </c>
      <c r="AE67" s="451" t="s">
        <v>14</v>
      </c>
      <c r="AF67" s="452" t="s">
        <v>14</v>
      </c>
      <c r="AG67" s="448"/>
    </row>
    <row r="68" spans="1:34">
      <c r="A68" s="450" t="s">
        <v>15</v>
      </c>
      <c r="B68" s="567">
        <v>1</v>
      </c>
      <c r="C68" s="567">
        <v>2</v>
      </c>
      <c r="D68" s="452">
        <v>3</v>
      </c>
      <c r="E68" s="452">
        <v>4</v>
      </c>
      <c r="F68" s="451" t="s">
        <v>14</v>
      </c>
      <c r="G68" s="451" t="s">
        <v>14</v>
      </c>
      <c r="H68" s="451" t="s">
        <v>14</v>
      </c>
      <c r="I68" s="451" t="s">
        <v>14</v>
      </c>
      <c r="J68" s="451" t="s">
        <v>14</v>
      </c>
      <c r="K68" s="451" t="s">
        <v>14</v>
      </c>
      <c r="L68" s="451" t="s">
        <v>14</v>
      </c>
      <c r="M68" s="452">
        <v>12</v>
      </c>
      <c r="N68" s="452">
        <v>13</v>
      </c>
      <c r="O68" s="452">
        <v>14</v>
      </c>
      <c r="P68" s="451">
        <v>15</v>
      </c>
      <c r="Q68" s="567">
        <v>16</v>
      </c>
      <c r="R68" s="452">
        <v>17</v>
      </c>
      <c r="S68" s="452">
        <v>18</v>
      </c>
      <c r="T68" s="452">
        <v>19</v>
      </c>
      <c r="U68" s="452">
        <v>20</v>
      </c>
      <c r="V68" s="452">
        <v>21</v>
      </c>
      <c r="W68" s="567">
        <v>22</v>
      </c>
      <c r="X68" s="567">
        <v>23</v>
      </c>
      <c r="Y68" s="452">
        <v>24</v>
      </c>
      <c r="Z68" s="452">
        <v>25</v>
      </c>
      <c r="AA68" s="452">
        <v>26</v>
      </c>
      <c r="AB68" s="452">
        <v>27</v>
      </c>
      <c r="AC68" s="452">
        <v>28</v>
      </c>
      <c r="AD68" s="567">
        <v>29</v>
      </c>
      <c r="AE68" s="567">
        <v>30</v>
      </c>
      <c r="AF68" s="452">
        <v>31</v>
      </c>
      <c r="AG68" s="448"/>
    </row>
    <row r="69" spans="1:34">
      <c r="A69" s="450" t="s">
        <v>18</v>
      </c>
      <c r="B69" s="567">
        <v>1</v>
      </c>
      <c r="C69" s="567">
        <v>2</v>
      </c>
      <c r="D69" s="452">
        <v>3</v>
      </c>
      <c r="E69" s="452">
        <v>4</v>
      </c>
      <c r="F69" s="452">
        <v>5</v>
      </c>
      <c r="G69" s="452">
        <v>6</v>
      </c>
      <c r="H69" s="452">
        <v>7</v>
      </c>
      <c r="I69" s="567">
        <v>8</v>
      </c>
      <c r="J69" s="567">
        <v>9</v>
      </c>
      <c r="K69" s="452" t="s">
        <v>9</v>
      </c>
      <c r="L69" s="452" t="s">
        <v>9</v>
      </c>
      <c r="M69" s="452" t="s">
        <v>9</v>
      </c>
      <c r="N69" s="452" t="s">
        <v>9</v>
      </c>
      <c r="O69" s="452" t="s">
        <v>9</v>
      </c>
      <c r="P69" s="451">
        <v>15</v>
      </c>
      <c r="Q69" s="567">
        <v>16</v>
      </c>
      <c r="R69" s="452" t="s">
        <v>9</v>
      </c>
      <c r="S69" s="452" t="s">
        <v>9</v>
      </c>
      <c r="T69" s="452" t="s">
        <v>9</v>
      </c>
      <c r="U69" s="452" t="s">
        <v>9</v>
      </c>
      <c r="V69" s="452" t="s">
        <v>9</v>
      </c>
      <c r="W69" s="567">
        <v>22</v>
      </c>
      <c r="X69" s="567">
        <v>23</v>
      </c>
      <c r="Y69" s="452" t="s">
        <v>9</v>
      </c>
      <c r="Z69" s="452" t="s">
        <v>9</v>
      </c>
      <c r="AA69" s="452" t="s">
        <v>9</v>
      </c>
      <c r="AB69" s="452" t="s">
        <v>9</v>
      </c>
      <c r="AC69" s="452" t="s">
        <v>9</v>
      </c>
      <c r="AD69" s="567">
        <v>29</v>
      </c>
      <c r="AE69" s="567">
        <v>30</v>
      </c>
      <c r="AF69" s="452">
        <v>31</v>
      </c>
      <c r="AG69" s="448"/>
    </row>
    <row r="70" spans="1:34">
      <c r="A70" s="450" t="s">
        <v>21</v>
      </c>
      <c r="B70" s="567">
        <v>1</v>
      </c>
      <c r="C70" s="567">
        <v>2</v>
      </c>
      <c r="D70" s="452" t="s">
        <v>9</v>
      </c>
      <c r="E70" s="452" t="s">
        <v>9</v>
      </c>
      <c r="F70" s="452" t="s">
        <v>9</v>
      </c>
      <c r="G70" s="452" t="s">
        <v>9</v>
      </c>
      <c r="H70" s="452" t="s">
        <v>9</v>
      </c>
      <c r="I70" s="567">
        <v>8</v>
      </c>
      <c r="J70" s="567">
        <v>9</v>
      </c>
      <c r="K70" s="452" t="s">
        <v>9</v>
      </c>
      <c r="L70" s="452" t="s">
        <v>9</v>
      </c>
      <c r="M70" s="452" t="s">
        <v>9</v>
      </c>
      <c r="N70" s="452" t="s">
        <v>9</v>
      </c>
      <c r="O70" s="452" t="s">
        <v>9</v>
      </c>
      <c r="P70" s="451">
        <v>15</v>
      </c>
      <c r="Q70" s="567">
        <v>16</v>
      </c>
      <c r="R70" s="452">
        <v>17</v>
      </c>
      <c r="S70" s="452">
        <v>18</v>
      </c>
      <c r="T70" s="452">
        <v>19</v>
      </c>
      <c r="U70" s="452">
        <v>20</v>
      </c>
      <c r="V70" s="452">
        <v>21</v>
      </c>
      <c r="W70" s="567">
        <v>22</v>
      </c>
      <c r="X70" s="567">
        <v>23</v>
      </c>
      <c r="Y70" s="452">
        <v>24</v>
      </c>
      <c r="Z70" s="452">
        <v>25</v>
      </c>
      <c r="AA70" s="452">
        <v>26</v>
      </c>
      <c r="AB70" s="452">
        <v>27</v>
      </c>
      <c r="AC70" s="452">
        <v>28</v>
      </c>
      <c r="AD70" s="567">
        <v>29</v>
      </c>
      <c r="AE70" s="567">
        <v>30</v>
      </c>
      <c r="AF70" s="452" t="s">
        <v>9</v>
      </c>
      <c r="AG70" s="448"/>
    </row>
    <row r="71" spans="1:34">
      <c r="A71" s="450" t="s">
        <v>62</v>
      </c>
      <c r="B71" s="567">
        <v>1</v>
      </c>
      <c r="C71" s="567">
        <v>2</v>
      </c>
      <c r="D71" s="452">
        <v>3</v>
      </c>
      <c r="E71" s="452">
        <v>4</v>
      </c>
      <c r="F71" s="452">
        <v>5</v>
      </c>
      <c r="G71" s="452">
        <v>6</v>
      </c>
      <c r="H71" s="452">
        <v>7</v>
      </c>
      <c r="I71" s="567">
        <v>8</v>
      </c>
      <c r="J71" s="567">
        <v>9</v>
      </c>
      <c r="K71" s="452">
        <v>10</v>
      </c>
      <c r="L71" s="452">
        <v>11</v>
      </c>
      <c r="M71" s="451" t="s">
        <v>14</v>
      </c>
      <c r="N71" s="451" t="s">
        <v>14</v>
      </c>
      <c r="O71" s="451" t="s">
        <v>14</v>
      </c>
      <c r="P71" s="451" t="s">
        <v>14</v>
      </c>
      <c r="Q71" s="451" t="s">
        <v>14</v>
      </c>
      <c r="R71" s="451" t="s">
        <v>14</v>
      </c>
      <c r="S71" s="451" t="s">
        <v>14</v>
      </c>
      <c r="T71" s="452">
        <v>19</v>
      </c>
      <c r="U71" s="452">
        <v>20</v>
      </c>
      <c r="V71" s="452">
        <v>21</v>
      </c>
      <c r="W71" s="567">
        <v>22</v>
      </c>
      <c r="X71" s="567">
        <v>23</v>
      </c>
      <c r="Y71" s="452">
        <v>24</v>
      </c>
      <c r="Z71" s="452">
        <v>25</v>
      </c>
      <c r="AA71" s="452">
        <v>26</v>
      </c>
      <c r="AB71" s="452">
        <v>27</v>
      </c>
      <c r="AC71" s="452">
        <v>28</v>
      </c>
      <c r="AD71" s="567">
        <v>29</v>
      </c>
      <c r="AE71" s="567">
        <v>30</v>
      </c>
      <c r="AF71" s="452">
        <v>31</v>
      </c>
      <c r="AG71" s="448"/>
    </row>
    <row r="72" spans="1:34">
      <c r="A72" s="450" t="s">
        <v>65</v>
      </c>
      <c r="B72" s="567">
        <v>1</v>
      </c>
      <c r="C72" s="567">
        <v>2</v>
      </c>
      <c r="D72" s="452">
        <v>3</v>
      </c>
      <c r="E72" s="452">
        <v>4</v>
      </c>
      <c r="F72" s="452">
        <v>5</v>
      </c>
      <c r="G72" s="452">
        <v>6</v>
      </c>
      <c r="H72" s="452">
        <v>7</v>
      </c>
      <c r="I72" s="567">
        <v>8</v>
      </c>
      <c r="J72" s="567">
        <v>9</v>
      </c>
      <c r="K72" s="452">
        <v>10</v>
      </c>
      <c r="L72" s="452">
        <v>11</v>
      </c>
      <c r="M72" s="452">
        <v>12</v>
      </c>
      <c r="N72" s="452">
        <v>13</v>
      </c>
      <c r="O72" s="452">
        <v>14</v>
      </c>
      <c r="P72" s="451">
        <v>15</v>
      </c>
      <c r="Q72" s="567">
        <v>16</v>
      </c>
      <c r="R72" s="452">
        <v>17</v>
      </c>
      <c r="S72" s="452">
        <v>18</v>
      </c>
      <c r="T72" s="451" t="s">
        <v>14</v>
      </c>
      <c r="U72" s="451" t="s">
        <v>14</v>
      </c>
      <c r="V72" s="451" t="s">
        <v>14</v>
      </c>
      <c r="W72" s="451" t="s">
        <v>14</v>
      </c>
      <c r="X72" s="451" t="s">
        <v>14</v>
      </c>
      <c r="Y72" s="451" t="s">
        <v>14</v>
      </c>
      <c r="Z72" s="451" t="s">
        <v>14</v>
      </c>
      <c r="AA72" s="452">
        <v>26</v>
      </c>
      <c r="AB72" s="452">
        <v>27</v>
      </c>
      <c r="AC72" s="452">
        <v>28</v>
      </c>
      <c r="AD72" s="567">
        <v>29</v>
      </c>
      <c r="AE72" s="567">
        <v>30</v>
      </c>
      <c r="AF72" s="452">
        <v>31</v>
      </c>
      <c r="AG72" s="448"/>
    </row>
    <row r="73" spans="1:34">
      <c r="A73" s="444">
        <v>46266</v>
      </c>
      <c r="B73" s="897"/>
      <c r="C73" s="897"/>
      <c r="D73" s="897"/>
      <c r="E73" s="897"/>
      <c r="F73" s="897"/>
      <c r="G73" s="897"/>
      <c r="H73" s="897"/>
      <c r="I73" s="897"/>
      <c r="J73" s="897"/>
      <c r="K73" s="897"/>
      <c r="L73" s="897"/>
      <c r="M73" s="897"/>
      <c r="N73" s="897"/>
      <c r="O73" s="897"/>
      <c r="P73" s="897"/>
      <c r="Q73" s="897"/>
      <c r="R73" s="897"/>
      <c r="S73" s="897"/>
      <c r="T73" s="897"/>
      <c r="U73" s="897"/>
      <c r="V73" s="897"/>
      <c r="W73" s="897"/>
      <c r="X73" s="897"/>
      <c r="Y73" s="897"/>
      <c r="Z73" s="897"/>
      <c r="AA73" s="897"/>
      <c r="AB73" s="897"/>
      <c r="AC73" s="897"/>
      <c r="AD73" s="897"/>
      <c r="AE73" s="897"/>
      <c r="AF73" s="897"/>
      <c r="AG73" s="897"/>
    </row>
    <row r="74" spans="1:34">
      <c r="A74" s="446"/>
      <c r="B74" s="447" t="s">
        <v>7</v>
      </c>
      <c r="C74" s="447" t="s">
        <v>1</v>
      </c>
      <c r="D74" s="447" t="s">
        <v>2</v>
      </c>
      <c r="E74" s="447" t="s">
        <v>3</v>
      </c>
      <c r="F74" s="447" t="s">
        <v>4</v>
      </c>
      <c r="G74" s="447" t="s">
        <v>5</v>
      </c>
      <c r="H74" s="447" t="s">
        <v>6</v>
      </c>
      <c r="I74" s="447" t="s">
        <v>7</v>
      </c>
      <c r="J74" s="447" t="s">
        <v>1</v>
      </c>
      <c r="K74" s="447" t="s">
        <v>2</v>
      </c>
      <c r="L74" s="447" t="s">
        <v>3</v>
      </c>
      <c r="M74" s="447" t="s">
        <v>4</v>
      </c>
      <c r="N74" s="447" t="s">
        <v>5</v>
      </c>
      <c r="O74" s="447" t="s">
        <v>6</v>
      </c>
      <c r="P74" s="447" t="s">
        <v>7</v>
      </c>
      <c r="Q74" s="447" t="s">
        <v>1</v>
      </c>
      <c r="R74" s="447" t="s">
        <v>2</v>
      </c>
      <c r="S74" s="447" t="s">
        <v>3</v>
      </c>
      <c r="T74" s="447" t="s">
        <v>4</v>
      </c>
      <c r="U74" s="447" t="s">
        <v>5</v>
      </c>
      <c r="V74" s="447" t="s">
        <v>6</v>
      </c>
      <c r="W74" s="447" t="s">
        <v>7</v>
      </c>
      <c r="X74" s="447" t="s">
        <v>1</v>
      </c>
      <c r="Y74" s="447" t="s">
        <v>2</v>
      </c>
      <c r="Z74" s="447" t="s">
        <v>3</v>
      </c>
      <c r="AA74" s="447" t="s">
        <v>4</v>
      </c>
      <c r="AB74" s="447" t="s">
        <v>5</v>
      </c>
      <c r="AC74" s="447" t="s">
        <v>6</v>
      </c>
      <c r="AD74" s="447" t="s">
        <v>7</v>
      </c>
      <c r="AE74" s="447" t="s">
        <v>1</v>
      </c>
      <c r="AF74" s="447"/>
      <c r="AG74" s="448"/>
    </row>
    <row r="75" spans="1:34">
      <c r="A75" s="450" t="s">
        <v>61</v>
      </c>
      <c r="B75" s="452">
        <v>1</v>
      </c>
      <c r="C75" s="451" t="s">
        <v>14</v>
      </c>
      <c r="D75" s="451" t="s">
        <v>14</v>
      </c>
      <c r="E75" s="451" t="s">
        <v>14</v>
      </c>
      <c r="F75" s="451" t="s">
        <v>14</v>
      </c>
      <c r="G75" s="451" t="s">
        <v>14</v>
      </c>
      <c r="H75" s="451" t="s">
        <v>14</v>
      </c>
      <c r="I75" s="451" t="s">
        <v>14</v>
      </c>
      <c r="J75" s="452">
        <v>9</v>
      </c>
      <c r="K75" s="452">
        <v>10</v>
      </c>
      <c r="L75" s="452">
        <v>11</v>
      </c>
      <c r="M75" s="567">
        <v>12</v>
      </c>
      <c r="N75" s="567">
        <v>13</v>
      </c>
      <c r="O75" s="452">
        <v>14</v>
      </c>
      <c r="P75" s="452">
        <v>15</v>
      </c>
      <c r="Q75" s="452">
        <v>16</v>
      </c>
      <c r="R75" s="452">
        <v>17</v>
      </c>
      <c r="S75" s="452">
        <v>18</v>
      </c>
      <c r="T75" s="567">
        <v>19</v>
      </c>
      <c r="U75" s="567">
        <v>20</v>
      </c>
      <c r="V75" s="452">
        <v>21</v>
      </c>
      <c r="W75" s="452">
        <v>22</v>
      </c>
      <c r="X75" s="452">
        <v>23</v>
      </c>
      <c r="Y75" s="452">
        <v>24</v>
      </c>
      <c r="Z75" s="452">
        <v>25</v>
      </c>
      <c r="AA75" s="567">
        <v>26</v>
      </c>
      <c r="AB75" s="567">
        <v>27</v>
      </c>
      <c r="AC75" s="452">
        <v>28</v>
      </c>
      <c r="AD75" s="452">
        <v>29</v>
      </c>
      <c r="AE75" s="452">
        <v>30</v>
      </c>
      <c r="AF75" s="452"/>
      <c r="AG75" s="448"/>
    </row>
    <row r="76" spans="1:34">
      <c r="A76" s="450" t="s">
        <v>24</v>
      </c>
      <c r="B76" s="452" t="s">
        <v>14</v>
      </c>
      <c r="C76" s="452">
        <v>2</v>
      </c>
      <c r="D76" s="452">
        <v>3</v>
      </c>
      <c r="E76" s="452">
        <v>4</v>
      </c>
      <c r="F76" s="567">
        <v>5</v>
      </c>
      <c r="G76" s="567">
        <v>6</v>
      </c>
      <c r="H76" s="452">
        <v>7</v>
      </c>
      <c r="I76" s="452">
        <v>8</v>
      </c>
      <c r="J76" s="452">
        <v>9</v>
      </c>
      <c r="K76" s="452">
        <v>10</v>
      </c>
      <c r="L76" s="452">
        <v>11</v>
      </c>
      <c r="M76" s="567">
        <v>12</v>
      </c>
      <c r="N76" s="567">
        <v>13</v>
      </c>
      <c r="O76" s="452" t="s">
        <v>9</v>
      </c>
      <c r="P76" s="452" t="s">
        <v>9</v>
      </c>
      <c r="Q76" s="452" t="s">
        <v>9</v>
      </c>
      <c r="R76" s="452">
        <v>17</v>
      </c>
      <c r="S76" s="452">
        <v>18</v>
      </c>
      <c r="T76" s="567">
        <v>19</v>
      </c>
      <c r="U76" s="567">
        <v>20</v>
      </c>
      <c r="V76" s="452">
        <v>21</v>
      </c>
      <c r="W76" s="452">
        <v>22</v>
      </c>
      <c r="X76" s="451" t="s">
        <v>14</v>
      </c>
      <c r="Y76" s="451" t="s">
        <v>14</v>
      </c>
      <c r="Z76" s="451" t="s">
        <v>14</v>
      </c>
      <c r="AA76" s="451" t="s">
        <v>14</v>
      </c>
      <c r="AB76" s="451" t="s">
        <v>14</v>
      </c>
      <c r="AC76" s="451" t="s">
        <v>14</v>
      </c>
      <c r="AD76" s="451" t="s">
        <v>14</v>
      </c>
      <c r="AE76" s="452">
        <v>30</v>
      </c>
      <c r="AF76" s="452"/>
      <c r="AG76" s="448"/>
    </row>
    <row r="77" spans="1:34">
      <c r="A77" s="450" t="s">
        <v>15</v>
      </c>
      <c r="B77" s="452">
        <v>1</v>
      </c>
      <c r="C77" s="452">
        <v>2</v>
      </c>
      <c r="D77" s="452">
        <v>3</v>
      </c>
      <c r="E77" s="452">
        <v>4</v>
      </c>
      <c r="F77" s="567">
        <v>5</v>
      </c>
      <c r="G77" s="567">
        <v>6</v>
      </c>
      <c r="H77" s="452" t="s">
        <v>9</v>
      </c>
      <c r="I77" s="452" t="s">
        <v>9</v>
      </c>
      <c r="J77" s="452" t="s">
        <v>9</v>
      </c>
      <c r="K77" s="452" t="s">
        <v>9</v>
      </c>
      <c r="L77" s="452" t="s">
        <v>9</v>
      </c>
      <c r="M77" s="567">
        <v>12</v>
      </c>
      <c r="N77" s="567">
        <v>13</v>
      </c>
      <c r="O77" s="452">
        <v>14</v>
      </c>
      <c r="P77" s="452">
        <v>15</v>
      </c>
      <c r="Q77" s="451" t="s">
        <v>14</v>
      </c>
      <c r="R77" s="451" t="s">
        <v>14</v>
      </c>
      <c r="S77" s="451" t="s">
        <v>14</v>
      </c>
      <c r="T77" s="451" t="s">
        <v>14</v>
      </c>
      <c r="U77" s="451" t="s">
        <v>14</v>
      </c>
      <c r="V77" s="451" t="s">
        <v>14</v>
      </c>
      <c r="W77" s="451" t="s">
        <v>14</v>
      </c>
      <c r="X77" s="452">
        <v>23</v>
      </c>
      <c r="Y77" s="452">
        <v>24</v>
      </c>
      <c r="Z77" s="452">
        <v>25</v>
      </c>
      <c r="AA77" s="567">
        <v>26</v>
      </c>
      <c r="AB77" s="567">
        <v>27</v>
      </c>
      <c r="AC77" s="452">
        <v>28</v>
      </c>
      <c r="AD77" s="452">
        <v>29</v>
      </c>
      <c r="AE77" s="452">
        <v>30</v>
      </c>
      <c r="AF77" s="452"/>
      <c r="AG77" s="448"/>
    </row>
    <row r="78" spans="1:34">
      <c r="A78" s="450" t="s">
        <v>18</v>
      </c>
      <c r="B78" s="452">
        <v>1</v>
      </c>
      <c r="C78" s="452">
        <v>2</v>
      </c>
      <c r="D78" s="452">
        <v>3</v>
      </c>
      <c r="E78" s="452">
        <v>4</v>
      </c>
      <c r="F78" s="567">
        <v>5</v>
      </c>
      <c r="G78" s="567">
        <v>6</v>
      </c>
      <c r="H78" s="452">
        <v>7</v>
      </c>
      <c r="I78" s="452">
        <v>8</v>
      </c>
      <c r="J78" s="451" t="s">
        <v>14</v>
      </c>
      <c r="K78" s="451" t="s">
        <v>14</v>
      </c>
      <c r="L78" s="451" t="s">
        <v>14</v>
      </c>
      <c r="M78" s="451" t="s">
        <v>14</v>
      </c>
      <c r="N78" s="451" t="s">
        <v>14</v>
      </c>
      <c r="O78" s="451" t="s">
        <v>14</v>
      </c>
      <c r="P78" s="451" t="s">
        <v>14</v>
      </c>
      <c r="Q78" s="452">
        <v>16</v>
      </c>
      <c r="R78" s="452">
        <v>17</v>
      </c>
      <c r="S78" s="452">
        <v>18</v>
      </c>
      <c r="T78" s="567">
        <v>19</v>
      </c>
      <c r="U78" s="567">
        <v>20</v>
      </c>
      <c r="V78" s="452">
        <v>21</v>
      </c>
      <c r="W78" s="452">
        <v>22</v>
      </c>
      <c r="X78" s="452">
        <v>23</v>
      </c>
      <c r="Y78" s="452">
        <v>24</v>
      </c>
      <c r="Z78" s="452">
        <v>25</v>
      </c>
      <c r="AA78" s="567">
        <v>26</v>
      </c>
      <c r="AB78" s="567">
        <v>27</v>
      </c>
      <c r="AC78" s="452">
        <v>28</v>
      </c>
      <c r="AD78" s="452">
        <v>29</v>
      </c>
      <c r="AE78" s="452">
        <v>30</v>
      </c>
      <c r="AF78" s="452"/>
      <c r="AG78" s="448"/>
    </row>
    <row r="79" spans="1:34">
      <c r="A79" s="450" t="s">
        <v>21</v>
      </c>
      <c r="B79" s="452" t="s">
        <v>9</v>
      </c>
      <c r="C79" s="452" t="s">
        <v>9</v>
      </c>
      <c r="D79" s="452" t="s">
        <v>9</v>
      </c>
      <c r="E79" s="452" t="s">
        <v>9</v>
      </c>
      <c r="F79" s="567">
        <v>5</v>
      </c>
      <c r="G79" s="567">
        <v>6</v>
      </c>
      <c r="H79" s="452">
        <v>7</v>
      </c>
      <c r="I79" s="452">
        <v>8</v>
      </c>
      <c r="J79" s="452">
        <v>9</v>
      </c>
      <c r="K79" s="452">
        <v>10</v>
      </c>
      <c r="L79" s="452">
        <v>11</v>
      </c>
      <c r="M79" s="567">
        <v>12</v>
      </c>
      <c r="N79" s="567">
        <v>13</v>
      </c>
      <c r="O79" s="452">
        <v>14</v>
      </c>
      <c r="P79" s="452">
        <v>15</v>
      </c>
      <c r="Q79" s="452">
        <v>16</v>
      </c>
      <c r="R79" s="452">
        <v>17</v>
      </c>
      <c r="S79" s="452">
        <v>18</v>
      </c>
      <c r="T79" s="567">
        <v>19</v>
      </c>
      <c r="U79" s="567">
        <v>20</v>
      </c>
      <c r="V79" s="452">
        <v>21</v>
      </c>
      <c r="W79" s="452">
        <v>22</v>
      </c>
      <c r="X79" s="452">
        <v>23</v>
      </c>
      <c r="Y79" s="452">
        <v>24</v>
      </c>
      <c r="Z79" s="452">
        <v>25</v>
      </c>
      <c r="AA79" s="567">
        <v>26</v>
      </c>
      <c r="AB79" s="567">
        <v>27</v>
      </c>
      <c r="AC79" s="452">
        <v>28</v>
      </c>
      <c r="AD79" s="452">
        <v>29</v>
      </c>
      <c r="AE79" s="452">
        <v>30</v>
      </c>
      <c r="AF79" s="452"/>
      <c r="AG79" s="448"/>
    </row>
    <row r="80" spans="1:34">
      <c r="A80" s="450" t="s">
        <v>62</v>
      </c>
      <c r="B80" s="452">
        <v>1</v>
      </c>
      <c r="C80" s="452">
        <v>2</v>
      </c>
      <c r="D80" s="452">
        <v>3</v>
      </c>
      <c r="E80" s="452">
        <v>4</v>
      </c>
      <c r="F80" s="567">
        <v>5</v>
      </c>
      <c r="G80" s="567">
        <v>6</v>
      </c>
      <c r="H80" s="452">
        <v>7</v>
      </c>
      <c r="I80" s="452">
        <v>8</v>
      </c>
      <c r="J80" s="452">
        <v>9</v>
      </c>
      <c r="K80" s="452">
        <v>10</v>
      </c>
      <c r="L80" s="452">
        <v>11</v>
      </c>
      <c r="M80" s="567">
        <v>12</v>
      </c>
      <c r="N80" s="567">
        <v>13</v>
      </c>
      <c r="O80" s="452">
        <v>14</v>
      </c>
      <c r="P80" s="452">
        <v>15</v>
      </c>
      <c r="Q80" s="452">
        <v>16</v>
      </c>
      <c r="R80" s="452">
        <v>17</v>
      </c>
      <c r="S80" s="452">
        <v>18</v>
      </c>
      <c r="T80" s="567">
        <v>19</v>
      </c>
      <c r="U80" s="567">
        <v>20</v>
      </c>
      <c r="V80" s="452">
        <v>21</v>
      </c>
      <c r="W80" s="452">
        <v>22</v>
      </c>
      <c r="X80" s="452">
        <v>23</v>
      </c>
      <c r="Y80" s="452">
        <v>24</v>
      </c>
      <c r="Z80" s="452">
        <v>25</v>
      </c>
      <c r="AA80" s="567">
        <v>26</v>
      </c>
      <c r="AB80" s="567">
        <v>27</v>
      </c>
      <c r="AC80" s="452">
        <v>28</v>
      </c>
      <c r="AD80" s="452">
        <v>29</v>
      </c>
      <c r="AE80" s="452">
        <v>30</v>
      </c>
      <c r="AF80" s="452"/>
      <c r="AG80" s="448"/>
    </row>
    <row r="81" spans="1:33">
      <c r="A81" s="450" t="s">
        <v>65</v>
      </c>
      <c r="B81" s="452">
        <v>1</v>
      </c>
      <c r="C81" s="452">
        <v>2</v>
      </c>
      <c r="D81" s="452">
        <v>3</v>
      </c>
      <c r="E81" s="452">
        <v>4</v>
      </c>
      <c r="F81" s="567">
        <v>5</v>
      </c>
      <c r="G81" s="567">
        <v>6</v>
      </c>
      <c r="H81" s="452">
        <v>7</v>
      </c>
      <c r="I81" s="452">
        <v>8</v>
      </c>
      <c r="J81" s="452">
        <v>9</v>
      </c>
      <c r="K81" s="452">
        <v>10</v>
      </c>
      <c r="L81" s="452">
        <v>11</v>
      </c>
      <c r="M81" s="567">
        <v>12</v>
      </c>
      <c r="N81" s="567">
        <v>13</v>
      </c>
      <c r="O81" s="452">
        <v>14</v>
      </c>
      <c r="P81" s="452">
        <v>15</v>
      </c>
      <c r="Q81" s="452">
        <v>16</v>
      </c>
      <c r="R81" s="452">
        <v>17</v>
      </c>
      <c r="S81" s="452">
        <v>18</v>
      </c>
      <c r="T81" s="567">
        <v>19</v>
      </c>
      <c r="U81" s="567">
        <v>20</v>
      </c>
      <c r="V81" s="452">
        <v>21</v>
      </c>
      <c r="W81" s="452">
        <v>22</v>
      </c>
      <c r="X81" s="452">
        <v>23</v>
      </c>
      <c r="Y81" s="452">
        <v>24</v>
      </c>
      <c r="Z81" s="452">
        <v>25</v>
      </c>
      <c r="AA81" s="567">
        <v>26</v>
      </c>
      <c r="AB81" s="567">
        <v>27</v>
      </c>
      <c r="AC81" s="452">
        <v>28</v>
      </c>
      <c r="AD81" s="452">
        <v>29</v>
      </c>
      <c r="AE81" s="452" t="s">
        <v>14</v>
      </c>
      <c r="AF81" s="452"/>
      <c r="AG81" s="448"/>
    </row>
    <row r="82" spans="1:33">
      <c r="A82" s="444">
        <v>46296</v>
      </c>
      <c r="B82" s="897"/>
      <c r="C82" s="897"/>
      <c r="D82" s="897"/>
      <c r="E82" s="897"/>
      <c r="F82" s="897"/>
      <c r="G82" s="897"/>
      <c r="H82" s="897"/>
      <c r="I82" s="897"/>
      <c r="J82" s="897"/>
      <c r="K82" s="897"/>
      <c r="L82" s="897"/>
      <c r="M82" s="897"/>
      <c r="N82" s="897"/>
      <c r="O82" s="897"/>
      <c r="P82" s="897"/>
      <c r="Q82" s="897"/>
      <c r="R82" s="897"/>
      <c r="S82" s="897"/>
      <c r="T82" s="897"/>
      <c r="U82" s="897"/>
      <c r="V82" s="897"/>
      <c r="W82" s="897"/>
      <c r="X82" s="897"/>
      <c r="Y82" s="897"/>
      <c r="Z82" s="897"/>
      <c r="AA82" s="897"/>
      <c r="AB82" s="897"/>
      <c r="AC82" s="897"/>
      <c r="AD82" s="897"/>
      <c r="AE82" s="897"/>
      <c r="AF82" s="897"/>
      <c r="AG82" s="897"/>
    </row>
    <row r="83" spans="1:33">
      <c r="A83" s="446"/>
      <c r="B83" s="447" t="s">
        <v>2</v>
      </c>
      <c r="C83" s="447" t="s">
        <v>3</v>
      </c>
      <c r="D83" s="447" t="s">
        <v>4</v>
      </c>
      <c r="E83" s="447" t="s">
        <v>5</v>
      </c>
      <c r="F83" s="447" t="s">
        <v>6</v>
      </c>
      <c r="G83" s="447" t="s">
        <v>7</v>
      </c>
      <c r="H83" s="447" t="s">
        <v>1</v>
      </c>
      <c r="I83" s="447" t="s">
        <v>2</v>
      </c>
      <c r="J83" s="447" t="s">
        <v>3</v>
      </c>
      <c r="K83" s="447" t="s">
        <v>4</v>
      </c>
      <c r="L83" s="447" t="s">
        <v>5</v>
      </c>
      <c r="M83" s="447" t="s">
        <v>6</v>
      </c>
      <c r="N83" s="447" t="s">
        <v>7</v>
      </c>
      <c r="O83" s="447" t="s">
        <v>1</v>
      </c>
      <c r="P83" s="447" t="s">
        <v>2</v>
      </c>
      <c r="Q83" s="447" t="s">
        <v>3</v>
      </c>
      <c r="R83" s="447" t="s">
        <v>4</v>
      </c>
      <c r="S83" s="447" t="s">
        <v>5</v>
      </c>
      <c r="T83" s="447" t="s">
        <v>6</v>
      </c>
      <c r="U83" s="447" t="s">
        <v>7</v>
      </c>
      <c r="V83" s="447" t="s">
        <v>1</v>
      </c>
      <c r="W83" s="447" t="s">
        <v>2</v>
      </c>
      <c r="X83" s="447" t="s">
        <v>3</v>
      </c>
      <c r="Y83" s="447" t="s">
        <v>4</v>
      </c>
      <c r="Z83" s="447" t="s">
        <v>5</v>
      </c>
      <c r="AA83" s="447" t="s">
        <v>6</v>
      </c>
      <c r="AB83" s="447" t="s">
        <v>7</v>
      </c>
      <c r="AC83" s="447" t="s">
        <v>1</v>
      </c>
      <c r="AD83" s="447" t="s">
        <v>2</v>
      </c>
      <c r="AE83" s="447" t="s">
        <v>3</v>
      </c>
      <c r="AF83" s="447" t="s">
        <v>4</v>
      </c>
      <c r="AG83" s="448"/>
    </row>
    <row r="84" spans="1:33">
      <c r="A84" s="450" t="s">
        <v>61</v>
      </c>
      <c r="B84" s="452">
        <v>1</v>
      </c>
      <c r="C84" s="452">
        <v>2</v>
      </c>
      <c r="D84" s="567">
        <v>3</v>
      </c>
      <c r="E84" s="567">
        <v>4</v>
      </c>
      <c r="F84" s="452">
        <v>5</v>
      </c>
      <c r="G84" s="452">
        <v>6</v>
      </c>
      <c r="H84" s="452">
        <v>7</v>
      </c>
      <c r="I84" s="452">
        <v>8</v>
      </c>
      <c r="J84" s="452">
        <v>9</v>
      </c>
      <c r="K84" s="567">
        <v>10</v>
      </c>
      <c r="L84" s="567">
        <v>11</v>
      </c>
      <c r="M84" s="451">
        <v>12</v>
      </c>
      <c r="N84" s="452">
        <v>13</v>
      </c>
      <c r="O84" s="452">
        <v>14</v>
      </c>
      <c r="P84" s="452">
        <v>15</v>
      </c>
      <c r="Q84" s="452">
        <v>16</v>
      </c>
      <c r="R84" s="567">
        <v>17</v>
      </c>
      <c r="S84" s="567">
        <v>18</v>
      </c>
      <c r="T84" s="452">
        <v>19</v>
      </c>
      <c r="U84" s="452">
        <v>20</v>
      </c>
      <c r="V84" s="452">
        <v>21</v>
      </c>
      <c r="W84" s="452">
        <v>22</v>
      </c>
      <c r="X84" s="452">
        <v>23</v>
      </c>
      <c r="Y84" s="567">
        <v>24</v>
      </c>
      <c r="Z84" s="567">
        <v>25</v>
      </c>
      <c r="AA84" s="452">
        <v>26</v>
      </c>
      <c r="AB84" s="452">
        <v>27</v>
      </c>
      <c r="AC84" s="452">
        <v>28</v>
      </c>
      <c r="AD84" s="452">
        <v>29</v>
      </c>
      <c r="AE84" s="452">
        <v>30</v>
      </c>
      <c r="AF84" s="567">
        <v>31</v>
      </c>
      <c r="AG84" s="448"/>
    </row>
    <row r="85" spans="1:33">
      <c r="A85" s="450" t="s">
        <v>24</v>
      </c>
      <c r="B85" s="452">
        <v>1</v>
      </c>
      <c r="C85" s="452">
        <v>2</v>
      </c>
      <c r="D85" s="567">
        <v>3</v>
      </c>
      <c r="E85" s="567">
        <v>4</v>
      </c>
      <c r="F85" s="452">
        <v>5</v>
      </c>
      <c r="G85" s="452">
        <v>6</v>
      </c>
      <c r="H85" s="452">
        <v>7</v>
      </c>
      <c r="I85" s="452">
        <v>8</v>
      </c>
      <c r="J85" s="452">
        <v>9</v>
      </c>
      <c r="K85" s="567">
        <v>10</v>
      </c>
      <c r="L85" s="567">
        <v>11</v>
      </c>
      <c r="M85" s="451">
        <v>12</v>
      </c>
      <c r="N85" s="452">
        <v>13</v>
      </c>
      <c r="O85" s="452">
        <v>14</v>
      </c>
      <c r="P85" s="452">
        <v>15</v>
      </c>
      <c r="Q85" s="452">
        <v>16</v>
      </c>
      <c r="R85" s="567">
        <v>17</v>
      </c>
      <c r="S85" s="567">
        <v>18</v>
      </c>
      <c r="T85" s="452">
        <v>19</v>
      </c>
      <c r="U85" s="452">
        <v>20</v>
      </c>
      <c r="V85" s="451" t="s">
        <v>14</v>
      </c>
      <c r="W85" s="451" t="s">
        <v>14</v>
      </c>
      <c r="X85" s="451" t="s">
        <v>14</v>
      </c>
      <c r="Y85" s="451" t="s">
        <v>14</v>
      </c>
      <c r="Z85" s="451" t="s">
        <v>14</v>
      </c>
      <c r="AA85" s="451" t="s">
        <v>14</v>
      </c>
      <c r="AB85" s="451" t="s">
        <v>14</v>
      </c>
      <c r="AC85" s="452">
        <v>28</v>
      </c>
      <c r="AD85" s="452">
        <v>29</v>
      </c>
      <c r="AE85" s="452">
        <v>30</v>
      </c>
      <c r="AF85" s="567">
        <v>31</v>
      </c>
      <c r="AG85" s="448"/>
    </row>
    <row r="86" spans="1:33">
      <c r="A86" s="450" t="s">
        <v>15</v>
      </c>
      <c r="B86" s="452">
        <v>1</v>
      </c>
      <c r="C86" s="452">
        <v>2</v>
      </c>
      <c r="D86" s="567">
        <v>3</v>
      </c>
      <c r="E86" s="567">
        <v>4</v>
      </c>
      <c r="F86" s="452">
        <v>5</v>
      </c>
      <c r="G86" s="452">
        <v>6</v>
      </c>
      <c r="H86" s="452">
        <v>7</v>
      </c>
      <c r="I86" s="452">
        <v>8</v>
      </c>
      <c r="J86" s="452">
        <v>9</v>
      </c>
      <c r="K86" s="567">
        <v>10</v>
      </c>
      <c r="L86" s="567">
        <v>11</v>
      </c>
      <c r="M86" s="451">
        <v>12</v>
      </c>
      <c r="N86" s="452">
        <v>13</v>
      </c>
      <c r="O86" s="451" t="s">
        <v>14</v>
      </c>
      <c r="P86" s="451" t="s">
        <v>14</v>
      </c>
      <c r="Q86" s="451" t="s">
        <v>14</v>
      </c>
      <c r="R86" s="451" t="s">
        <v>14</v>
      </c>
      <c r="S86" s="451" t="s">
        <v>14</v>
      </c>
      <c r="T86" s="451" t="s">
        <v>14</v>
      </c>
      <c r="U86" s="451" t="s">
        <v>14</v>
      </c>
      <c r="V86" s="452">
        <v>21</v>
      </c>
      <c r="W86" s="452">
        <v>22</v>
      </c>
      <c r="X86" s="452">
        <v>23</v>
      </c>
      <c r="Y86" s="567">
        <v>24</v>
      </c>
      <c r="Z86" s="567">
        <v>25</v>
      </c>
      <c r="AA86" s="452">
        <v>26</v>
      </c>
      <c r="AB86" s="452">
        <v>27</v>
      </c>
      <c r="AC86" s="452">
        <v>28</v>
      </c>
      <c r="AD86" s="452">
        <v>29</v>
      </c>
      <c r="AE86" s="452">
        <v>30</v>
      </c>
      <c r="AF86" s="567">
        <v>31</v>
      </c>
      <c r="AG86" s="448"/>
    </row>
    <row r="87" spans="1:33">
      <c r="A87" s="450" t="s">
        <v>18</v>
      </c>
      <c r="B87" s="452">
        <v>1</v>
      </c>
      <c r="C87" s="452">
        <v>2</v>
      </c>
      <c r="D87" s="567">
        <v>3</v>
      </c>
      <c r="E87" s="567">
        <v>4</v>
      </c>
      <c r="F87" s="452">
        <v>5</v>
      </c>
      <c r="G87" s="452">
        <v>6</v>
      </c>
      <c r="H87" s="452">
        <v>7</v>
      </c>
      <c r="I87" s="452">
        <v>8</v>
      </c>
      <c r="J87" s="452">
        <v>9</v>
      </c>
      <c r="K87" s="567">
        <v>10</v>
      </c>
      <c r="L87" s="567">
        <v>11</v>
      </c>
      <c r="M87" s="451">
        <v>12</v>
      </c>
      <c r="N87" s="452">
        <v>13</v>
      </c>
      <c r="O87" s="452">
        <v>14</v>
      </c>
      <c r="P87" s="452">
        <v>15</v>
      </c>
      <c r="Q87" s="452">
        <v>16</v>
      </c>
      <c r="R87" s="567">
        <v>17</v>
      </c>
      <c r="S87" s="567">
        <v>18</v>
      </c>
      <c r="T87" s="452">
        <v>19</v>
      </c>
      <c r="U87" s="452">
        <v>20</v>
      </c>
      <c r="V87" s="452">
        <v>21</v>
      </c>
      <c r="W87" s="452">
        <v>22</v>
      </c>
      <c r="X87" s="452">
        <v>23</v>
      </c>
      <c r="Y87" s="567">
        <v>24</v>
      </c>
      <c r="Z87" s="567">
        <v>25</v>
      </c>
      <c r="AA87" s="452">
        <v>26</v>
      </c>
      <c r="AB87" s="452">
        <v>27</v>
      </c>
      <c r="AC87" s="452">
        <v>28</v>
      </c>
      <c r="AD87" s="452">
        <v>29</v>
      </c>
      <c r="AE87" s="452">
        <v>30</v>
      </c>
      <c r="AF87" s="567">
        <v>31</v>
      </c>
      <c r="AG87" s="448"/>
    </row>
    <row r="88" spans="1:33">
      <c r="A88" s="450" t="s">
        <v>21</v>
      </c>
      <c r="B88" s="452">
        <v>1</v>
      </c>
      <c r="C88" s="452">
        <v>2</v>
      </c>
      <c r="D88" s="567">
        <v>3</v>
      </c>
      <c r="E88" s="567">
        <v>4</v>
      </c>
      <c r="F88" s="452">
        <v>5</v>
      </c>
      <c r="G88" s="452">
        <v>6</v>
      </c>
      <c r="H88" s="452">
        <v>7</v>
      </c>
      <c r="I88" s="452">
        <v>8</v>
      </c>
      <c r="J88" s="452">
        <v>9</v>
      </c>
      <c r="K88" s="567">
        <v>10</v>
      </c>
      <c r="L88" s="567">
        <v>11</v>
      </c>
      <c r="M88" s="451">
        <v>12</v>
      </c>
      <c r="N88" s="452">
        <v>13</v>
      </c>
      <c r="O88" s="452">
        <v>14</v>
      </c>
      <c r="P88" s="452">
        <v>15</v>
      </c>
      <c r="Q88" s="452">
        <v>16</v>
      </c>
      <c r="R88" s="567">
        <v>17</v>
      </c>
      <c r="S88" s="567">
        <v>18</v>
      </c>
      <c r="T88" s="452">
        <v>19</v>
      </c>
      <c r="U88" s="452">
        <v>20</v>
      </c>
      <c r="V88" s="452">
        <v>21</v>
      </c>
      <c r="W88" s="452">
        <v>22</v>
      </c>
      <c r="X88" s="452">
        <v>23</v>
      </c>
      <c r="Y88" s="567">
        <v>24</v>
      </c>
      <c r="Z88" s="567">
        <v>25</v>
      </c>
      <c r="AA88" s="452">
        <v>26</v>
      </c>
      <c r="AB88" s="452">
        <v>27</v>
      </c>
      <c r="AC88" s="452">
        <v>28</v>
      </c>
      <c r="AD88" s="452">
        <v>29</v>
      </c>
      <c r="AE88" s="452">
        <v>30</v>
      </c>
      <c r="AF88" s="567">
        <v>31</v>
      </c>
      <c r="AG88" s="448"/>
    </row>
    <row r="89" spans="1:33">
      <c r="A89" s="450" t="s">
        <v>62</v>
      </c>
      <c r="B89" s="452">
        <v>1</v>
      </c>
      <c r="C89" s="452">
        <v>2</v>
      </c>
      <c r="D89" s="567">
        <v>3</v>
      </c>
      <c r="E89" s="567">
        <v>4</v>
      </c>
      <c r="F89" s="452">
        <v>5</v>
      </c>
      <c r="G89" s="452">
        <v>6</v>
      </c>
      <c r="H89" s="452">
        <v>7</v>
      </c>
      <c r="I89" s="452">
        <v>8</v>
      </c>
      <c r="J89" s="452">
        <v>9</v>
      </c>
      <c r="K89" s="567">
        <v>10</v>
      </c>
      <c r="L89" s="567">
        <v>11</v>
      </c>
      <c r="M89" s="451">
        <v>12</v>
      </c>
      <c r="N89" s="452">
        <v>13</v>
      </c>
      <c r="O89" s="452">
        <v>14</v>
      </c>
      <c r="P89" s="452">
        <v>15</v>
      </c>
      <c r="Q89" s="452">
        <v>16</v>
      </c>
      <c r="R89" s="567">
        <v>17</v>
      </c>
      <c r="S89" s="567">
        <v>18</v>
      </c>
      <c r="T89" s="452">
        <v>19</v>
      </c>
      <c r="U89" s="452">
        <v>20</v>
      </c>
      <c r="V89" s="452">
        <v>21</v>
      </c>
      <c r="W89" s="452">
        <v>22</v>
      </c>
      <c r="X89" s="452">
        <v>23</v>
      </c>
      <c r="Y89" s="567">
        <v>24</v>
      </c>
      <c r="Z89" s="567">
        <v>25</v>
      </c>
      <c r="AA89" s="452">
        <v>26</v>
      </c>
      <c r="AB89" s="452">
        <v>27</v>
      </c>
      <c r="AC89" s="452" t="s">
        <v>14</v>
      </c>
      <c r="AD89" s="452" t="s">
        <v>14</v>
      </c>
      <c r="AE89" s="452" t="s">
        <v>14</v>
      </c>
      <c r="AF89" s="567" t="s">
        <v>14</v>
      </c>
      <c r="AG89" s="448"/>
    </row>
    <row r="90" spans="1:33">
      <c r="A90" s="450" t="s">
        <v>65</v>
      </c>
      <c r="B90" s="452" t="s">
        <v>14</v>
      </c>
      <c r="C90" s="452" t="s">
        <v>14</v>
      </c>
      <c r="D90" s="567" t="s">
        <v>14</v>
      </c>
      <c r="E90" s="567" t="s">
        <v>14</v>
      </c>
      <c r="F90" s="452" t="s">
        <v>14</v>
      </c>
      <c r="G90" s="452" t="s">
        <v>14</v>
      </c>
      <c r="H90" s="452">
        <v>7</v>
      </c>
      <c r="I90" s="452">
        <v>8</v>
      </c>
      <c r="J90" s="452">
        <v>9</v>
      </c>
      <c r="K90" s="567">
        <v>10</v>
      </c>
      <c r="L90" s="567">
        <v>11</v>
      </c>
      <c r="M90" s="451">
        <v>12</v>
      </c>
      <c r="N90" s="452">
        <v>13</v>
      </c>
      <c r="O90" s="452">
        <v>14</v>
      </c>
      <c r="P90" s="452">
        <v>15</v>
      </c>
      <c r="Q90" s="452">
        <v>16</v>
      </c>
      <c r="R90" s="567">
        <v>17</v>
      </c>
      <c r="S90" s="567">
        <v>18</v>
      </c>
      <c r="T90" s="452">
        <v>19</v>
      </c>
      <c r="U90" s="452">
        <v>20</v>
      </c>
      <c r="V90" s="452">
        <v>21</v>
      </c>
      <c r="W90" s="452">
        <v>22</v>
      </c>
      <c r="X90" s="452">
        <v>23</v>
      </c>
      <c r="Y90" s="567">
        <v>24</v>
      </c>
      <c r="Z90" s="567">
        <v>25</v>
      </c>
      <c r="AA90" s="452">
        <v>26</v>
      </c>
      <c r="AB90" s="452">
        <v>27</v>
      </c>
      <c r="AC90" s="452">
        <v>28</v>
      </c>
      <c r="AD90" s="452">
        <v>29</v>
      </c>
      <c r="AE90" s="452">
        <v>30</v>
      </c>
      <c r="AF90" s="567">
        <v>31</v>
      </c>
      <c r="AG90" s="448"/>
    </row>
    <row r="91" spans="1:33">
      <c r="A91" s="444">
        <v>46327</v>
      </c>
      <c r="B91" s="897"/>
      <c r="C91" s="897"/>
      <c r="D91" s="897"/>
      <c r="E91" s="897"/>
      <c r="F91" s="897"/>
      <c r="G91" s="897"/>
      <c r="H91" s="897"/>
      <c r="I91" s="897"/>
      <c r="J91" s="897"/>
      <c r="K91" s="897"/>
      <c r="L91" s="897"/>
      <c r="M91" s="897"/>
      <c r="N91" s="897"/>
      <c r="O91" s="897"/>
      <c r="P91" s="897"/>
      <c r="Q91" s="897"/>
      <c r="R91" s="897"/>
      <c r="S91" s="897"/>
      <c r="T91" s="897"/>
      <c r="U91" s="897"/>
      <c r="V91" s="897"/>
      <c r="W91" s="897"/>
      <c r="X91" s="897"/>
      <c r="Y91" s="897"/>
      <c r="Z91" s="897"/>
      <c r="AA91" s="897"/>
      <c r="AB91" s="897"/>
      <c r="AC91" s="897"/>
      <c r="AD91" s="897"/>
      <c r="AE91" s="897"/>
      <c r="AF91" s="897"/>
      <c r="AG91" s="897"/>
    </row>
    <row r="92" spans="1:33">
      <c r="A92" s="446"/>
      <c r="B92" s="447" t="s">
        <v>5</v>
      </c>
      <c r="C92" s="447" t="s">
        <v>6</v>
      </c>
      <c r="D92" s="447" t="s">
        <v>7</v>
      </c>
      <c r="E92" s="447" t="s">
        <v>1</v>
      </c>
      <c r="F92" s="447" t="s">
        <v>2</v>
      </c>
      <c r="G92" s="447" t="s">
        <v>3</v>
      </c>
      <c r="H92" s="447" t="s">
        <v>4</v>
      </c>
      <c r="I92" s="447" t="s">
        <v>5</v>
      </c>
      <c r="J92" s="447" t="s">
        <v>6</v>
      </c>
      <c r="K92" s="447" t="s">
        <v>7</v>
      </c>
      <c r="L92" s="447" t="s">
        <v>1</v>
      </c>
      <c r="M92" s="447" t="s">
        <v>2</v>
      </c>
      <c r="N92" s="447" t="s">
        <v>3</v>
      </c>
      <c r="O92" s="447" t="s">
        <v>4</v>
      </c>
      <c r="P92" s="447" t="s">
        <v>5</v>
      </c>
      <c r="Q92" s="447" t="s">
        <v>6</v>
      </c>
      <c r="R92" s="447" t="s">
        <v>7</v>
      </c>
      <c r="S92" s="447" t="s">
        <v>1</v>
      </c>
      <c r="T92" s="447" t="s">
        <v>2</v>
      </c>
      <c r="U92" s="447" t="s">
        <v>3</v>
      </c>
      <c r="V92" s="447" t="s">
        <v>4</v>
      </c>
      <c r="W92" s="447" t="s">
        <v>5</v>
      </c>
      <c r="X92" s="447" t="s">
        <v>6</v>
      </c>
      <c r="Y92" s="447" t="s">
        <v>7</v>
      </c>
      <c r="Z92" s="447" t="s">
        <v>1</v>
      </c>
      <c r="AA92" s="447" t="s">
        <v>2</v>
      </c>
      <c r="AB92" s="447" t="s">
        <v>3</v>
      </c>
      <c r="AC92" s="447" t="s">
        <v>4</v>
      </c>
      <c r="AD92" s="447" t="s">
        <v>5</v>
      </c>
      <c r="AE92" s="447" t="s">
        <v>6</v>
      </c>
      <c r="AF92" s="447"/>
      <c r="AG92" s="448"/>
    </row>
    <row r="93" spans="1:33">
      <c r="A93" s="450" t="s">
        <v>61</v>
      </c>
      <c r="B93" s="567">
        <v>1</v>
      </c>
      <c r="C93" s="451">
        <v>2</v>
      </c>
      <c r="D93" s="452">
        <v>3</v>
      </c>
      <c r="E93" s="452">
        <v>4</v>
      </c>
      <c r="F93" s="452">
        <v>5</v>
      </c>
      <c r="G93" s="452">
        <v>6</v>
      </c>
      <c r="H93" s="567">
        <v>7</v>
      </c>
      <c r="I93" s="567">
        <v>8</v>
      </c>
      <c r="J93" s="452">
        <v>9</v>
      </c>
      <c r="K93" s="452">
        <v>10</v>
      </c>
      <c r="L93" s="452">
        <v>11</v>
      </c>
      <c r="M93" s="452">
        <v>12</v>
      </c>
      <c r="N93" s="452">
        <v>13</v>
      </c>
      <c r="O93" s="567">
        <v>14</v>
      </c>
      <c r="P93" s="567">
        <v>15</v>
      </c>
      <c r="Q93" s="452">
        <v>16</v>
      </c>
      <c r="R93" s="452">
        <v>17</v>
      </c>
      <c r="S93" s="452">
        <v>18</v>
      </c>
      <c r="T93" s="452">
        <v>19</v>
      </c>
      <c r="U93" s="452">
        <v>20</v>
      </c>
      <c r="V93" s="567">
        <v>21</v>
      </c>
      <c r="W93" s="567">
        <v>22</v>
      </c>
      <c r="X93" s="452">
        <v>23</v>
      </c>
      <c r="Y93" s="452">
        <v>24</v>
      </c>
      <c r="Z93" s="452">
        <v>25</v>
      </c>
      <c r="AA93" s="452">
        <v>26</v>
      </c>
      <c r="AB93" s="452">
        <v>27</v>
      </c>
      <c r="AC93" s="567">
        <v>28</v>
      </c>
      <c r="AD93" s="567">
        <v>29</v>
      </c>
      <c r="AE93" s="452">
        <v>30</v>
      </c>
      <c r="AF93" s="452"/>
      <c r="AG93" s="448"/>
    </row>
    <row r="94" spans="1:33">
      <c r="A94" s="450" t="s">
        <v>24</v>
      </c>
      <c r="B94" s="567">
        <v>1</v>
      </c>
      <c r="C94" s="451">
        <v>2</v>
      </c>
      <c r="D94" s="452">
        <v>3</v>
      </c>
      <c r="E94" s="452">
        <v>4</v>
      </c>
      <c r="F94" s="452">
        <v>5</v>
      </c>
      <c r="G94" s="452">
        <v>6</v>
      </c>
      <c r="H94" s="567">
        <v>7</v>
      </c>
      <c r="I94" s="567">
        <v>8</v>
      </c>
      <c r="J94" s="452">
        <v>9</v>
      </c>
      <c r="K94" s="452">
        <v>10</v>
      </c>
      <c r="L94" s="451" t="s">
        <v>14</v>
      </c>
      <c r="M94" s="451" t="s">
        <v>14</v>
      </c>
      <c r="N94" s="451" t="s">
        <v>14</v>
      </c>
      <c r="O94" s="451" t="s">
        <v>14</v>
      </c>
      <c r="P94" s="451" t="s">
        <v>14</v>
      </c>
      <c r="Q94" s="451" t="s">
        <v>14</v>
      </c>
      <c r="R94" s="451" t="s">
        <v>14</v>
      </c>
      <c r="S94" s="452">
        <v>18</v>
      </c>
      <c r="T94" s="452">
        <v>19</v>
      </c>
      <c r="U94" s="452">
        <v>20</v>
      </c>
      <c r="V94" s="567">
        <v>21</v>
      </c>
      <c r="W94" s="567">
        <v>22</v>
      </c>
      <c r="X94" s="452">
        <v>23</v>
      </c>
      <c r="Y94" s="452">
        <v>24</v>
      </c>
      <c r="Z94" s="452">
        <v>25</v>
      </c>
      <c r="AA94" s="452">
        <v>26</v>
      </c>
      <c r="AB94" s="452">
        <v>27</v>
      </c>
      <c r="AC94" s="567">
        <v>28</v>
      </c>
      <c r="AD94" s="567">
        <v>29</v>
      </c>
      <c r="AE94" s="452">
        <v>30</v>
      </c>
      <c r="AF94" s="452"/>
      <c r="AG94" s="448"/>
    </row>
    <row r="95" spans="1:33">
      <c r="A95" s="450" t="s">
        <v>15</v>
      </c>
      <c r="B95" s="567">
        <v>1</v>
      </c>
      <c r="C95" s="451">
        <v>2</v>
      </c>
      <c r="D95" s="452">
        <v>3</v>
      </c>
      <c r="E95" s="451" t="s">
        <v>14</v>
      </c>
      <c r="F95" s="451" t="s">
        <v>14</v>
      </c>
      <c r="G95" s="451" t="s">
        <v>14</v>
      </c>
      <c r="H95" s="451" t="s">
        <v>14</v>
      </c>
      <c r="I95" s="451" t="s">
        <v>14</v>
      </c>
      <c r="J95" s="451" t="s">
        <v>14</v>
      </c>
      <c r="K95" s="451" t="s">
        <v>14</v>
      </c>
      <c r="L95" s="452">
        <v>11</v>
      </c>
      <c r="M95" s="452">
        <v>12</v>
      </c>
      <c r="N95" s="452">
        <v>13</v>
      </c>
      <c r="O95" s="567">
        <v>14</v>
      </c>
      <c r="P95" s="567">
        <v>15</v>
      </c>
      <c r="Q95" s="452">
        <v>16</v>
      </c>
      <c r="R95" s="452">
        <v>17</v>
      </c>
      <c r="S95" s="452">
        <v>18</v>
      </c>
      <c r="T95" s="452">
        <v>19</v>
      </c>
      <c r="U95" s="452">
        <v>20</v>
      </c>
      <c r="V95" s="567">
        <v>21</v>
      </c>
      <c r="W95" s="567">
        <v>22</v>
      </c>
      <c r="X95" s="452">
        <v>23</v>
      </c>
      <c r="Y95" s="452">
        <v>24</v>
      </c>
      <c r="Z95" s="452">
        <v>25</v>
      </c>
      <c r="AA95" s="452">
        <v>26</v>
      </c>
      <c r="AB95" s="452">
        <v>27</v>
      </c>
      <c r="AC95" s="567">
        <v>28</v>
      </c>
      <c r="AD95" s="567">
        <v>29</v>
      </c>
      <c r="AE95" s="452">
        <v>30</v>
      </c>
      <c r="AF95" s="452"/>
      <c r="AG95" s="448"/>
    </row>
    <row r="96" spans="1:33">
      <c r="A96" s="450" t="s">
        <v>18</v>
      </c>
      <c r="B96" s="567">
        <v>1</v>
      </c>
      <c r="C96" s="451">
        <v>2</v>
      </c>
      <c r="D96" s="452">
        <v>3</v>
      </c>
      <c r="E96" s="452">
        <v>4</v>
      </c>
      <c r="F96" s="452">
        <v>5</v>
      </c>
      <c r="G96" s="452">
        <v>6</v>
      </c>
      <c r="H96" s="567">
        <v>7</v>
      </c>
      <c r="I96" s="567">
        <v>8</v>
      </c>
      <c r="J96" s="452">
        <v>9</v>
      </c>
      <c r="K96" s="452">
        <v>10</v>
      </c>
      <c r="L96" s="452">
        <v>11</v>
      </c>
      <c r="M96" s="452">
        <v>12</v>
      </c>
      <c r="N96" s="452">
        <v>13</v>
      </c>
      <c r="O96" s="567">
        <v>14</v>
      </c>
      <c r="P96" s="567">
        <v>15</v>
      </c>
      <c r="Q96" s="452">
        <v>16</v>
      </c>
      <c r="R96" s="452">
        <v>17</v>
      </c>
      <c r="S96" s="452">
        <v>18</v>
      </c>
      <c r="T96" s="452">
        <v>19</v>
      </c>
      <c r="U96" s="452">
        <v>20</v>
      </c>
      <c r="V96" s="567">
        <v>21</v>
      </c>
      <c r="W96" s="567">
        <v>22</v>
      </c>
      <c r="X96" s="452">
        <v>23</v>
      </c>
      <c r="Y96" s="452">
        <v>24</v>
      </c>
      <c r="Z96" s="451" t="s">
        <v>14</v>
      </c>
      <c r="AA96" s="451" t="s">
        <v>14</v>
      </c>
      <c r="AB96" s="451" t="s">
        <v>14</v>
      </c>
      <c r="AC96" s="451" t="s">
        <v>14</v>
      </c>
      <c r="AD96" s="451" t="s">
        <v>14</v>
      </c>
      <c r="AE96" s="451" t="s">
        <v>14</v>
      </c>
      <c r="AF96" s="452"/>
      <c r="AG96" s="448"/>
    </row>
    <row r="97" spans="1:33">
      <c r="A97" s="450" t="s">
        <v>21</v>
      </c>
      <c r="B97" s="567">
        <v>1</v>
      </c>
      <c r="C97" s="451">
        <v>2</v>
      </c>
      <c r="D97" s="452">
        <v>3</v>
      </c>
      <c r="E97" s="452">
        <v>4</v>
      </c>
      <c r="F97" s="452">
        <v>5</v>
      </c>
      <c r="G97" s="452">
        <v>6</v>
      </c>
      <c r="H97" s="567">
        <v>7</v>
      </c>
      <c r="I97" s="567">
        <v>8</v>
      </c>
      <c r="J97" s="452">
        <v>9</v>
      </c>
      <c r="K97" s="452">
        <v>10</v>
      </c>
      <c r="L97" s="452">
        <v>11</v>
      </c>
      <c r="M97" s="452">
        <v>12</v>
      </c>
      <c r="N97" s="452">
        <v>13</v>
      </c>
      <c r="O97" s="567">
        <v>14</v>
      </c>
      <c r="P97" s="567">
        <v>15</v>
      </c>
      <c r="Q97" s="452">
        <v>16</v>
      </c>
      <c r="R97" s="452">
        <v>17</v>
      </c>
      <c r="S97" s="452">
        <v>18</v>
      </c>
      <c r="T97" s="452">
        <v>19</v>
      </c>
      <c r="U97" s="452">
        <v>20</v>
      </c>
      <c r="V97" s="567">
        <v>21</v>
      </c>
      <c r="W97" s="567">
        <v>22</v>
      </c>
      <c r="X97" s="452">
        <v>23</v>
      </c>
      <c r="Y97" s="452">
        <v>24</v>
      </c>
      <c r="Z97" s="452">
        <v>25</v>
      </c>
      <c r="AA97" s="452">
        <v>26</v>
      </c>
      <c r="AB97" s="452">
        <v>27</v>
      </c>
      <c r="AC97" s="567">
        <v>28</v>
      </c>
      <c r="AD97" s="567">
        <v>29</v>
      </c>
      <c r="AE97" s="452">
        <v>30</v>
      </c>
      <c r="AF97" s="452"/>
      <c r="AG97" s="448"/>
    </row>
    <row r="98" spans="1:33">
      <c r="A98" s="450" t="s">
        <v>62</v>
      </c>
      <c r="B98" s="567" t="s">
        <v>14</v>
      </c>
      <c r="C98" s="451" t="s">
        <v>14</v>
      </c>
      <c r="D98" s="452" t="s">
        <v>14</v>
      </c>
      <c r="E98" s="452">
        <v>4</v>
      </c>
      <c r="F98" s="452">
        <v>5</v>
      </c>
      <c r="G98" s="452">
        <v>6</v>
      </c>
      <c r="H98" s="567">
        <v>7</v>
      </c>
      <c r="I98" s="567">
        <v>8</v>
      </c>
      <c r="J98" s="452">
        <v>9</v>
      </c>
      <c r="K98" s="452">
        <v>10</v>
      </c>
      <c r="L98" s="452">
        <v>11</v>
      </c>
      <c r="M98" s="452">
        <v>12</v>
      </c>
      <c r="N98" s="452">
        <v>13</v>
      </c>
      <c r="O98" s="567">
        <v>14</v>
      </c>
      <c r="P98" s="567">
        <v>15</v>
      </c>
      <c r="Q98" s="452">
        <v>16</v>
      </c>
      <c r="R98" s="452">
        <v>17</v>
      </c>
      <c r="S98" s="452">
        <v>18</v>
      </c>
      <c r="T98" s="452">
        <v>19</v>
      </c>
      <c r="U98" s="452">
        <v>20</v>
      </c>
      <c r="V98" s="567">
        <v>21</v>
      </c>
      <c r="W98" s="567">
        <v>22</v>
      </c>
      <c r="X98" s="452">
        <v>23</v>
      </c>
      <c r="Y98" s="452">
        <v>24</v>
      </c>
      <c r="Z98" s="452">
        <v>25</v>
      </c>
      <c r="AA98" s="452">
        <v>26</v>
      </c>
      <c r="AB98" s="452">
        <v>27</v>
      </c>
      <c r="AC98" s="567">
        <v>28</v>
      </c>
      <c r="AD98" s="567">
        <v>29</v>
      </c>
      <c r="AE98" s="452">
        <v>30</v>
      </c>
      <c r="AF98" s="452"/>
      <c r="AG98" s="448"/>
    </row>
    <row r="99" spans="1:33">
      <c r="A99" s="450" t="s">
        <v>65</v>
      </c>
      <c r="B99" s="567">
        <v>1</v>
      </c>
      <c r="C99" s="451">
        <v>2</v>
      </c>
      <c r="D99" s="452">
        <v>3</v>
      </c>
      <c r="E99" s="452">
        <v>4</v>
      </c>
      <c r="F99" s="452">
        <v>5</v>
      </c>
      <c r="G99" s="452">
        <v>6</v>
      </c>
      <c r="H99" s="567">
        <v>7</v>
      </c>
      <c r="I99" s="567">
        <v>8</v>
      </c>
      <c r="J99" s="452">
        <v>9</v>
      </c>
      <c r="K99" s="452">
        <v>10</v>
      </c>
      <c r="L99" s="452">
        <v>11</v>
      </c>
      <c r="M99" s="452">
        <v>12</v>
      </c>
      <c r="N99" s="452">
        <v>13</v>
      </c>
      <c r="O99" s="567">
        <v>14</v>
      </c>
      <c r="P99" s="567">
        <v>15</v>
      </c>
      <c r="Q99" s="452">
        <v>16</v>
      </c>
      <c r="R99" s="452">
        <v>17</v>
      </c>
      <c r="S99" s="451" t="s">
        <v>14</v>
      </c>
      <c r="T99" s="451" t="s">
        <v>14</v>
      </c>
      <c r="U99" s="451" t="s">
        <v>14</v>
      </c>
      <c r="V99" s="451" t="s">
        <v>14</v>
      </c>
      <c r="W99" s="451" t="s">
        <v>14</v>
      </c>
      <c r="X99" s="451" t="s">
        <v>14</v>
      </c>
      <c r="Y99" s="451" t="s">
        <v>14</v>
      </c>
      <c r="Z99" s="452">
        <v>25</v>
      </c>
      <c r="AA99" s="452">
        <v>26</v>
      </c>
      <c r="AB99" s="452">
        <v>27</v>
      </c>
      <c r="AC99" s="567">
        <v>28</v>
      </c>
      <c r="AD99" s="567">
        <v>29</v>
      </c>
      <c r="AE99" s="452">
        <v>30</v>
      </c>
      <c r="AF99" s="452"/>
      <c r="AG99" s="448"/>
    </row>
    <row r="100" spans="1:33">
      <c r="A100" s="444">
        <v>46357</v>
      </c>
      <c r="B100" s="897"/>
      <c r="C100" s="897"/>
      <c r="D100" s="897"/>
      <c r="E100" s="897"/>
      <c r="F100" s="897"/>
      <c r="G100" s="897"/>
      <c r="H100" s="897"/>
      <c r="I100" s="897"/>
      <c r="J100" s="897"/>
      <c r="K100" s="897"/>
      <c r="L100" s="897"/>
      <c r="M100" s="897"/>
      <c r="N100" s="897"/>
      <c r="O100" s="897"/>
      <c r="P100" s="897"/>
      <c r="Q100" s="897"/>
      <c r="R100" s="897"/>
      <c r="S100" s="897"/>
      <c r="T100" s="897"/>
      <c r="U100" s="897"/>
      <c r="V100" s="897"/>
      <c r="W100" s="897"/>
      <c r="X100" s="897"/>
      <c r="Y100" s="897"/>
      <c r="Z100" s="897"/>
      <c r="AA100" s="897"/>
      <c r="AB100" s="897"/>
      <c r="AC100" s="897"/>
      <c r="AD100" s="897"/>
      <c r="AE100" s="897"/>
      <c r="AF100" s="897"/>
      <c r="AG100" s="897"/>
    </row>
    <row r="101" spans="1:33">
      <c r="A101" s="446"/>
      <c r="B101" s="447" t="s">
        <v>7</v>
      </c>
      <c r="C101" s="447" t="s">
        <v>1</v>
      </c>
      <c r="D101" s="447" t="s">
        <v>2</v>
      </c>
      <c r="E101" s="447" t="s">
        <v>3</v>
      </c>
      <c r="F101" s="447" t="s">
        <v>4</v>
      </c>
      <c r="G101" s="447" t="s">
        <v>5</v>
      </c>
      <c r="H101" s="447" t="s">
        <v>6</v>
      </c>
      <c r="I101" s="447" t="s">
        <v>7</v>
      </c>
      <c r="J101" s="447" t="s">
        <v>1</v>
      </c>
      <c r="K101" s="447" t="s">
        <v>2</v>
      </c>
      <c r="L101" s="447" t="s">
        <v>3</v>
      </c>
      <c r="M101" s="447" t="s">
        <v>4</v>
      </c>
      <c r="N101" s="447" t="s">
        <v>5</v>
      </c>
      <c r="O101" s="447" t="s">
        <v>6</v>
      </c>
      <c r="P101" s="447" t="s">
        <v>7</v>
      </c>
      <c r="Q101" s="447" t="s">
        <v>1</v>
      </c>
      <c r="R101" s="447" t="s">
        <v>2</v>
      </c>
      <c r="S101" s="447" t="s">
        <v>3</v>
      </c>
      <c r="T101" s="447" t="s">
        <v>4</v>
      </c>
      <c r="U101" s="447" t="s">
        <v>5</v>
      </c>
      <c r="V101" s="447" t="s">
        <v>6</v>
      </c>
      <c r="W101" s="447" t="s">
        <v>7</v>
      </c>
      <c r="X101" s="447" t="s">
        <v>1</v>
      </c>
      <c r="Y101" s="447" t="s">
        <v>2</v>
      </c>
      <c r="Z101" s="447" t="s">
        <v>3</v>
      </c>
      <c r="AA101" s="447" t="s">
        <v>4</v>
      </c>
      <c r="AB101" s="447" t="s">
        <v>5</v>
      </c>
      <c r="AC101" s="447" t="s">
        <v>6</v>
      </c>
      <c r="AD101" s="447" t="s">
        <v>7</v>
      </c>
      <c r="AE101" s="447" t="s">
        <v>1</v>
      </c>
      <c r="AF101" s="447" t="s">
        <v>2</v>
      </c>
      <c r="AG101" s="448"/>
    </row>
    <row r="102" spans="1:33">
      <c r="A102" s="450" t="s">
        <v>61</v>
      </c>
      <c r="B102" s="452">
        <v>1</v>
      </c>
      <c r="C102" s="451" t="s">
        <v>14</v>
      </c>
      <c r="D102" s="451" t="s">
        <v>14</v>
      </c>
      <c r="E102" s="451" t="s">
        <v>14</v>
      </c>
      <c r="F102" s="451" t="s">
        <v>14</v>
      </c>
      <c r="G102" s="451" t="s">
        <v>14</v>
      </c>
      <c r="H102" s="451" t="s">
        <v>14</v>
      </c>
      <c r="I102" s="451" t="s">
        <v>14</v>
      </c>
      <c r="J102" s="452">
        <v>9</v>
      </c>
      <c r="K102" s="452">
        <v>10</v>
      </c>
      <c r="L102" s="452">
        <v>11</v>
      </c>
      <c r="M102" s="567">
        <v>12</v>
      </c>
      <c r="N102" s="567">
        <v>13</v>
      </c>
      <c r="O102" s="452">
        <v>14</v>
      </c>
      <c r="P102" s="452">
        <v>15</v>
      </c>
      <c r="Q102" s="452">
        <v>16</v>
      </c>
      <c r="R102" s="452">
        <v>17</v>
      </c>
      <c r="S102" s="452">
        <v>18</v>
      </c>
      <c r="T102" s="567">
        <v>19</v>
      </c>
      <c r="U102" s="567">
        <v>20</v>
      </c>
      <c r="V102" s="452">
        <v>21</v>
      </c>
      <c r="W102" s="452">
        <v>22</v>
      </c>
      <c r="X102" s="452">
        <v>23</v>
      </c>
      <c r="Y102" s="452">
        <v>24</v>
      </c>
      <c r="Z102" s="451">
        <v>25</v>
      </c>
      <c r="AA102" s="567">
        <v>26</v>
      </c>
      <c r="AB102" s="567">
        <v>27</v>
      </c>
      <c r="AC102" s="452">
        <v>28</v>
      </c>
      <c r="AD102" s="452">
        <v>29</v>
      </c>
      <c r="AE102" s="452">
        <v>30</v>
      </c>
      <c r="AF102" s="452">
        <v>31</v>
      </c>
      <c r="AG102" s="448"/>
    </row>
    <row r="103" spans="1:33">
      <c r="A103" s="450" t="s">
        <v>24</v>
      </c>
      <c r="B103" s="452">
        <v>1</v>
      </c>
      <c r="C103" s="452">
        <v>2</v>
      </c>
      <c r="D103" s="452">
        <v>3</v>
      </c>
      <c r="E103" s="452">
        <v>4</v>
      </c>
      <c r="F103" s="567">
        <v>5</v>
      </c>
      <c r="G103" s="567">
        <v>6</v>
      </c>
      <c r="H103" s="451">
        <v>7</v>
      </c>
      <c r="I103" s="451">
        <v>8</v>
      </c>
      <c r="J103" s="451" t="s">
        <v>14</v>
      </c>
      <c r="K103" s="451" t="s">
        <v>14</v>
      </c>
      <c r="L103" s="451" t="s">
        <v>14</v>
      </c>
      <c r="M103" s="451" t="s">
        <v>14</v>
      </c>
      <c r="N103" s="451" t="s">
        <v>14</v>
      </c>
      <c r="O103" s="451" t="s">
        <v>14</v>
      </c>
      <c r="P103" s="451" t="s">
        <v>14</v>
      </c>
      <c r="Q103" s="452">
        <v>16</v>
      </c>
      <c r="R103" s="452">
        <v>17</v>
      </c>
      <c r="S103" s="452">
        <v>18</v>
      </c>
      <c r="T103" s="567">
        <v>19</v>
      </c>
      <c r="U103" s="567">
        <v>20</v>
      </c>
      <c r="V103" s="452">
        <v>21</v>
      </c>
      <c r="W103" s="452">
        <v>22</v>
      </c>
      <c r="X103" s="452">
        <v>23</v>
      </c>
      <c r="Y103" s="452">
        <v>24</v>
      </c>
      <c r="Z103" s="451">
        <v>25</v>
      </c>
      <c r="AA103" s="567">
        <v>26</v>
      </c>
      <c r="AB103" s="567">
        <v>27</v>
      </c>
      <c r="AC103" s="452">
        <v>28</v>
      </c>
      <c r="AD103" s="452">
        <v>29</v>
      </c>
      <c r="AE103" s="452">
        <v>30</v>
      </c>
      <c r="AF103" s="452">
        <v>31</v>
      </c>
      <c r="AG103" s="448"/>
    </row>
    <row r="104" spans="1:33">
      <c r="A104" s="450" t="s">
        <v>15</v>
      </c>
      <c r="B104" s="452">
        <v>1</v>
      </c>
      <c r="C104" s="452">
        <v>2</v>
      </c>
      <c r="D104" s="452">
        <v>3</v>
      </c>
      <c r="E104" s="452">
        <v>4</v>
      </c>
      <c r="F104" s="567">
        <v>5</v>
      </c>
      <c r="G104" s="567">
        <v>6</v>
      </c>
      <c r="H104" s="451">
        <v>7</v>
      </c>
      <c r="I104" s="451">
        <v>8</v>
      </c>
      <c r="J104" s="452">
        <v>9</v>
      </c>
      <c r="K104" s="452">
        <v>10</v>
      </c>
      <c r="L104" s="452">
        <v>11</v>
      </c>
      <c r="M104" s="567">
        <v>12</v>
      </c>
      <c r="N104" s="567">
        <v>13</v>
      </c>
      <c r="O104" s="452">
        <v>14</v>
      </c>
      <c r="P104" s="452">
        <v>15</v>
      </c>
      <c r="Q104" s="452">
        <v>16</v>
      </c>
      <c r="R104" s="452">
        <v>17</v>
      </c>
      <c r="S104" s="452">
        <v>18</v>
      </c>
      <c r="T104" s="567">
        <v>19</v>
      </c>
      <c r="U104" s="567">
        <v>20</v>
      </c>
      <c r="V104" s="452">
        <v>21</v>
      </c>
      <c r="W104" s="452">
        <v>22</v>
      </c>
      <c r="X104" s="451" t="s">
        <v>14</v>
      </c>
      <c r="Y104" s="451" t="s">
        <v>14</v>
      </c>
      <c r="Z104" s="451" t="s">
        <v>14</v>
      </c>
      <c r="AA104" s="451" t="s">
        <v>14</v>
      </c>
      <c r="AB104" s="451" t="s">
        <v>14</v>
      </c>
      <c r="AC104" s="451" t="s">
        <v>14</v>
      </c>
      <c r="AD104" s="451" t="s">
        <v>14</v>
      </c>
      <c r="AE104" s="452">
        <v>30</v>
      </c>
      <c r="AF104" s="452">
        <v>31</v>
      </c>
      <c r="AG104" s="448"/>
    </row>
    <row r="105" spans="1:33">
      <c r="A105" s="450" t="s">
        <v>18</v>
      </c>
      <c r="B105" s="452" t="s">
        <v>14</v>
      </c>
      <c r="C105" s="452">
        <v>2</v>
      </c>
      <c r="D105" s="452">
        <v>3</v>
      </c>
      <c r="E105" s="452">
        <v>4</v>
      </c>
      <c r="F105" s="567">
        <v>5</v>
      </c>
      <c r="G105" s="567">
        <v>6</v>
      </c>
      <c r="H105" s="451">
        <v>7</v>
      </c>
      <c r="I105" s="451">
        <v>8</v>
      </c>
      <c r="J105" s="452">
        <v>9</v>
      </c>
      <c r="K105" s="452">
        <v>10</v>
      </c>
      <c r="L105" s="452">
        <v>11</v>
      </c>
      <c r="M105" s="567">
        <v>12</v>
      </c>
      <c r="N105" s="567">
        <v>13</v>
      </c>
      <c r="O105" s="452">
        <v>14</v>
      </c>
      <c r="P105" s="452">
        <v>15</v>
      </c>
      <c r="Q105" s="452">
        <v>16</v>
      </c>
      <c r="R105" s="452">
        <v>17</v>
      </c>
      <c r="S105" s="452">
        <v>18</v>
      </c>
      <c r="T105" s="567">
        <v>19</v>
      </c>
      <c r="U105" s="567">
        <v>20</v>
      </c>
      <c r="V105" s="452">
        <v>21</v>
      </c>
      <c r="W105" s="452">
        <v>22</v>
      </c>
      <c r="X105" s="452">
        <v>23</v>
      </c>
      <c r="Y105" s="452">
        <v>24</v>
      </c>
      <c r="Z105" s="451">
        <v>25</v>
      </c>
      <c r="AA105" s="567">
        <v>26</v>
      </c>
      <c r="AB105" s="567">
        <v>27</v>
      </c>
      <c r="AC105" s="452">
        <v>28</v>
      </c>
      <c r="AD105" s="452">
        <v>29</v>
      </c>
      <c r="AE105" s="452">
        <v>30</v>
      </c>
      <c r="AF105" s="452">
        <v>31</v>
      </c>
      <c r="AG105" s="448"/>
    </row>
    <row r="106" spans="1:33">
      <c r="A106" s="450" t="s">
        <v>21</v>
      </c>
      <c r="B106" s="452">
        <v>1</v>
      </c>
      <c r="C106" s="452">
        <v>2</v>
      </c>
      <c r="D106" s="452">
        <v>3</v>
      </c>
      <c r="E106" s="452">
        <v>4</v>
      </c>
      <c r="F106" s="567">
        <v>5</v>
      </c>
      <c r="G106" s="567">
        <v>6</v>
      </c>
      <c r="H106" s="451">
        <v>7</v>
      </c>
      <c r="I106" s="451">
        <v>8</v>
      </c>
      <c r="J106" s="452">
        <v>9</v>
      </c>
      <c r="K106" s="452">
        <v>10</v>
      </c>
      <c r="L106" s="452">
        <v>11</v>
      </c>
      <c r="M106" s="567">
        <v>12</v>
      </c>
      <c r="N106" s="567">
        <v>13</v>
      </c>
      <c r="O106" s="452">
        <v>14</v>
      </c>
      <c r="P106" s="452">
        <v>15</v>
      </c>
      <c r="Q106" s="452">
        <v>16</v>
      </c>
      <c r="R106" s="452">
        <v>17</v>
      </c>
      <c r="S106" s="452">
        <v>18</v>
      </c>
      <c r="T106" s="567">
        <v>19</v>
      </c>
      <c r="U106" s="567">
        <v>20</v>
      </c>
      <c r="V106" s="452">
        <v>21</v>
      </c>
      <c r="W106" s="452">
        <v>22</v>
      </c>
      <c r="X106" s="452">
        <v>23</v>
      </c>
      <c r="Y106" s="452">
        <v>24</v>
      </c>
      <c r="Z106" s="451">
        <v>25</v>
      </c>
      <c r="AA106" s="567">
        <v>26</v>
      </c>
      <c r="AB106" s="567">
        <v>27</v>
      </c>
      <c r="AC106" s="452">
        <v>28</v>
      </c>
      <c r="AD106" s="452">
        <v>29</v>
      </c>
      <c r="AE106" s="452">
        <v>30</v>
      </c>
      <c r="AF106" s="452">
        <v>31</v>
      </c>
      <c r="AG106" s="448"/>
    </row>
    <row r="107" spans="1:33">
      <c r="A107" s="450" t="s">
        <v>62</v>
      </c>
      <c r="B107" s="452">
        <v>1</v>
      </c>
      <c r="C107" s="452">
        <v>2</v>
      </c>
      <c r="D107" s="452">
        <v>3</v>
      </c>
      <c r="E107" s="452">
        <v>4</v>
      </c>
      <c r="F107" s="567">
        <v>5</v>
      </c>
      <c r="G107" s="567">
        <v>6</v>
      </c>
      <c r="H107" s="451">
        <v>7</v>
      </c>
      <c r="I107" s="451">
        <v>8</v>
      </c>
      <c r="J107" s="452">
        <v>9</v>
      </c>
      <c r="K107" s="452">
        <v>10</v>
      </c>
      <c r="L107" s="452">
        <v>11</v>
      </c>
      <c r="M107" s="567">
        <v>12</v>
      </c>
      <c r="N107" s="567">
        <v>13</v>
      </c>
      <c r="O107" s="452">
        <v>14</v>
      </c>
      <c r="P107" s="452">
        <v>15</v>
      </c>
      <c r="Q107" s="451" t="s">
        <v>14</v>
      </c>
      <c r="R107" s="451" t="s">
        <v>14</v>
      </c>
      <c r="S107" s="451" t="s">
        <v>14</v>
      </c>
      <c r="T107" s="451" t="s">
        <v>14</v>
      </c>
      <c r="U107" s="451" t="s">
        <v>14</v>
      </c>
      <c r="V107" s="451" t="s">
        <v>14</v>
      </c>
      <c r="W107" s="451" t="s">
        <v>14</v>
      </c>
      <c r="X107" s="452">
        <v>23</v>
      </c>
      <c r="Y107" s="452">
        <v>24</v>
      </c>
      <c r="Z107" s="451">
        <v>25</v>
      </c>
      <c r="AA107" s="567">
        <v>26</v>
      </c>
      <c r="AB107" s="567">
        <v>27</v>
      </c>
      <c r="AC107" s="452">
        <v>28</v>
      </c>
      <c r="AD107" s="452">
        <v>29</v>
      </c>
      <c r="AE107" s="452">
        <v>30</v>
      </c>
      <c r="AF107" s="452">
        <v>31</v>
      </c>
      <c r="AG107" s="448"/>
    </row>
    <row r="108" spans="1:33">
      <c r="A108" s="450" t="s">
        <v>65</v>
      </c>
      <c r="B108" s="452">
        <v>1</v>
      </c>
      <c r="C108" s="452">
        <v>2</v>
      </c>
      <c r="D108" s="452">
        <v>3</v>
      </c>
      <c r="E108" s="452">
        <v>4</v>
      </c>
      <c r="F108" s="567">
        <v>5</v>
      </c>
      <c r="G108" s="567">
        <v>6</v>
      </c>
      <c r="H108" s="451">
        <v>7</v>
      </c>
      <c r="I108" s="451">
        <v>8</v>
      </c>
      <c r="J108" s="452">
        <v>9</v>
      </c>
      <c r="K108" s="452">
        <v>10</v>
      </c>
      <c r="L108" s="452">
        <v>11</v>
      </c>
      <c r="M108" s="567">
        <v>12</v>
      </c>
      <c r="N108" s="567">
        <v>13</v>
      </c>
      <c r="O108" s="452">
        <v>14</v>
      </c>
      <c r="P108" s="452">
        <v>15</v>
      </c>
      <c r="Q108" s="452">
        <v>16</v>
      </c>
      <c r="R108" s="452">
        <v>17</v>
      </c>
      <c r="S108" s="452">
        <v>18</v>
      </c>
      <c r="T108" s="567">
        <v>19</v>
      </c>
      <c r="U108" s="567">
        <v>20</v>
      </c>
      <c r="V108" s="452">
        <v>21</v>
      </c>
      <c r="W108" s="452">
        <v>22</v>
      </c>
      <c r="X108" s="452">
        <v>23</v>
      </c>
      <c r="Y108" s="452">
        <v>24</v>
      </c>
      <c r="Z108" s="451">
        <v>25</v>
      </c>
      <c r="AA108" s="567">
        <v>26</v>
      </c>
      <c r="AB108" s="567">
        <v>27</v>
      </c>
      <c r="AC108" s="452">
        <v>28</v>
      </c>
      <c r="AD108" s="452">
        <v>29</v>
      </c>
      <c r="AE108" s="452">
        <v>30</v>
      </c>
      <c r="AF108" s="452">
        <v>31</v>
      </c>
      <c r="AG108" s="448"/>
    </row>
    <row r="109" spans="1:33">
      <c r="A109" s="444">
        <v>46388</v>
      </c>
      <c r="B109" s="897"/>
      <c r="C109" s="897"/>
      <c r="D109" s="897"/>
      <c r="E109" s="897"/>
      <c r="F109" s="897"/>
      <c r="G109" s="897"/>
      <c r="H109" s="897"/>
      <c r="I109" s="897"/>
      <c r="J109" s="897"/>
      <c r="K109" s="897"/>
      <c r="L109" s="897"/>
      <c r="M109" s="897"/>
      <c r="N109" s="897"/>
      <c r="O109" s="897"/>
      <c r="P109" s="897"/>
      <c r="Q109" s="897"/>
      <c r="R109" s="897"/>
      <c r="S109" s="897"/>
      <c r="T109" s="897"/>
      <c r="U109" s="897"/>
      <c r="V109" s="897"/>
      <c r="W109" s="897"/>
      <c r="X109" s="897"/>
      <c r="Y109" s="897"/>
      <c r="Z109" s="897"/>
      <c r="AA109" s="897"/>
      <c r="AB109" s="897"/>
      <c r="AC109" s="897"/>
      <c r="AD109" s="897"/>
      <c r="AE109" s="897"/>
      <c r="AF109" s="897"/>
      <c r="AG109" s="897"/>
    </row>
    <row r="110" spans="1:33">
      <c r="A110" s="446"/>
      <c r="B110" s="447" t="s">
        <v>3</v>
      </c>
      <c r="C110" s="447" t="s">
        <v>4</v>
      </c>
      <c r="D110" s="447" t="s">
        <v>5</v>
      </c>
      <c r="E110" s="447" t="s">
        <v>6</v>
      </c>
      <c r="F110" s="447" t="s">
        <v>7</v>
      </c>
      <c r="G110" s="447" t="s">
        <v>1</v>
      </c>
      <c r="H110" s="447" t="s">
        <v>2</v>
      </c>
      <c r="I110" s="447" t="s">
        <v>3</v>
      </c>
      <c r="J110" s="447" t="s">
        <v>4</v>
      </c>
      <c r="K110" s="447" t="s">
        <v>5</v>
      </c>
      <c r="L110" s="447" t="s">
        <v>6</v>
      </c>
      <c r="M110" s="447" t="s">
        <v>7</v>
      </c>
      <c r="N110" s="447" t="s">
        <v>1</v>
      </c>
      <c r="O110" s="447" t="s">
        <v>2</v>
      </c>
      <c r="P110" s="447" t="s">
        <v>3</v>
      </c>
      <c r="Q110" s="447" t="s">
        <v>4</v>
      </c>
      <c r="R110" s="447" t="s">
        <v>5</v>
      </c>
      <c r="S110" s="447" t="s">
        <v>6</v>
      </c>
      <c r="T110" s="447" t="s">
        <v>7</v>
      </c>
      <c r="U110" s="447" t="s">
        <v>1</v>
      </c>
      <c r="V110" s="447" t="s">
        <v>2</v>
      </c>
      <c r="W110" s="447" t="s">
        <v>3</v>
      </c>
      <c r="X110" s="447" t="s">
        <v>4</v>
      </c>
      <c r="Y110" s="447" t="s">
        <v>5</v>
      </c>
      <c r="Z110" s="447" t="s">
        <v>6</v>
      </c>
      <c r="AA110" s="447" t="s">
        <v>7</v>
      </c>
      <c r="AB110" s="447" t="s">
        <v>1</v>
      </c>
      <c r="AC110" s="447" t="s">
        <v>2</v>
      </c>
      <c r="AD110" s="447" t="s">
        <v>3</v>
      </c>
      <c r="AE110" s="447" t="s">
        <v>4</v>
      </c>
      <c r="AF110" s="447" t="s">
        <v>5</v>
      </c>
      <c r="AG110" s="448"/>
    </row>
    <row r="111" spans="1:33">
      <c r="A111" s="450" t="s">
        <v>61</v>
      </c>
      <c r="B111" s="451">
        <v>1</v>
      </c>
      <c r="C111" s="567">
        <v>2</v>
      </c>
      <c r="D111" s="567">
        <v>3</v>
      </c>
      <c r="E111" s="452">
        <v>4</v>
      </c>
      <c r="F111" s="452">
        <v>5</v>
      </c>
      <c r="G111" s="451">
        <v>6</v>
      </c>
      <c r="H111" s="452">
        <v>7</v>
      </c>
      <c r="I111" s="452">
        <v>8</v>
      </c>
      <c r="J111" s="567">
        <v>9</v>
      </c>
      <c r="K111" s="567">
        <v>10</v>
      </c>
      <c r="L111" s="452">
        <v>11</v>
      </c>
      <c r="M111" s="452">
        <v>12</v>
      </c>
      <c r="N111" s="452">
        <v>13</v>
      </c>
      <c r="O111" s="452">
        <v>14</v>
      </c>
      <c r="P111" s="452">
        <v>15</v>
      </c>
      <c r="Q111" s="567">
        <v>16</v>
      </c>
      <c r="R111" s="567">
        <v>17</v>
      </c>
      <c r="S111" s="452">
        <v>18</v>
      </c>
      <c r="T111" s="452">
        <v>19</v>
      </c>
      <c r="U111" s="452">
        <v>20</v>
      </c>
      <c r="V111" s="452">
        <v>21</v>
      </c>
      <c r="W111" s="452">
        <v>22</v>
      </c>
      <c r="X111" s="567">
        <v>23</v>
      </c>
      <c r="Y111" s="567">
        <v>24</v>
      </c>
      <c r="Z111" s="452">
        <v>25</v>
      </c>
      <c r="AA111" s="452">
        <v>26</v>
      </c>
      <c r="AB111" s="452">
        <v>27</v>
      </c>
      <c r="AC111" s="452">
        <v>28</v>
      </c>
      <c r="AD111" s="452">
        <v>29</v>
      </c>
      <c r="AE111" s="567">
        <v>30</v>
      </c>
      <c r="AF111" s="567">
        <v>31</v>
      </c>
      <c r="AG111" s="448"/>
    </row>
    <row r="112" spans="1:33">
      <c r="A112" s="450" t="s">
        <v>24</v>
      </c>
      <c r="B112" s="451">
        <v>1</v>
      </c>
      <c r="C112" s="567">
        <v>2</v>
      </c>
      <c r="D112" s="567">
        <v>3</v>
      </c>
      <c r="E112" s="452" t="s">
        <v>9</v>
      </c>
      <c r="F112" s="452" t="s">
        <v>9</v>
      </c>
      <c r="G112" s="451">
        <v>6</v>
      </c>
      <c r="H112" s="452" t="s">
        <v>9</v>
      </c>
      <c r="I112" s="452" t="s">
        <v>9</v>
      </c>
      <c r="J112" s="567">
        <v>9</v>
      </c>
      <c r="K112" s="567">
        <v>10</v>
      </c>
      <c r="L112" s="452" t="s">
        <v>9</v>
      </c>
      <c r="M112" s="452" t="s">
        <v>9</v>
      </c>
      <c r="N112" s="452" t="s">
        <v>9</v>
      </c>
      <c r="O112" s="452">
        <v>14</v>
      </c>
      <c r="P112" s="452">
        <v>15</v>
      </c>
      <c r="Q112" s="567">
        <v>16</v>
      </c>
      <c r="R112" s="567">
        <v>17</v>
      </c>
      <c r="S112" s="452">
        <v>18</v>
      </c>
      <c r="T112" s="452">
        <v>19</v>
      </c>
      <c r="U112" s="452">
        <v>20</v>
      </c>
      <c r="V112" s="452">
        <v>21</v>
      </c>
      <c r="W112" s="452">
        <v>22</v>
      </c>
      <c r="X112" s="567">
        <v>23</v>
      </c>
      <c r="Y112" s="567">
        <v>24</v>
      </c>
      <c r="Z112" s="452">
        <v>25</v>
      </c>
      <c r="AA112" s="452">
        <v>26</v>
      </c>
      <c r="AB112" s="452">
        <v>27</v>
      </c>
      <c r="AC112" s="452">
        <v>28</v>
      </c>
      <c r="AD112" s="452">
        <v>29</v>
      </c>
      <c r="AE112" s="567">
        <v>30</v>
      </c>
      <c r="AF112" s="567">
        <v>31</v>
      </c>
      <c r="AG112" s="448"/>
    </row>
    <row r="113" spans="1:33">
      <c r="A113" s="450" t="s">
        <v>15</v>
      </c>
      <c r="B113" s="451">
        <v>1</v>
      </c>
      <c r="C113" s="567">
        <v>2</v>
      </c>
      <c r="D113" s="567">
        <v>3</v>
      </c>
      <c r="E113" s="452">
        <v>4</v>
      </c>
      <c r="F113" s="452">
        <v>5</v>
      </c>
      <c r="G113" s="451">
        <v>6</v>
      </c>
      <c r="H113" s="452">
        <v>7</v>
      </c>
      <c r="I113" s="452">
        <v>8</v>
      </c>
      <c r="J113" s="567">
        <v>9</v>
      </c>
      <c r="K113" s="567">
        <v>10</v>
      </c>
      <c r="L113" s="452">
        <v>11</v>
      </c>
      <c r="M113" s="452">
        <v>12</v>
      </c>
      <c r="N113" s="452">
        <v>13</v>
      </c>
      <c r="O113" s="452">
        <v>14</v>
      </c>
      <c r="P113" s="452">
        <v>15</v>
      </c>
      <c r="Q113" s="567">
        <v>16</v>
      </c>
      <c r="R113" s="567">
        <v>17</v>
      </c>
      <c r="S113" s="452">
        <v>18</v>
      </c>
      <c r="T113" s="452">
        <v>19</v>
      </c>
      <c r="U113" s="452">
        <v>20</v>
      </c>
      <c r="V113" s="452">
        <v>21</v>
      </c>
      <c r="W113" s="452">
        <v>22</v>
      </c>
      <c r="X113" s="567">
        <v>23</v>
      </c>
      <c r="Y113" s="567">
        <v>24</v>
      </c>
      <c r="Z113" s="452">
        <v>25</v>
      </c>
      <c r="AA113" s="452">
        <v>26</v>
      </c>
      <c r="AB113" s="452">
        <v>27</v>
      </c>
      <c r="AC113" s="452">
        <v>28</v>
      </c>
      <c r="AD113" s="452">
        <v>29</v>
      </c>
      <c r="AE113" s="567">
        <v>30</v>
      </c>
      <c r="AF113" s="567">
        <v>31</v>
      </c>
      <c r="AG113" s="448"/>
    </row>
    <row r="114" spans="1:33">
      <c r="A114" s="450" t="s">
        <v>18</v>
      </c>
      <c r="B114" s="451">
        <v>1</v>
      </c>
      <c r="C114" s="567">
        <v>2</v>
      </c>
      <c r="D114" s="567">
        <v>3</v>
      </c>
      <c r="E114" s="452">
        <v>4</v>
      </c>
      <c r="F114" s="452">
        <v>5</v>
      </c>
      <c r="G114" s="451">
        <v>6</v>
      </c>
      <c r="H114" s="452">
        <v>7</v>
      </c>
      <c r="I114" s="452">
        <v>8</v>
      </c>
      <c r="J114" s="567">
        <v>9</v>
      </c>
      <c r="K114" s="567">
        <v>10</v>
      </c>
      <c r="L114" s="452">
        <v>11</v>
      </c>
      <c r="M114" s="452">
        <v>12</v>
      </c>
      <c r="N114" s="452">
        <v>13</v>
      </c>
      <c r="O114" s="452">
        <v>14</v>
      </c>
      <c r="P114" s="452">
        <v>15</v>
      </c>
      <c r="Q114" s="567">
        <v>16</v>
      </c>
      <c r="R114" s="567">
        <v>17</v>
      </c>
      <c r="S114" s="452">
        <v>18</v>
      </c>
      <c r="T114" s="452">
        <v>19</v>
      </c>
      <c r="U114" s="452">
        <v>20</v>
      </c>
      <c r="V114" s="452">
        <v>21</v>
      </c>
      <c r="W114" s="452">
        <v>22</v>
      </c>
      <c r="X114" s="567">
        <v>23</v>
      </c>
      <c r="Y114" s="567">
        <v>24</v>
      </c>
      <c r="Z114" s="452">
        <v>25</v>
      </c>
      <c r="AA114" s="452">
        <v>26</v>
      </c>
      <c r="AB114" s="452">
        <v>27</v>
      </c>
      <c r="AC114" s="452">
        <v>28</v>
      </c>
      <c r="AD114" s="452">
        <v>29</v>
      </c>
      <c r="AE114" s="567">
        <v>30</v>
      </c>
      <c r="AF114" s="567">
        <v>31</v>
      </c>
      <c r="AG114" s="448"/>
    </row>
    <row r="115" spans="1:33">
      <c r="A115" s="450" t="s">
        <v>21</v>
      </c>
      <c r="B115" s="451">
        <v>1</v>
      </c>
      <c r="C115" s="567">
        <v>2</v>
      </c>
      <c r="D115" s="567">
        <v>3</v>
      </c>
      <c r="E115" s="452" t="s">
        <v>9</v>
      </c>
      <c r="F115" s="452" t="s">
        <v>9</v>
      </c>
      <c r="G115" s="451">
        <v>6</v>
      </c>
      <c r="H115" s="452" t="s">
        <v>9</v>
      </c>
      <c r="I115" s="452" t="s">
        <v>9</v>
      </c>
      <c r="J115" s="567">
        <v>9</v>
      </c>
      <c r="K115" s="567">
        <v>10</v>
      </c>
      <c r="L115" s="452">
        <v>11</v>
      </c>
      <c r="M115" s="452">
        <v>12</v>
      </c>
      <c r="N115" s="452">
        <v>13</v>
      </c>
      <c r="O115" s="452">
        <v>14</v>
      </c>
      <c r="P115" s="452">
        <v>15</v>
      </c>
      <c r="Q115" s="567">
        <v>16</v>
      </c>
      <c r="R115" s="567">
        <v>17</v>
      </c>
      <c r="S115" s="452">
        <v>18</v>
      </c>
      <c r="T115" s="452">
        <v>19</v>
      </c>
      <c r="U115" s="452">
        <v>20</v>
      </c>
      <c r="V115" s="452">
        <v>21</v>
      </c>
      <c r="W115" s="452">
        <v>22</v>
      </c>
      <c r="X115" s="567">
        <v>23</v>
      </c>
      <c r="Y115" s="567">
        <v>24</v>
      </c>
      <c r="Z115" s="452">
        <v>25</v>
      </c>
      <c r="AA115" s="452">
        <v>26</v>
      </c>
      <c r="AB115" s="452">
        <v>27</v>
      </c>
      <c r="AC115" s="452">
        <v>28</v>
      </c>
      <c r="AD115" s="452">
        <v>29</v>
      </c>
      <c r="AE115" s="567">
        <v>30</v>
      </c>
      <c r="AF115" s="567">
        <v>31</v>
      </c>
      <c r="AG115" s="448"/>
    </row>
    <row r="116" spans="1:33">
      <c r="A116" s="450" t="s">
        <v>62</v>
      </c>
      <c r="B116" s="451">
        <v>1</v>
      </c>
      <c r="C116" s="567">
        <v>2</v>
      </c>
      <c r="D116" s="567">
        <v>3</v>
      </c>
      <c r="E116" s="452">
        <v>4</v>
      </c>
      <c r="F116" s="452">
        <v>5</v>
      </c>
      <c r="G116" s="451">
        <v>6</v>
      </c>
      <c r="H116" s="452">
        <v>7</v>
      </c>
      <c r="I116" s="452">
        <v>8</v>
      </c>
      <c r="J116" s="567">
        <v>9</v>
      </c>
      <c r="K116" s="567">
        <v>10</v>
      </c>
      <c r="L116" s="452">
        <v>11</v>
      </c>
      <c r="M116" s="452">
        <v>12</v>
      </c>
      <c r="N116" s="452">
        <v>13</v>
      </c>
      <c r="O116" s="452">
        <v>14</v>
      </c>
      <c r="P116" s="452">
        <v>15</v>
      </c>
      <c r="Q116" s="567">
        <v>16</v>
      </c>
      <c r="R116" s="567">
        <v>17</v>
      </c>
      <c r="S116" s="452">
        <v>18</v>
      </c>
      <c r="T116" s="452">
        <v>19</v>
      </c>
      <c r="U116" s="452">
        <v>20</v>
      </c>
      <c r="V116" s="452">
        <v>21</v>
      </c>
      <c r="W116" s="452">
        <v>22</v>
      </c>
      <c r="X116" s="567">
        <v>23</v>
      </c>
      <c r="Y116" s="567">
        <v>24</v>
      </c>
      <c r="Z116" s="452">
        <v>25</v>
      </c>
      <c r="AA116" s="452">
        <v>26</v>
      </c>
      <c r="AB116" s="452">
        <v>27</v>
      </c>
      <c r="AC116" s="452">
        <v>28</v>
      </c>
      <c r="AD116" s="452">
        <v>29</v>
      </c>
      <c r="AE116" s="567">
        <v>30</v>
      </c>
      <c r="AF116" s="567">
        <v>31</v>
      </c>
      <c r="AG116" s="448"/>
    </row>
    <row r="117" spans="1:33">
      <c r="A117" s="450" t="s">
        <v>65</v>
      </c>
      <c r="B117" s="451">
        <v>1</v>
      </c>
      <c r="C117" s="567">
        <v>2</v>
      </c>
      <c r="D117" s="567">
        <v>3</v>
      </c>
      <c r="E117" s="452">
        <v>4</v>
      </c>
      <c r="F117" s="452">
        <v>5</v>
      </c>
      <c r="G117" s="451">
        <v>6</v>
      </c>
      <c r="H117" s="452">
        <v>7</v>
      </c>
      <c r="I117" s="452">
        <v>8</v>
      </c>
      <c r="J117" s="567">
        <v>9</v>
      </c>
      <c r="K117" s="567">
        <v>10</v>
      </c>
      <c r="L117" s="452">
        <v>11</v>
      </c>
      <c r="M117" s="452">
        <v>12</v>
      </c>
      <c r="N117" s="452">
        <v>13</v>
      </c>
      <c r="O117" s="452">
        <v>14</v>
      </c>
      <c r="P117" s="452">
        <v>15</v>
      </c>
      <c r="Q117" s="567">
        <v>16</v>
      </c>
      <c r="R117" s="567">
        <v>17</v>
      </c>
      <c r="S117" s="452">
        <v>18</v>
      </c>
      <c r="T117" s="452">
        <v>19</v>
      </c>
      <c r="U117" s="452">
        <v>20</v>
      </c>
      <c r="V117" s="452">
        <v>21</v>
      </c>
      <c r="W117" s="452">
        <v>22</v>
      </c>
      <c r="X117" s="567">
        <v>23</v>
      </c>
      <c r="Y117" s="567">
        <v>24</v>
      </c>
      <c r="Z117" s="452">
        <v>25</v>
      </c>
      <c r="AA117" s="452">
        <v>26</v>
      </c>
      <c r="AB117" s="452">
        <v>27</v>
      </c>
      <c r="AC117" s="452">
        <v>28</v>
      </c>
      <c r="AD117" s="452">
        <v>29</v>
      </c>
      <c r="AE117" s="567">
        <v>30</v>
      </c>
      <c r="AF117" s="567">
        <v>31</v>
      </c>
      <c r="AG117" s="448"/>
    </row>
    <row r="118" spans="1:33">
      <c r="A118" s="814"/>
      <c r="B118" s="568"/>
      <c r="C118" s="815"/>
      <c r="D118" s="816"/>
      <c r="E118" s="586"/>
      <c r="F118" s="586"/>
      <c r="G118" s="586"/>
      <c r="H118" s="586"/>
      <c r="I118" s="817"/>
      <c r="J118" s="452"/>
      <c r="K118" s="818"/>
      <c r="L118" s="818"/>
      <c r="M118" s="586"/>
      <c r="N118" s="586"/>
      <c r="O118" s="586"/>
      <c r="P118" s="586"/>
      <c r="Q118" s="586"/>
      <c r="R118" s="452"/>
      <c r="S118" s="452"/>
      <c r="T118" s="452"/>
      <c r="U118" s="452"/>
      <c r="V118" s="452"/>
      <c r="W118" s="452"/>
      <c r="X118" s="452"/>
      <c r="Y118" s="452"/>
      <c r="Z118" s="452"/>
      <c r="AA118" s="452"/>
      <c r="AB118" s="452"/>
      <c r="AC118" s="452"/>
      <c r="AD118" s="452"/>
      <c r="AE118" s="452"/>
      <c r="AF118" s="452"/>
      <c r="AG118" s="448"/>
    </row>
    <row r="120" spans="1:33">
      <c r="A120" s="558" t="s">
        <v>67</v>
      </c>
      <c r="B120" s="898" t="s">
        <v>68</v>
      </c>
      <c r="C120" s="899"/>
      <c r="D120" s="900"/>
    </row>
    <row r="121" spans="1:33">
      <c r="A121" s="450" t="s">
        <v>61</v>
      </c>
      <c r="B121" s="458">
        <v>2</v>
      </c>
      <c r="C121" s="902" t="s">
        <v>69</v>
      </c>
      <c r="D121" s="903"/>
      <c r="E121" s="903"/>
      <c r="F121" s="903"/>
      <c r="G121" s="903"/>
      <c r="H121" s="903"/>
      <c r="I121" s="903"/>
      <c r="J121" s="903"/>
      <c r="K121" s="903"/>
      <c r="L121" s="903"/>
      <c r="M121" s="903"/>
      <c r="N121" s="903"/>
      <c r="O121" s="903"/>
      <c r="P121" s="904"/>
    </row>
    <row r="122" spans="1:33">
      <c r="A122" s="450" t="s">
        <v>24</v>
      </c>
      <c r="B122" s="458">
        <v>2</v>
      </c>
      <c r="C122" s="902" t="s">
        <v>70</v>
      </c>
      <c r="D122" s="903"/>
      <c r="E122" s="903"/>
      <c r="F122" s="903"/>
      <c r="G122" s="903"/>
      <c r="H122" s="903"/>
      <c r="I122" s="903"/>
      <c r="J122" s="903"/>
      <c r="K122" s="903"/>
      <c r="L122" s="903"/>
      <c r="M122" s="903"/>
      <c r="N122" s="903"/>
      <c r="O122" s="903"/>
      <c r="P122" s="904"/>
      <c r="Q122" s="819"/>
    </row>
    <row r="123" spans="1:33">
      <c r="A123" s="450" t="s">
        <v>15</v>
      </c>
      <c r="B123" s="458">
        <v>2</v>
      </c>
      <c r="C123" s="902" t="s">
        <v>71</v>
      </c>
      <c r="D123" s="903"/>
      <c r="E123" s="903"/>
      <c r="F123" s="903"/>
      <c r="G123" s="903"/>
      <c r="H123" s="903"/>
      <c r="I123" s="903"/>
      <c r="J123" s="903"/>
      <c r="K123" s="903"/>
      <c r="L123" s="903"/>
      <c r="M123" s="903"/>
      <c r="N123" s="903"/>
      <c r="O123" s="903"/>
      <c r="P123" s="904"/>
      <c r="Q123" s="819"/>
    </row>
    <row r="124" spans="1:33">
      <c r="A124" s="450" t="s">
        <v>18</v>
      </c>
      <c r="B124" s="458">
        <v>2</v>
      </c>
      <c r="C124" s="902" t="s">
        <v>72</v>
      </c>
      <c r="D124" s="903"/>
      <c r="E124" s="903"/>
      <c r="F124" s="903"/>
      <c r="G124" s="903"/>
      <c r="H124" s="903"/>
      <c r="I124" s="903"/>
      <c r="J124" s="903"/>
      <c r="K124" s="903"/>
      <c r="L124" s="903"/>
      <c r="M124" s="903"/>
      <c r="N124" s="903"/>
      <c r="O124" s="903"/>
      <c r="P124" s="904"/>
      <c r="Q124" s="819"/>
    </row>
    <row r="125" spans="1:33">
      <c r="A125" s="450" t="s">
        <v>21</v>
      </c>
      <c r="B125" s="458">
        <v>1</v>
      </c>
      <c r="C125" s="902" t="s">
        <v>73</v>
      </c>
      <c r="D125" s="903"/>
      <c r="E125" s="903"/>
      <c r="F125" s="903"/>
      <c r="G125" s="903"/>
      <c r="H125" s="903"/>
      <c r="I125" s="903"/>
      <c r="J125" s="903"/>
      <c r="K125" s="903"/>
      <c r="L125" s="903"/>
      <c r="M125" s="903"/>
      <c r="N125" s="903"/>
      <c r="O125" s="903"/>
      <c r="P125" s="904"/>
      <c r="Q125" s="819"/>
    </row>
    <row r="126" spans="1:33">
      <c r="A126" s="450" t="s">
        <v>62</v>
      </c>
      <c r="B126" s="458">
        <v>2</v>
      </c>
      <c r="C126" s="902" t="s">
        <v>74</v>
      </c>
      <c r="D126" s="903"/>
      <c r="E126" s="903"/>
      <c r="F126" s="903"/>
      <c r="G126" s="903"/>
      <c r="H126" s="903"/>
      <c r="I126" s="903"/>
      <c r="J126" s="903"/>
      <c r="K126" s="903"/>
      <c r="L126" s="903"/>
      <c r="M126" s="903"/>
      <c r="N126" s="903"/>
      <c r="O126" s="903"/>
      <c r="P126" s="904"/>
      <c r="Q126" s="819"/>
    </row>
    <row r="127" spans="1:33">
      <c r="A127" s="450" t="s">
        <v>65</v>
      </c>
      <c r="B127" s="458">
        <v>2</v>
      </c>
      <c r="C127" s="902" t="s">
        <v>75</v>
      </c>
      <c r="D127" s="903"/>
      <c r="E127" s="903"/>
      <c r="F127" s="903"/>
      <c r="G127" s="903"/>
      <c r="H127" s="903"/>
      <c r="I127" s="903"/>
      <c r="J127" s="903"/>
      <c r="K127" s="903"/>
      <c r="L127" s="903"/>
      <c r="M127" s="903"/>
      <c r="N127" s="903"/>
      <c r="O127" s="903"/>
      <c r="P127" s="904"/>
      <c r="Q127" s="819"/>
    </row>
    <row r="129" spans="1:17">
      <c r="A129" s="558"/>
      <c r="B129" s="898"/>
      <c r="C129" s="899"/>
      <c r="D129" s="900"/>
      <c r="E129" s="559"/>
      <c r="F129" s="559"/>
      <c r="G129" s="559"/>
      <c r="H129" s="559"/>
      <c r="I129" s="560"/>
      <c r="K129" s="561"/>
      <c r="L129" s="561"/>
      <c r="M129" s="559"/>
      <c r="N129" s="559"/>
      <c r="O129" s="559"/>
      <c r="P129" s="559"/>
      <c r="Q129" s="559"/>
    </row>
    <row r="130" spans="1:17">
      <c r="A130" s="450"/>
      <c r="C130" s="901"/>
      <c r="D130" s="901"/>
      <c r="E130" s="901"/>
      <c r="F130" s="901"/>
      <c r="G130" s="901"/>
      <c r="H130" s="901"/>
      <c r="I130" s="901"/>
      <c r="J130" s="901"/>
      <c r="K130" s="901"/>
      <c r="L130" s="901"/>
      <c r="M130" s="901"/>
      <c r="N130" s="901"/>
      <c r="O130" s="901"/>
      <c r="P130" s="901"/>
      <c r="Q130" s="901"/>
    </row>
    <row r="131" spans="1:17">
      <c r="A131" s="450"/>
      <c r="C131" s="901"/>
      <c r="D131" s="901"/>
      <c r="E131" s="901"/>
      <c r="F131" s="901"/>
      <c r="G131" s="901"/>
      <c r="H131" s="901"/>
      <c r="I131" s="901"/>
      <c r="J131" s="901"/>
      <c r="K131" s="901"/>
      <c r="L131" s="901"/>
      <c r="M131" s="901"/>
      <c r="N131" s="901"/>
      <c r="O131" s="901"/>
      <c r="P131" s="901"/>
      <c r="Q131" s="901"/>
    </row>
    <row r="132" spans="1:17">
      <c r="A132" s="450"/>
      <c r="C132" s="901"/>
      <c r="D132" s="901"/>
      <c r="E132" s="901"/>
      <c r="F132" s="901"/>
      <c r="G132" s="901"/>
      <c r="H132" s="901"/>
      <c r="I132" s="901"/>
      <c r="J132" s="901"/>
      <c r="K132" s="901"/>
      <c r="L132" s="901"/>
      <c r="M132" s="901"/>
      <c r="N132" s="901"/>
      <c r="O132" s="901"/>
      <c r="P132" s="901"/>
      <c r="Q132" s="901"/>
    </row>
    <row r="133" spans="1:17">
      <c r="A133" s="450"/>
      <c r="C133" s="901"/>
      <c r="D133" s="901"/>
      <c r="E133" s="901"/>
      <c r="F133" s="901"/>
      <c r="G133" s="901"/>
      <c r="H133" s="901"/>
      <c r="I133" s="901"/>
      <c r="J133" s="901"/>
      <c r="K133" s="901"/>
      <c r="L133" s="901"/>
      <c r="M133" s="901"/>
      <c r="N133" s="901"/>
      <c r="O133" s="901"/>
      <c r="P133" s="901"/>
      <c r="Q133" s="901"/>
    </row>
    <row r="134" spans="1:17">
      <c r="A134" s="450"/>
      <c r="C134" s="901"/>
      <c r="D134" s="901"/>
      <c r="E134" s="901"/>
      <c r="F134" s="901"/>
      <c r="G134" s="901"/>
      <c r="H134" s="901"/>
      <c r="I134" s="901"/>
      <c r="J134" s="901"/>
      <c r="K134" s="901"/>
      <c r="L134" s="901"/>
      <c r="M134" s="901"/>
      <c r="N134" s="901"/>
      <c r="O134" s="901"/>
      <c r="P134" s="901"/>
      <c r="Q134" s="901"/>
    </row>
    <row r="135" spans="1:17">
      <c r="A135" s="450"/>
      <c r="C135" s="901"/>
      <c r="D135" s="901"/>
      <c r="E135" s="901"/>
      <c r="F135" s="901"/>
      <c r="G135" s="901"/>
      <c r="H135" s="901"/>
      <c r="I135" s="901"/>
      <c r="J135" s="901"/>
      <c r="K135" s="901"/>
      <c r="L135" s="901"/>
      <c r="M135" s="901"/>
      <c r="N135" s="901"/>
      <c r="O135" s="901"/>
      <c r="P135" s="901"/>
      <c r="Q135" s="901"/>
    </row>
  </sheetData>
  <mergeCells count="28">
    <mergeCell ref="C133:Q133"/>
    <mergeCell ref="C134:Q134"/>
    <mergeCell ref="C135:Q135"/>
    <mergeCell ref="B10:AG10"/>
    <mergeCell ref="B19:AG19"/>
    <mergeCell ref="B28:AG28"/>
    <mergeCell ref="B37:AG37"/>
    <mergeCell ref="B46:AG46"/>
    <mergeCell ref="B55:AG55"/>
    <mergeCell ref="B64:AG64"/>
    <mergeCell ref="B120:D120"/>
    <mergeCell ref="C124:P124"/>
    <mergeCell ref="B1:AG1"/>
    <mergeCell ref="B129:D129"/>
    <mergeCell ref="C130:Q130"/>
    <mergeCell ref="C131:Q131"/>
    <mergeCell ref="C132:Q132"/>
    <mergeCell ref="B73:AG73"/>
    <mergeCell ref="B82:AG82"/>
    <mergeCell ref="B91:AG91"/>
    <mergeCell ref="B100:AG100"/>
    <mergeCell ref="B109:AG109"/>
    <mergeCell ref="C125:P125"/>
    <mergeCell ref="C126:P126"/>
    <mergeCell ref="C127:P127"/>
    <mergeCell ref="C121:P121"/>
    <mergeCell ref="C122:P122"/>
    <mergeCell ref="C123:P123"/>
  </mergeCells>
  <conditionalFormatting sqref="A29:A30 V78:V81">
    <cfRule type="cellIs" dxfId="665" priority="931" operator="equal">
      <formula>"M"</formula>
    </cfRule>
    <cfRule type="cellIs" dxfId="664" priority="932" operator="equal">
      <formula>"G"</formula>
    </cfRule>
    <cfRule type="cellIs" dxfId="663" priority="933" operator="equal">
      <formula>"V"</formula>
    </cfRule>
  </conditionalFormatting>
  <conditionalFormatting sqref="A65:A66">
    <cfRule type="cellIs" dxfId="662" priority="796" operator="equal">
      <formula>"M"</formula>
    </cfRule>
    <cfRule type="cellIs" dxfId="661" priority="797" operator="equal">
      <formula>"G"</formula>
    </cfRule>
    <cfRule type="cellIs" dxfId="660" priority="798" operator="equal">
      <formula>"V"</formula>
    </cfRule>
  </conditionalFormatting>
  <conditionalFormatting sqref="A120:A127">
    <cfRule type="cellIs" dxfId="659" priority="472" operator="equal">
      <formula>"M"</formula>
    </cfRule>
    <cfRule type="cellIs" dxfId="658" priority="473" operator="equal">
      <formula>"G"</formula>
    </cfRule>
    <cfRule type="cellIs" dxfId="657" priority="474" operator="equal">
      <formula>"V"</formula>
    </cfRule>
  </conditionalFormatting>
  <conditionalFormatting sqref="A31:F31 A32:A34">
    <cfRule type="cellIs" dxfId="656" priority="1069" operator="equal">
      <formula>"M"</formula>
    </cfRule>
    <cfRule type="cellIs" dxfId="655" priority="1070" operator="equal">
      <formula>"G"</formula>
    </cfRule>
    <cfRule type="cellIs" dxfId="654" priority="1071" operator="equal">
      <formula>"V"</formula>
    </cfRule>
  </conditionalFormatting>
  <conditionalFormatting sqref="A85:I87 A96:I98 A103:I107">
    <cfRule type="cellIs" dxfId="653" priority="868" operator="equal">
      <formula>"M"</formula>
    </cfRule>
    <cfRule type="cellIs" dxfId="652" priority="869" operator="equal">
      <formula>"G"</formula>
    </cfRule>
    <cfRule type="cellIs" dxfId="651" priority="870" operator="equal">
      <formula>"V"</formula>
    </cfRule>
  </conditionalFormatting>
  <conditionalFormatting sqref="A3:U7">
    <cfRule type="cellIs" dxfId="650" priority="1096" operator="equal">
      <formula>"M"</formula>
    </cfRule>
    <cfRule type="cellIs" dxfId="649" priority="1097" operator="equal">
      <formula>"G"</formula>
    </cfRule>
    <cfRule type="cellIs" dxfId="648" priority="1098" operator="equal">
      <formula>"V"</formula>
    </cfRule>
  </conditionalFormatting>
  <conditionalFormatting sqref="A84:AB84">
    <cfRule type="cellIs" dxfId="647" priority="247" operator="equal">
      <formula>"M"</formula>
    </cfRule>
    <cfRule type="cellIs" dxfId="646" priority="248" operator="equal">
      <formula>"G"</formula>
    </cfRule>
    <cfRule type="cellIs" dxfId="645" priority="249" operator="equal">
      <formula>"V"</formula>
    </cfRule>
  </conditionalFormatting>
  <conditionalFormatting sqref="A35:AC35">
    <cfRule type="cellIs" dxfId="644" priority="322" operator="equal">
      <formula>"M"</formula>
    </cfRule>
    <cfRule type="cellIs" dxfId="643" priority="323" operator="equal">
      <formula>"G"</formula>
    </cfRule>
    <cfRule type="cellIs" dxfId="642" priority="324" operator="equal">
      <formula>"V"</formula>
    </cfRule>
  </conditionalFormatting>
  <conditionalFormatting sqref="A88:AC90">
    <cfRule type="cellIs" dxfId="641" priority="22" operator="equal">
      <formula>"M"</formula>
    </cfRule>
    <cfRule type="cellIs" dxfId="640" priority="23" operator="equal">
      <formula>"G"</formula>
    </cfRule>
    <cfRule type="cellIs" dxfId="639" priority="24" operator="equal">
      <formula>"V"</formula>
    </cfRule>
  </conditionalFormatting>
  <conditionalFormatting sqref="A99:AC99">
    <cfRule type="cellIs" dxfId="638" priority="226" operator="equal">
      <formula>"M"</formula>
    </cfRule>
    <cfRule type="cellIs" dxfId="637" priority="227" operator="equal">
      <formula>"G"</formula>
    </cfRule>
    <cfRule type="cellIs" dxfId="636" priority="228" operator="equal">
      <formula>"V"</formula>
    </cfRule>
  </conditionalFormatting>
  <conditionalFormatting sqref="A102:AC102">
    <cfRule type="cellIs" dxfId="635" priority="220" operator="equal">
      <formula>"M"</formula>
    </cfRule>
    <cfRule type="cellIs" dxfId="634" priority="221" operator="equal">
      <formula>"G"</formula>
    </cfRule>
    <cfRule type="cellIs" dxfId="633" priority="222" operator="equal">
      <formula>"V"</formula>
    </cfRule>
  </conditionalFormatting>
  <conditionalFormatting sqref="A108:AC108">
    <cfRule type="cellIs" dxfId="632" priority="508" operator="equal">
      <formula>"M"</formula>
    </cfRule>
    <cfRule type="cellIs" dxfId="631" priority="509" operator="equal">
      <formula>"G"</formula>
    </cfRule>
    <cfRule type="cellIs" dxfId="630" priority="510" operator="equal">
      <formula>"V"</formula>
    </cfRule>
  </conditionalFormatting>
  <conditionalFormatting sqref="A39:AD45">
    <cfRule type="cellIs" dxfId="629" priority="49" operator="equal">
      <formula>"M"</formula>
    </cfRule>
    <cfRule type="cellIs" dxfId="628" priority="50" operator="equal">
      <formula>"G"</formula>
    </cfRule>
    <cfRule type="cellIs" dxfId="627" priority="51" operator="equal">
      <formula>"V"</formula>
    </cfRule>
  </conditionalFormatting>
  <conditionalFormatting sqref="A38:AE38">
    <cfRule type="cellIs" dxfId="626" priority="724" operator="equal">
      <formula>"M"</formula>
    </cfRule>
    <cfRule type="cellIs" dxfId="625" priority="725" operator="equal">
      <formula>"G"</formula>
    </cfRule>
    <cfRule type="cellIs" dxfId="624" priority="726" operator="equal">
      <formula>"V"</formula>
    </cfRule>
  </conditionalFormatting>
  <conditionalFormatting sqref="A67:AE72">
    <cfRule type="cellIs" dxfId="623" priority="76" operator="equal">
      <formula>"M"</formula>
    </cfRule>
    <cfRule type="cellIs" dxfId="622" priority="77" operator="equal">
      <formula>"G"</formula>
    </cfRule>
    <cfRule type="cellIs" dxfId="621" priority="78" operator="equal">
      <formula>"V"</formula>
    </cfRule>
  </conditionalFormatting>
  <conditionalFormatting sqref="A92:AE95">
    <cfRule type="cellIs" dxfId="620" priority="229" operator="equal">
      <formula>"M"</formula>
    </cfRule>
    <cfRule type="cellIs" dxfId="619" priority="230" operator="equal">
      <formula>"G"</formula>
    </cfRule>
    <cfRule type="cellIs" dxfId="618" priority="231" operator="equal">
      <formula>"V"</formula>
    </cfRule>
  </conditionalFormatting>
  <conditionalFormatting sqref="A2:AF2">
    <cfRule type="cellIs" dxfId="617" priority="1153" operator="equal">
      <formula>"M"</formula>
    </cfRule>
    <cfRule type="cellIs" dxfId="616" priority="1154" operator="equal">
      <formula>"G"</formula>
    </cfRule>
    <cfRule type="cellIs" dxfId="615" priority="1155" operator="equal">
      <formula>"V"</formula>
    </cfRule>
  </conditionalFormatting>
  <conditionalFormatting sqref="A83:AF83">
    <cfRule type="cellIs" dxfId="614" priority="427" operator="equal">
      <formula>"M"</formula>
    </cfRule>
    <cfRule type="cellIs" dxfId="613" priority="428" operator="equal">
      <formula>"G"</formula>
    </cfRule>
    <cfRule type="cellIs" dxfId="612" priority="429" operator="equal">
      <formula>"V"</formula>
    </cfRule>
  </conditionalFormatting>
  <conditionalFormatting sqref="A101:AF101">
    <cfRule type="cellIs" dxfId="611" priority="406" operator="equal">
      <formula>"M"</formula>
    </cfRule>
    <cfRule type="cellIs" dxfId="610" priority="407" operator="equal">
      <formula>"G"</formula>
    </cfRule>
    <cfRule type="cellIs" dxfId="609" priority="408" operator="equal">
      <formula>"V"</formula>
    </cfRule>
  </conditionalFormatting>
  <conditionalFormatting sqref="A1:AG1 A129:A135">
    <cfRule type="cellIs" dxfId="608" priority="1162" operator="equal">
      <formula>"M"</formula>
    </cfRule>
    <cfRule type="cellIs" dxfId="607" priority="1163" operator="equal">
      <formula>"G"</formula>
    </cfRule>
    <cfRule type="cellIs" dxfId="606" priority="1164" operator="equal">
      <formula>"V"</formula>
    </cfRule>
  </conditionalFormatting>
  <conditionalFormatting sqref="A8:AG28">
    <cfRule type="cellIs" dxfId="605" priority="106" operator="equal">
      <formula>"M"</formula>
    </cfRule>
    <cfRule type="cellIs" dxfId="604" priority="107" operator="equal">
      <formula>"G"</formula>
    </cfRule>
    <cfRule type="cellIs" dxfId="603" priority="108" operator="equal">
      <formula>"V"</formula>
    </cfRule>
  </conditionalFormatting>
  <conditionalFormatting sqref="A36:AG37">
    <cfRule type="cellIs" dxfId="602" priority="10" operator="equal">
      <formula>"M"</formula>
    </cfRule>
    <cfRule type="cellIs" dxfId="601" priority="11" operator="equal">
      <formula>"G"</formula>
    </cfRule>
    <cfRule type="cellIs" dxfId="600" priority="12" operator="equal">
      <formula>"V"</formula>
    </cfRule>
  </conditionalFormatting>
  <conditionalFormatting sqref="A47:AG50 A46 A52:AG64 A51:O51 Q51:AG51">
    <cfRule type="cellIs" dxfId="599" priority="118" operator="equal">
      <formula>"M"</formula>
    </cfRule>
    <cfRule type="cellIs" dxfId="598" priority="119" operator="equal">
      <formula>"G"</formula>
    </cfRule>
    <cfRule type="cellIs" dxfId="597" priority="120" operator="equal">
      <formula>"V"</formula>
    </cfRule>
  </conditionalFormatting>
  <conditionalFormatting sqref="A73:AG82">
    <cfRule type="cellIs" dxfId="596" priority="19" operator="equal">
      <formula>"M"</formula>
    </cfRule>
    <cfRule type="cellIs" dxfId="595" priority="20" operator="equal">
      <formula>"G"</formula>
    </cfRule>
    <cfRule type="cellIs" dxfId="594" priority="21" operator="equal">
      <formula>"V"</formula>
    </cfRule>
  </conditionalFormatting>
  <conditionalFormatting sqref="A91:AG91 AF92:AG99">
    <cfRule type="cellIs" dxfId="593" priority="586" operator="equal">
      <formula>"M"</formula>
    </cfRule>
    <cfRule type="cellIs" dxfId="592" priority="587" operator="equal">
      <formula>"G"</formula>
    </cfRule>
    <cfRule type="cellIs" dxfId="591" priority="588" operator="equal">
      <formula>"V"</formula>
    </cfRule>
  </conditionalFormatting>
  <conditionalFormatting sqref="A100:AG100 AG101:AG108">
    <cfRule type="cellIs" dxfId="590" priority="544" operator="equal">
      <formula>"M"</formula>
    </cfRule>
    <cfRule type="cellIs" dxfId="589" priority="545" operator="equal">
      <formula>"G"</formula>
    </cfRule>
    <cfRule type="cellIs" dxfId="588" priority="546" operator="equal">
      <formula>"V"</formula>
    </cfRule>
  </conditionalFormatting>
  <conditionalFormatting sqref="A109:AG118">
    <cfRule type="cellIs" dxfId="587" priority="52" operator="equal">
      <formula>"M"</formula>
    </cfRule>
    <cfRule type="cellIs" dxfId="586" priority="53" operator="equal">
      <formula>"G"</formula>
    </cfRule>
    <cfRule type="cellIs" dxfId="585" priority="54" operator="equal">
      <formula>"V"</formula>
    </cfRule>
  </conditionalFormatting>
  <conditionalFormatting sqref="B32:F32">
    <cfRule type="cellIs" dxfId="584" priority="160" operator="equal">
      <formula>"M"</formula>
    </cfRule>
    <cfRule type="cellIs" dxfId="583" priority="161" operator="equal">
      <formula>"G"</formula>
    </cfRule>
    <cfRule type="cellIs" dxfId="582" priority="162" operator="equal">
      <formula>"V"</formula>
    </cfRule>
  </conditionalFormatting>
  <conditionalFormatting sqref="B30:AC30">
    <cfRule type="cellIs" dxfId="581" priority="37" operator="equal">
      <formula>"M"</formula>
    </cfRule>
    <cfRule type="cellIs" dxfId="580" priority="38" operator="equal">
      <formula>"G"</formula>
    </cfRule>
    <cfRule type="cellIs" dxfId="579" priority="39" operator="equal">
      <formula>"V"</formula>
    </cfRule>
  </conditionalFormatting>
  <conditionalFormatting sqref="B33:AC34">
    <cfRule type="cellIs" dxfId="578" priority="166" operator="equal">
      <formula>"M"</formula>
    </cfRule>
    <cfRule type="cellIs" dxfId="577" priority="167" operator="equal">
      <formula>"G"</formula>
    </cfRule>
    <cfRule type="cellIs" dxfId="576" priority="168" operator="equal">
      <formula>"V"</formula>
    </cfRule>
  </conditionalFormatting>
  <conditionalFormatting sqref="B66:AE66">
    <cfRule type="cellIs" dxfId="575" priority="742" operator="equal">
      <formula>"M"</formula>
    </cfRule>
    <cfRule type="cellIs" dxfId="574" priority="743" operator="equal">
      <formula>"G"</formula>
    </cfRule>
    <cfRule type="cellIs" dxfId="573" priority="744" operator="equal">
      <formula>"V"</formula>
    </cfRule>
  </conditionalFormatting>
  <conditionalFormatting sqref="B29:AG29">
    <cfRule type="cellIs" dxfId="572" priority="733" operator="equal">
      <formula>"M"</formula>
    </cfRule>
    <cfRule type="cellIs" dxfId="571" priority="734" operator="equal">
      <formula>"G"</formula>
    </cfRule>
    <cfRule type="cellIs" dxfId="570" priority="735" operator="equal">
      <formula>"V"</formula>
    </cfRule>
  </conditionalFormatting>
  <conditionalFormatting sqref="B65:AG65">
    <cfRule type="cellIs" dxfId="569" priority="454" operator="equal">
      <formula>"M"</formula>
    </cfRule>
    <cfRule type="cellIs" dxfId="568" priority="455" operator="equal">
      <formula>"G"</formula>
    </cfRule>
    <cfRule type="cellIs" dxfId="567" priority="456" operator="equal">
      <formula>"V"</formula>
    </cfRule>
  </conditionalFormatting>
  <conditionalFormatting sqref="G31:H32">
    <cfRule type="cellIs" dxfId="566" priority="43" operator="equal">
      <formula>"M"</formula>
    </cfRule>
    <cfRule type="cellIs" dxfId="565" priority="44" operator="equal">
      <formula>"G"</formula>
    </cfRule>
    <cfRule type="cellIs" dxfId="564" priority="45" operator="equal">
      <formula>"V"</formula>
    </cfRule>
  </conditionalFormatting>
  <conditionalFormatting sqref="I85:AB85">
    <cfRule type="cellIs" dxfId="563" priority="238" operator="equal">
      <formula>"M"</formula>
    </cfRule>
    <cfRule type="cellIs" dxfId="562" priority="239" operator="equal">
      <formula>"G"</formula>
    </cfRule>
    <cfRule type="cellIs" dxfId="561" priority="240" operator="equal">
      <formula>"V"</formula>
    </cfRule>
  </conditionalFormatting>
  <conditionalFormatting sqref="I31:AC31">
    <cfRule type="cellIs" dxfId="560" priority="13" operator="equal">
      <formula>"M"</formula>
    </cfRule>
    <cfRule type="cellIs" dxfId="559" priority="14" operator="equal">
      <formula>"G"</formula>
    </cfRule>
    <cfRule type="cellIs" dxfId="558" priority="15" operator="equal">
      <formula>"V"</formula>
    </cfRule>
  </conditionalFormatting>
  <conditionalFormatting sqref="I86:AC87">
    <cfRule type="cellIs" dxfId="557" priority="241" operator="equal">
      <formula>"M"</formula>
    </cfRule>
    <cfRule type="cellIs" dxfId="556" priority="242" operator="equal">
      <formula>"G"</formula>
    </cfRule>
    <cfRule type="cellIs" dxfId="555" priority="243" operator="equal">
      <formula>"V"</formula>
    </cfRule>
  </conditionalFormatting>
  <conditionalFormatting sqref="I97:AC98">
    <cfRule type="cellIs" dxfId="554" priority="862" operator="equal">
      <formula>"M"</formula>
    </cfRule>
    <cfRule type="cellIs" dxfId="553" priority="863" operator="equal">
      <formula>"G"</formula>
    </cfRule>
    <cfRule type="cellIs" dxfId="552" priority="864" operator="equal">
      <formula>"V"</formula>
    </cfRule>
  </conditionalFormatting>
  <conditionalFormatting sqref="I103:AC103">
    <cfRule type="cellIs" dxfId="551" priority="214" operator="equal">
      <formula>"M"</formula>
    </cfRule>
    <cfRule type="cellIs" dxfId="550" priority="215" operator="equal">
      <formula>"G"</formula>
    </cfRule>
    <cfRule type="cellIs" dxfId="549" priority="216" operator="equal">
      <formula>"V"</formula>
    </cfRule>
  </conditionalFormatting>
  <conditionalFormatting sqref="I105:AC107">
    <cfRule type="cellIs" dxfId="548" priority="211" operator="equal">
      <formula>"M"</formula>
    </cfRule>
    <cfRule type="cellIs" dxfId="547" priority="212" operator="equal">
      <formula>"G"</formula>
    </cfRule>
    <cfRule type="cellIs" dxfId="546" priority="213" operator="equal">
      <formula>"V"</formula>
    </cfRule>
  </conditionalFormatting>
  <conditionalFormatting sqref="I104:AD104">
    <cfRule type="cellIs" dxfId="545" priority="217" operator="equal">
      <formula>"M"</formula>
    </cfRule>
    <cfRule type="cellIs" dxfId="544" priority="218" operator="equal">
      <formula>"G"</formula>
    </cfRule>
    <cfRule type="cellIs" dxfId="543" priority="219" operator="equal">
      <formula>"V"</formula>
    </cfRule>
  </conditionalFormatting>
  <conditionalFormatting sqref="I96:AE96">
    <cfRule type="cellIs" dxfId="542" priority="223" operator="equal">
      <formula>"M"</formula>
    </cfRule>
    <cfRule type="cellIs" dxfId="541" priority="224" operator="equal">
      <formula>"G"</formula>
    </cfRule>
    <cfRule type="cellIs" dxfId="540" priority="225" operator="equal">
      <formula>"V"</formula>
    </cfRule>
  </conditionalFormatting>
  <conditionalFormatting sqref="I32:AG32">
    <cfRule type="cellIs" dxfId="539" priority="7" operator="equal">
      <formula>"M"</formula>
    </cfRule>
    <cfRule type="cellIs" dxfId="538" priority="8" operator="equal">
      <formula>"G"</formula>
    </cfRule>
    <cfRule type="cellIs" dxfId="537" priority="9" operator="equal">
      <formula>"V"</formula>
    </cfRule>
  </conditionalFormatting>
  <conditionalFormatting sqref="V2:V3 V5:V7">
    <cfRule type="cellIs" dxfId="536" priority="1156" operator="equal">
      <formula>"M"</formula>
    </cfRule>
    <cfRule type="cellIs" dxfId="535" priority="1157" operator="equal">
      <formula>"G"</formula>
    </cfRule>
    <cfRule type="cellIs" dxfId="534" priority="1158" operator="equal">
      <formula>"V"</formula>
    </cfRule>
  </conditionalFormatting>
  <conditionalFormatting sqref="V12:V16">
    <cfRule type="cellIs" dxfId="533" priority="1042" operator="equal">
      <formula>"M"</formula>
    </cfRule>
    <cfRule type="cellIs" dxfId="532" priority="1043" operator="equal">
      <formula>"G"</formula>
    </cfRule>
    <cfRule type="cellIs" dxfId="531" priority="1044" operator="equal">
      <formula>"V"</formula>
    </cfRule>
  </conditionalFormatting>
  <conditionalFormatting sqref="V23:V27 V32:V36 V40:V45">
    <cfRule type="cellIs" dxfId="530" priority="1063" operator="equal">
      <formula>"M"</formula>
    </cfRule>
    <cfRule type="cellIs" dxfId="529" priority="1064" operator="equal">
      <formula>"G"</formula>
    </cfRule>
    <cfRule type="cellIs" dxfId="528" priority="1065" operator="equal">
      <formula>"V"</formula>
    </cfRule>
  </conditionalFormatting>
  <conditionalFormatting sqref="V48:V52">
    <cfRule type="cellIs" dxfId="527" priority="850" operator="equal">
      <formula>"M"</formula>
    </cfRule>
    <cfRule type="cellIs" dxfId="526" priority="851" operator="equal">
      <formula>"G"</formula>
    </cfRule>
    <cfRule type="cellIs" dxfId="525" priority="852" operator="equal">
      <formula>"V"</formula>
    </cfRule>
  </conditionalFormatting>
  <conditionalFormatting sqref="V66:V71">
    <cfRule type="cellIs" dxfId="524" priority="790" operator="equal">
      <formula>"M"</formula>
    </cfRule>
    <cfRule type="cellIs" dxfId="523" priority="791" operator="equal">
      <formula>"G"</formula>
    </cfRule>
    <cfRule type="cellIs" dxfId="522" priority="792" operator="equal">
      <formula>"V"</formula>
    </cfRule>
  </conditionalFormatting>
  <conditionalFormatting sqref="V86:V90">
    <cfRule type="cellIs" dxfId="521" priority="865" operator="equal">
      <formula>"M"</formula>
    </cfRule>
    <cfRule type="cellIs" dxfId="520" priority="866" operator="equal">
      <formula>"G"</formula>
    </cfRule>
    <cfRule type="cellIs" dxfId="519" priority="867" operator="equal">
      <formula>"V"</formula>
    </cfRule>
  </conditionalFormatting>
  <conditionalFormatting sqref="V93:V98">
    <cfRule type="cellIs" dxfId="518" priority="577" operator="equal">
      <formula>"M"</formula>
    </cfRule>
    <cfRule type="cellIs" dxfId="517" priority="578" operator="equal">
      <formula>"G"</formula>
    </cfRule>
    <cfRule type="cellIs" dxfId="516" priority="579" operator="equal">
      <formula>"V"</formula>
    </cfRule>
  </conditionalFormatting>
  <conditionalFormatting sqref="V102:V106">
    <cfRule type="cellIs" dxfId="515" priority="535" operator="equal">
      <formula>"M"</formula>
    </cfRule>
    <cfRule type="cellIs" dxfId="514" priority="536" operator="equal">
      <formula>"G"</formula>
    </cfRule>
    <cfRule type="cellIs" dxfId="513" priority="537" operator="equal">
      <formula>"V"</formula>
    </cfRule>
  </conditionalFormatting>
  <conditionalFormatting sqref="V4:AC4">
    <cfRule type="cellIs" dxfId="512" priority="1090" operator="equal">
      <formula>"M"</formula>
    </cfRule>
    <cfRule type="cellIs" dxfId="511" priority="1091" operator="equal">
      <formula>"G"</formula>
    </cfRule>
    <cfRule type="cellIs" dxfId="510" priority="1092" operator="equal">
      <formula>"V"</formula>
    </cfRule>
  </conditionalFormatting>
  <conditionalFormatting sqref="W5:AC6">
    <cfRule type="cellIs" dxfId="509" priority="1159" operator="equal">
      <formula>"M"</formula>
    </cfRule>
    <cfRule type="cellIs" dxfId="508" priority="1160" operator="equal">
      <formula>"G"</formula>
    </cfRule>
    <cfRule type="cellIs" dxfId="507" priority="1161" operator="equal">
      <formula>"V"</formula>
    </cfRule>
  </conditionalFormatting>
  <conditionalFormatting sqref="W3:AF3">
    <cfRule type="cellIs" dxfId="506" priority="367" operator="equal">
      <formula>"M"</formula>
    </cfRule>
    <cfRule type="cellIs" dxfId="505" priority="368" operator="equal">
      <formula>"G"</formula>
    </cfRule>
    <cfRule type="cellIs" dxfId="504" priority="369" operator="equal">
      <formula>"V"</formula>
    </cfRule>
  </conditionalFormatting>
  <conditionalFormatting sqref="W7:AG7">
    <cfRule type="cellIs" dxfId="503" priority="1093" operator="equal">
      <formula>"M"</formula>
    </cfRule>
    <cfRule type="cellIs" dxfId="502" priority="1094" operator="equal">
      <formula>"G"</formula>
    </cfRule>
    <cfRule type="cellIs" dxfId="501" priority="1095" operator="equal">
      <formula>"V"</formula>
    </cfRule>
  </conditionalFormatting>
  <conditionalFormatting sqref="AC84:AC85">
    <cfRule type="cellIs" dxfId="500" priority="607" operator="equal">
      <formula>"M"</formula>
    </cfRule>
    <cfRule type="cellIs" dxfId="499" priority="608" operator="equal">
      <formula>"G"</formula>
    </cfRule>
    <cfRule type="cellIs" dxfId="498" priority="609" operator="equal">
      <formula>"V"</formula>
    </cfRule>
  </conditionalFormatting>
  <conditionalFormatting sqref="AD102:AD103 AD105:AD108">
    <cfRule type="cellIs" dxfId="497" priority="511" operator="equal">
      <formula>"M"</formula>
    </cfRule>
    <cfRule type="cellIs" dxfId="496" priority="512" operator="equal">
      <formula>"G"</formula>
    </cfRule>
    <cfRule type="cellIs" dxfId="495" priority="513" operator="equal">
      <formula>"V"</formula>
    </cfRule>
  </conditionalFormatting>
  <conditionalFormatting sqref="AD84:AE90">
    <cfRule type="cellIs" dxfId="494" priority="592" operator="equal">
      <formula>"M"</formula>
    </cfRule>
    <cfRule type="cellIs" dxfId="493" priority="593" operator="equal">
      <formula>"G"</formula>
    </cfRule>
    <cfRule type="cellIs" dxfId="492" priority="594" operator="equal">
      <formula>"V"</formula>
    </cfRule>
  </conditionalFormatting>
  <conditionalFormatting sqref="AD97:AE99">
    <cfRule type="cellIs" dxfId="491" priority="553" operator="equal">
      <formula>"M"</formula>
    </cfRule>
    <cfRule type="cellIs" dxfId="490" priority="554" operator="equal">
      <formula>"G"</formula>
    </cfRule>
    <cfRule type="cellIs" dxfId="489" priority="555" operator="equal">
      <formula>"V"</formula>
    </cfRule>
  </conditionalFormatting>
  <conditionalFormatting sqref="AD2:AG6">
    <cfRule type="cellIs" dxfId="488" priority="1087" operator="equal">
      <formula>"M"</formula>
    </cfRule>
    <cfRule type="cellIs" dxfId="487" priority="1088" operator="equal">
      <formula>"G"</formula>
    </cfRule>
    <cfRule type="cellIs" dxfId="486" priority="1089" operator="equal">
      <formula>"V"</formula>
    </cfRule>
  </conditionalFormatting>
  <conditionalFormatting sqref="AD30:AG31 AD33:AG35">
    <cfRule type="cellIs" dxfId="485" priority="712" operator="equal">
      <formula>"M"</formula>
    </cfRule>
    <cfRule type="cellIs" dxfId="484" priority="713" operator="equal">
      <formula>"G"</formula>
    </cfRule>
    <cfRule type="cellIs" dxfId="483" priority="714" operator="equal">
      <formula>"V"</formula>
    </cfRule>
  </conditionalFormatting>
  <conditionalFormatting sqref="AE102:AF108">
    <cfRule type="cellIs" dxfId="482" priority="403" operator="equal">
      <formula>"M"</formula>
    </cfRule>
    <cfRule type="cellIs" dxfId="481" priority="404" operator="equal">
      <formula>"G"</formula>
    </cfRule>
    <cfRule type="cellIs" dxfId="480" priority="405" operator="equal">
      <formula>"V"</formula>
    </cfRule>
  </conditionalFormatting>
  <conditionalFormatting sqref="AE38:AG45">
    <cfRule type="cellIs" dxfId="479" priority="685" operator="equal">
      <formula>"M"</formula>
    </cfRule>
    <cfRule type="cellIs" dxfId="478" priority="686" operator="equal">
      <formula>"G"</formula>
    </cfRule>
    <cfRule type="cellIs" dxfId="477" priority="687" operator="equal">
      <formula>"V"</formula>
    </cfRule>
  </conditionalFormatting>
  <conditionalFormatting sqref="AF66:AF72">
    <cfRule type="cellIs" dxfId="476" priority="142" operator="equal">
      <formula>"M"</formula>
    </cfRule>
    <cfRule type="cellIs" dxfId="475" priority="143" operator="equal">
      <formula>"G"</formula>
    </cfRule>
    <cfRule type="cellIs" dxfId="474" priority="144" operator="equal">
      <formula>"V"</formula>
    </cfRule>
  </conditionalFormatting>
  <conditionalFormatting sqref="AF83:AG90">
    <cfRule type="cellIs" dxfId="473" priority="418" operator="equal">
      <formula>"M"</formula>
    </cfRule>
    <cfRule type="cellIs" dxfId="472" priority="419" operator="equal">
      <formula>"G"</formula>
    </cfRule>
    <cfRule type="cellIs" dxfId="471" priority="420" operator="equal">
      <formula>"V"</formula>
    </cfRule>
  </conditionalFormatting>
  <conditionalFormatting sqref="AG66:AH66 AG67:AG72">
    <cfRule type="cellIs" dxfId="470" priority="871" operator="equal">
      <formula>"M"</formula>
    </cfRule>
    <cfRule type="cellIs" dxfId="469" priority="872" operator="equal">
      <formula>"G"</formula>
    </cfRule>
    <cfRule type="cellIs" dxfId="468" priority="873" operator="equal">
      <formula>"V"</formula>
    </cfRule>
  </conditionalFormatting>
  <conditionalFormatting sqref="B46:AG46">
    <cfRule type="cellIs" dxfId="467" priority="4" operator="equal">
      <formula>"M"</formula>
    </cfRule>
    <cfRule type="cellIs" dxfId="466" priority="5" operator="equal">
      <formula>"G"</formula>
    </cfRule>
    <cfRule type="cellIs" dxfId="465" priority="6" operator="equal">
      <formula>"V"</formula>
    </cfRule>
  </conditionalFormatting>
  <conditionalFormatting sqref="P51">
    <cfRule type="cellIs" dxfId="464" priority="1" operator="equal">
      <formula>"M"</formula>
    </cfRule>
    <cfRule type="cellIs" dxfId="463" priority="2" operator="equal">
      <formula>"G"</formula>
    </cfRule>
    <cfRule type="cellIs" dxfId="462" priority="3" operator="equal">
      <formula>"V"</formula>
    </cfRule>
  </conditionalFormatting>
  <hyperlinks>
    <hyperlink ref="AH2" r:id="rId1" xr:uid="{D3BE5C0A-4BF6-4F49-87C9-38B00BDD86D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2AC4-66AC-46F7-9B5A-38B93905FAA6}">
  <sheetPr>
    <tabColor theme="1" tint="0.499984740745262"/>
  </sheetPr>
  <dimension ref="A1:AQ123"/>
  <sheetViews>
    <sheetView topLeftCell="A92" workbookViewId="0">
      <selection activeCell="X103" sqref="X103"/>
    </sheetView>
  </sheetViews>
  <sheetFormatPr defaultColWidth="9.140625" defaultRowHeight="16.5"/>
  <cols>
    <col min="1" max="1" width="23.85546875" style="458" customWidth="1"/>
    <col min="2" max="2" width="3.5703125" style="458" bestFit="1" customWidth="1"/>
    <col min="3" max="3" width="3.28515625" style="458" bestFit="1" customWidth="1"/>
    <col min="4" max="4" width="2.7109375" style="458" bestFit="1" customWidth="1"/>
    <col min="5" max="5" width="3.5703125" style="458" bestFit="1" customWidth="1"/>
    <col min="6" max="7" width="3.28515625" style="458" bestFit="1" customWidth="1"/>
    <col min="8" max="9" width="3.5703125" style="458" bestFit="1" customWidth="1"/>
    <col min="10" max="10" width="3.28515625" style="458" bestFit="1" customWidth="1"/>
    <col min="11" max="11" width="4" style="458" customWidth="1"/>
    <col min="12" max="12" width="3.5703125" style="458" bestFit="1" customWidth="1"/>
    <col min="13" max="14" width="3.28515625" style="458" bestFit="1" customWidth="1"/>
    <col min="15" max="16" width="3.5703125" style="458" bestFit="1" customWidth="1"/>
    <col min="17" max="17" width="3.28515625" style="458" bestFit="1" customWidth="1"/>
    <col min="18" max="18" width="2.85546875" style="458" bestFit="1" customWidth="1"/>
    <col min="19" max="19" width="3.5703125" style="458" bestFit="1" customWidth="1"/>
    <col min="20" max="21" width="3.28515625" style="458" bestFit="1" customWidth="1"/>
    <col min="22" max="23" width="3.5703125" style="458" bestFit="1" customWidth="1"/>
    <col min="24" max="24" width="3.28515625" style="458" bestFit="1" customWidth="1"/>
    <col min="25" max="25" width="3.140625" style="458" bestFit="1" customWidth="1"/>
    <col min="26" max="26" width="3.5703125" style="458" bestFit="1" customWidth="1"/>
    <col min="27" max="28" width="3.28515625" style="458" bestFit="1" customWidth="1"/>
    <col min="29" max="30" width="3.5703125" style="458" bestFit="1" customWidth="1"/>
    <col min="31" max="31" width="3.28515625" style="458" bestFit="1" customWidth="1"/>
    <col min="32" max="32" width="2.85546875" style="458" bestFit="1" customWidth="1"/>
    <col min="33" max="33" width="9.140625" style="445"/>
    <col min="34" max="34" width="42.7109375" style="445" customWidth="1"/>
    <col min="35" max="16384" width="9.140625" style="445"/>
  </cols>
  <sheetData>
    <row r="1" spans="1:34">
      <c r="A1" s="444">
        <v>45658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7"/>
      <c r="S1" s="897"/>
      <c r="T1" s="897"/>
      <c r="U1" s="897"/>
      <c r="V1" s="897"/>
      <c r="W1" s="897"/>
      <c r="X1" s="897"/>
      <c r="Y1" s="897"/>
      <c r="Z1" s="897"/>
      <c r="AA1" s="897"/>
      <c r="AB1" s="897"/>
      <c r="AC1" s="897"/>
      <c r="AD1" s="897"/>
      <c r="AE1" s="897"/>
      <c r="AF1" s="897"/>
      <c r="AG1" s="897"/>
      <c r="AH1" s="570" t="s">
        <v>76</v>
      </c>
    </row>
    <row r="2" spans="1:34">
      <c r="A2" s="446"/>
      <c r="B2" s="447" t="s">
        <v>1</v>
      </c>
      <c r="C2" s="447" t="s">
        <v>2</v>
      </c>
      <c r="D2" s="447" t="s">
        <v>3</v>
      </c>
      <c r="E2" s="447" t="s">
        <v>4</v>
      </c>
      <c r="F2" s="447" t="s">
        <v>5</v>
      </c>
      <c r="G2" s="447" t="s">
        <v>6</v>
      </c>
      <c r="H2" s="447" t="s">
        <v>7</v>
      </c>
      <c r="I2" s="447" t="s">
        <v>1</v>
      </c>
      <c r="J2" s="447" t="s">
        <v>2</v>
      </c>
      <c r="K2" s="447" t="s">
        <v>3</v>
      </c>
      <c r="L2" s="447" t="s">
        <v>4</v>
      </c>
      <c r="M2" s="447" t="s">
        <v>5</v>
      </c>
      <c r="N2" s="447" t="s">
        <v>6</v>
      </c>
      <c r="O2" s="447" t="s">
        <v>7</v>
      </c>
      <c r="P2" s="447" t="s">
        <v>1</v>
      </c>
      <c r="Q2" s="447" t="s">
        <v>2</v>
      </c>
      <c r="R2" s="447" t="s">
        <v>3</v>
      </c>
      <c r="S2" s="447" t="s">
        <v>4</v>
      </c>
      <c r="T2" s="447" t="s">
        <v>5</v>
      </c>
      <c r="U2" s="447" t="s">
        <v>6</v>
      </c>
      <c r="V2" s="447" t="s">
        <v>7</v>
      </c>
      <c r="W2" s="447" t="s">
        <v>1</v>
      </c>
      <c r="X2" s="447" t="s">
        <v>2</v>
      </c>
      <c r="Y2" s="447" t="s">
        <v>3</v>
      </c>
      <c r="Z2" s="447" t="s">
        <v>4</v>
      </c>
      <c r="AA2" s="447" t="s">
        <v>5</v>
      </c>
      <c r="AB2" s="447" t="s">
        <v>6</v>
      </c>
      <c r="AC2" s="447" t="s">
        <v>7</v>
      </c>
      <c r="AD2" s="447" t="s">
        <v>1</v>
      </c>
      <c r="AE2" s="447" t="s">
        <v>2</v>
      </c>
      <c r="AF2" s="447" t="s">
        <v>3</v>
      </c>
      <c r="AG2" s="448"/>
      <c r="AH2" s="449"/>
    </row>
    <row r="3" spans="1:34">
      <c r="A3" s="450" t="s">
        <v>61</v>
      </c>
      <c r="B3" s="451">
        <v>1</v>
      </c>
      <c r="C3" s="452">
        <v>2</v>
      </c>
      <c r="D3" s="452">
        <v>3</v>
      </c>
      <c r="E3" s="453">
        <v>4</v>
      </c>
      <c r="F3" s="453">
        <v>5</v>
      </c>
      <c r="G3" s="451">
        <v>6</v>
      </c>
      <c r="H3" s="452">
        <v>7</v>
      </c>
      <c r="I3" s="452">
        <v>8</v>
      </c>
      <c r="J3" s="452">
        <v>9</v>
      </c>
      <c r="K3" s="452">
        <v>10</v>
      </c>
      <c r="L3" s="453">
        <v>11</v>
      </c>
      <c r="M3" s="453">
        <v>12</v>
      </c>
      <c r="N3" s="452">
        <v>13</v>
      </c>
      <c r="O3" s="452">
        <v>14</v>
      </c>
      <c r="P3" s="452">
        <v>15</v>
      </c>
      <c r="Q3" s="452">
        <v>16</v>
      </c>
      <c r="R3" s="452">
        <v>17</v>
      </c>
      <c r="S3" s="453">
        <v>18</v>
      </c>
      <c r="T3" s="453">
        <v>19</v>
      </c>
      <c r="U3" s="452">
        <v>20</v>
      </c>
      <c r="V3" s="452">
        <v>21</v>
      </c>
      <c r="W3" s="452">
        <v>22</v>
      </c>
      <c r="X3" s="452" t="s">
        <v>9</v>
      </c>
      <c r="Y3" s="452" t="s">
        <v>9</v>
      </c>
      <c r="Z3" s="453">
        <v>25</v>
      </c>
      <c r="AA3" s="453">
        <v>26</v>
      </c>
      <c r="AB3" s="452" t="s">
        <v>9</v>
      </c>
      <c r="AC3" s="452" t="s">
        <v>9</v>
      </c>
      <c r="AD3" s="452" t="s">
        <v>9</v>
      </c>
      <c r="AE3" s="452" t="s">
        <v>9</v>
      </c>
      <c r="AF3" s="452" t="s">
        <v>9</v>
      </c>
      <c r="AG3" s="448"/>
      <c r="AH3" s="571" t="s">
        <v>77</v>
      </c>
    </row>
    <row r="4" spans="1:34">
      <c r="A4" s="450" t="s">
        <v>24</v>
      </c>
      <c r="B4" s="451">
        <v>1</v>
      </c>
      <c r="C4" s="452" t="s">
        <v>9</v>
      </c>
      <c r="D4" s="452" t="s">
        <v>9</v>
      </c>
      <c r="E4" s="453">
        <v>4</v>
      </c>
      <c r="F4" s="453">
        <v>5</v>
      </c>
      <c r="G4" s="451">
        <v>6</v>
      </c>
      <c r="H4" s="452" t="s">
        <v>9</v>
      </c>
      <c r="I4" s="452" t="s">
        <v>9</v>
      </c>
      <c r="J4" s="452" t="s">
        <v>9</v>
      </c>
      <c r="K4" s="452" t="s">
        <v>9</v>
      </c>
      <c r="L4" s="453">
        <v>11</v>
      </c>
      <c r="M4" s="453">
        <v>12</v>
      </c>
      <c r="N4" s="452">
        <v>13</v>
      </c>
      <c r="O4" s="452">
        <v>14</v>
      </c>
      <c r="P4" s="451" t="s">
        <v>14</v>
      </c>
      <c r="Q4" s="451" t="s">
        <v>14</v>
      </c>
      <c r="R4" s="451" t="s">
        <v>14</v>
      </c>
      <c r="S4" s="451" t="s">
        <v>14</v>
      </c>
      <c r="T4" s="451" t="s">
        <v>14</v>
      </c>
      <c r="U4" s="451" t="s">
        <v>14</v>
      </c>
      <c r="V4" s="451" t="s">
        <v>14</v>
      </c>
      <c r="W4" s="452">
        <v>22</v>
      </c>
      <c r="X4" s="454" t="s">
        <v>9</v>
      </c>
      <c r="Y4" s="452">
        <v>24</v>
      </c>
      <c r="Z4" s="453">
        <v>25</v>
      </c>
      <c r="AA4" s="453">
        <v>26</v>
      </c>
      <c r="AB4" s="452">
        <v>27</v>
      </c>
      <c r="AC4" s="452">
        <v>28</v>
      </c>
      <c r="AD4" s="452">
        <v>29</v>
      </c>
      <c r="AE4" s="452">
        <v>30</v>
      </c>
      <c r="AF4" s="452">
        <v>31</v>
      </c>
      <c r="AG4" s="448"/>
      <c r="AH4" s="449"/>
    </row>
    <row r="5" spans="1:34">
      <c r="A5" s="450" t="s">
        <v>15</v>
      </c>
      <c r="B5" s="451">
        <v>1</v>
      </c>
      <c r="C5" s="452">
        <v>2</v>
      </c>
      <c r="D5" s="452">
        <v>3</v>
      </c>
      <c r="E5" s="453">
        <v>4</v>
      </c>
      <c r="F5" s="453">
        <v>5</v>
      </c>
      <c r="G5" s="451">
        <v>6</v>
      </c>
      <c r="H5" s="452">
        <v>7</v>
      </c>
      <c r="I5" s="452">
        <v>8</v>
      </c>
      <c r="J5" s="452">
        <v>9</v>
      </c>
      <c r="K5" s="452">
        <v>10</v>
      </c>
      <c r="L5" s="453">
        <v>11</v>
      </c>
      <c r="M5" s="453">
        <v>12</v>
      </c>
      <c r="N5" s="452">
        <v>13</v>
      </c>
      <c r="O5" s="452">
        <v>14</v>
      </c>
      <c r="P5" s="452">
        <v>15</v>
      </c>
      <c r="Q5" s="452">
        <v>16</v>
      </c>
      <c r="R5" s="452">
        <v>17</v>
      </c>
      <c r="S5" s="453">
        <v>18</v>
      </c>
      <c r="T5" s="453">
        <v>19</v>
      </c>
      <c r="U5" s="452">
        <v>20</v>
      </c>
      <c r="V5" s="452">
        <v>21</v>
      </c>
      <c r="W5" s="451" t="s">
        <v>14</v>
      </c>
      <c r="X5" s="451" t="s">
        <v>14</v>
      </c>
      <c r="Y5" s="451" t="s">
        <v>14</v>
      </c>
      <c r="Z5" s="451" t="s">
        <v>14</v>
      </c>
      <c r="AA5" s="451" t="s">
        <v>14</v>
      </c>
      <c r="AB5" s="451" t="s">
        <v>14</v>
      </c>
      <c r="AC5" s="451" t="s">
        <v>14</v>
      </c>
      <c r="AD5" s="452">
        <v>29</v>
      </c>
      <c r="AE5" s="452">
        <v>30</v>
      </c>
      <c r="AF5" s="452">
        <v>31</v>
      </c>
      <c r="AG5" s="448"/>
      <c r="AH5" s="455"/>
    </row>
    <row r="6" spans="1:34">
      <c r="A6" s="450" t="s">
        <v>18</v>
      </c>
      <c r="B6" s="451" t="s">
        <v>14</v>
      </c>
      <c r="C6" s="451" t="s">
        <v>14</v>
      </c>
      <c r="D6" s="451" t="s">
        <v>14</v>
      </c>
      <c r="E6" s="451" t="s">
        <v>14</v>
      </c>
      <c r="F6" s="451" t="s">
        <v>14</v>
      </c>
      <c r="G6" s="451" t="s">
        <v>14</v>
      </c>
      <c r="H6" s="451" t="s">
        <v>14</v>
      </c>
      <c r="I6" s="452">
        <v>8</v>
      </c>
      <c r="J6" s="452">
        <v>9</v>
      </c>
      <c r="K6" s="452">
        <v>10</v>
      </c>
      <c r="L6" s="453">
        <v>11</v>
      </c>
      <c r="M6" s="453">
        <v>12</v>
      </c>
      <c r="N6" s="452">
        <v>13</v>
      </c>
      <c r="O6" s="452">
        <v>14</v>
      </c>
      <c r="P6" s="452">
        <v>15</v>
      </c>
      <c r="Q6" s="452">
        <v>16</v>
      </c>
      <c r="R6" s="452">
        <v>17</v>
      </c>
      <c r="S6" s="453">
        <v>18</v>
      </c>
      <c r="T6" s="453">
        <v>19</v>
      </c>
      <c r="U6" s="452">
        <v>20</v>
      </c>
      <c r="V6" s="452">
        <v>21</v>
      </c>
      <c r="W6" s="452">
        <v>22</v>
      </c>
      <c r="X6" s="452">
        <v>23</v>
      </c>
      <c r="Y6" s="452">
        <v>24</v>
      </c>
      <c r="Z6" s="453">
        <v>25</v>
      </c>
      <c r="AA6" s="453">
        <v>26</v>
      </c>
      <c r="AB6" s="452">
        <v>27</v>
      </c>
      <c r="AC6" s="452">
        <v>28</v>
      </c>
      <c r="AD6" s="452">
        <v>29</v>
      </c>
      <c r="AE6" s="452">
        <v>30</v>
      </c>
      <c r="AF6" s="452">
        <v>31</v>
      </c>
      <c r="AG6" s="448"/>
      <c r="AH6" s="449"/>
    </row>
    <row r="7" spans="1:34">
      <c r="A7" s="450" t="s">
        <v>21</v>
      </c>
      <c r="B7" s="451">
        <v>1</v>
      </c>
      <c r="C7" s="452" t="s">
        <v>9</v>
      </c>
      <c r="D7" s="452" t="s">
        <v>9</v>
      </c>
      <c r="E7" s="453">
        <v>4</v>
      </c>
      <c r="F7" s="453">
        <v>5</v>
      </c>
      <c r="G7" s="451">
        <v>6</v>
      </c>
      <c r="H7" s="452">
        <v>7</v>
      </c>
      <c r="I7" s="452">
        <v>8</v>
      </c>
      <c r="J7" s="452">
        <v>9</v>
      </c>
      <c r="K7" s="452">
        <v>10</v>
      </c>
      <c r="L7" s="453">
        <v>11</v>
      </c>
      <c r="M7" s="453">
        <v>12</v>
      </c>
      <c r="N7" s="452">
        <v>13</v>
      </c>
      <c r="O7" s="452">
        <v>14</v>
      </c>
      <c r="P7" s="452">
        <v>15</v>
      </c>
      <c r="Q7" s="452">
        <v>16</v>
      </c>
      <c r="R7" s="452">
        <v>17</v>
      </c>
      <c r="S7" s="453">
        <v>18</v>
      </c>
      <c r="T7" s="453">
        <v>19</v>
      </c>
      <c r="U7" s="452">
        <v>20</v>
      </c>
      <c r="V7" s="452">
        <v>21</v>
      </c>
      <c r="W7" s="452">
        <v>22</v>
      </c>
      <c r="X7" s="452">
        <v>23</v>
      </c>
      <c r="Y7" s="452">
        <v>24</v>
      </c>
      <c r="Z7" s="453">
        <v>25</v>
      </c>
      <c r="AA7" s="453">
        <v>26</v>
      </c>
      <c r="AB7" s="452">
        <v>27</v>
      </c>
      <c r="AC7" s="452">
        <v>28</v>
      </c>
      <c r="AD7" s="452">
        <v>29</v>
      </c>
      <c r="AE7" s="452">
        <v>30</v>
      </c>
      <c r="AF7" s="452">
        <v>31</v>
      </c>
      <c r="AG7" s="448"/>
      <c r="AH7" s="449"/>
    </row>
    <row r="8" spans="1:34">
      <c r="A8" s="450" t="s">
        <v>62</v>
      </c>
      <c r="B8" s="451">
        <v>1</v>
      </c>
      <c r="C8" s="452" t="s">
        <v>9</v>
      </c>
      <c r="D8" s="452" t="s">
        <v>9</v>
      </c>
      <c r="E8" s="453">
        <v>4</v>
      </c>
      <c r="F8" s="453">
        <v>5</v>
      </c>
      <c r="G8" s="451">
        <v>6</v>
      </c>
      <c r="H8" s="452">
        <v>7</v>
      </c>
      <c r="I8" s="451" t="s">
        <v>14</v>
      </c>
      <c r="J8" s="451" t="s">
        <v>14</v>
      </c>
      <c r="K8" s="451" t="s">
        <v>14</v>
      </c>
      <c r="L8" s="451" t="s">
        <v>14</v>
      </c>
      <c r="M8" s="451" t="s">
        <v>14</v>
      </c>
      <c r="N8" s="451" t="s">
        <v>14</v>
      </c>
      <c r="O8" s="451" t="s">
        <v>14</v>
      </c>
      <c r="P8" s="452">
        <v>15</v>
      </c>
      <c r="Q8" s="452">
        <v>16</v>
      </c>
      <c r="R8" s="452">
        <v>17</v>
      </c>
      <c r="S8" s="453">
        <v>18</v>
      </c>
      <c r="T8" s="453">
        <v>19</v>
      </c>
      <c r="U8" s="452">
        <v>20</v>
      </c>
      <c r="V8" s="452">
        <v>21</v>
      </c>
      <c r="W8" s="452">
        <v>22</v>
      </c>
      <c r="X8" s="452">
        <v>23</v>
      </c>
      <c r="Y8" s="452">
        <v>24</v>
      </c>
      <c r="Z8" s="453">
        <v>25</v>
      </c>
      <c r="AA8" s="453">
        <v>26</v>
      </c>
      <c r="AB8" s="452">
        <v>27</v>
      </c>
      <c r="AC8" s="452">
        <v>28</v>
      </c>
      <c r="AD8" s="452" t="s">
        <v>14</v>
      </c>
      <c r="AE8" s="452" t="s">
        <v>14</v>
      </c>
      <c r="AF8" s="452" t="s">
        <v>14</v>
      </c>
      <c r="AG8" s="448"/>
      <c r="AH8" s="449"/>
    </row>
    <row r="9" spans="1:34">
      <c r="A9" s="444">
        <v>45689</v>
      </c>
      <c r="B9" s="897"/>
      <c r="C9" s="897"/>
      <c r="D9" s="897"/>
      <c r="E9" s="897"/>
      <c r="F9" s="897"/>
      <c r="G9" s="897"/>
      <c r="H9" s="897"/>
      <c r="I9" s="897"/>
      <c r="J9" s="897"/>
      <c r="K9" s="897"/>
      <c r="L9" s="897"/>
      <c r="M9" s="897"/>
      <c r="N9" s="897"/>
      <c r="O9" s="897"/>
      <c r="P9" s="897"/>
      <c r="Q9" s="897"/>
      <c r="R9" s="897"/>
      <c r="S9" s="897"/>
      <c r="T9" s="897"/>
      <c r="U9" s="897"/>
      <c r="V9" s="897"/>
      <c r="W9" s="897"/>
      <c r="X9" s="897"/>
      <c r="Y9" s="897"/>
      <c r="Z9" s="897"/>
      <c r="AA9" s="897"/>
      <c r="AB9" s="897"/>
      <c r="AC9" s="897"/>
      <c r="AD9" s="897"/>
      <c r="AE9" s="897"/>
      <c r="AF9" s="897"/>
      <c r="AG9" s="897"/>
      <c r="AH9" s="455"/>
    </row>
    <row r="10" spans="1:34">
      <c r="A10" s="446"/>
      <c r="B10" s="447" t="s">
        <v>4</v>
      </c>
      <c r="C10" s="447" t="s">
        <v>5</v>
      </c>
      <c r="D10" s="447" t="s">
        <v>6</v>
      </c>
      <c r="E10" s="447" t="s">
        <v>7</v>
      </c>
      <c r="F10" s="447" t="s">
        <v>1</v>
      </c>
      <c r="G10" s="447" t="s">
        <v>2</v>
      </c>
      <c r="H10" s="447" t="s">
        <v>3</v>
      </c>
      <c r="I10" s="447" t="s">
        <v>4</v>
      </c>
      <c r="J10" s="447" t="s">
        <v>5</v>
      </c>
      <c r="K10" s="447" t="s">
        <v>6</v>
      </c>
      <c r="L10" s="447" t="s">
        <v>7</v>
      </c>
      <c r="M10" s="447" t="s">
        <v>1</v>
      </c>
      <c r="N10" s="447" t="s">
        <v>2</v>
      </c>
      <c r="O10" s="447" t="s">
        <v>3</v>
      </c>
      <c r="P10" s="447" t="s">
        <v>4</v>
      </c>
      <c r="Q10" s="447" t="s">
        <v>5</v>
      </c>
      <c r="R10" s="447" t="s">
        <v>6</v>
      </c>
      <c r="S10" s="447" t="s">
        <v>7</v>
      </c>
      <c r="T10" s="447" t="s">
        <v>1</v>
      </c>
      <c r="U10" s="447" t="s">
        <v>2</v>
      </c>
      <c r="V10" s="447" t="s">
        <v>3</v>
      </c>
      <c r="W10" s="447" t="s">
        <v>4</v>
      </c>
      <c r="X10" s="447" t="s">
        <v>5</v>
      </c>
      <c r="Y10" s="447" t="s">
        <v>6</v>
      </c>
      <c r="Z10" s="447" t="s">
        <v>7</v>
      </c>
      <c r="AA10" s="447" t="s">
        <v>1</v>
      </c>
      <c r="AB10" s="447" t="s">
        <v>2</v>
      </c>
      <c r="AC10" s="447" t="s">
        <v>3</v>
      </c>
      <c r="AD10" s="447"/>
      <c r="AE10" s="447"/>
      <c r="AF10" s="447"/>
      <c r="AG10" s="448"/>
      <c r="AH10" s="455"/>
    </row>
    <row r="11" spans="1:34">
      <c r="A11" s="450" t="s">
        <v>61</v>
      </c>
      <c r="B11" s="453">
        <v>1</v>
      </c>
      <c r="C11" s="453">
        <v>2</v>
      </c>
      <c r="D11" s="452" t="s">
        <v>9</v>
      </c>
      <c r="E11" s="452">
        <v>4</v>
      </c>
      <c r="F11" s="451" t="s">
        <v>14</v>
      </c>
      <c r="G11" s="451" t="s">
        <v>14</v>
      </c>
      <c r="H11" s="451" t="s">
        <v>14</v>
      </c>
      <c r="I11" s="451" t="s">
        <v>14</v>
      </c>
      <c r="J11" s="451" t="s">
        <v>14</v>
      </c>
      <c r="K11" s="451" t="s">
        <v>14</v>
      </c>
      <c r="L11" s="451" t="s">
        <v>14</v>
      </c>
      <c r="M11" s="452">
        <v>12</v>
      </c>
      <c r="N11" s="452">
        <v>13</v>
      </c>
      <c r="O11" s="452">
        <v>14</v>
      </c>
      <c r="P11" s="453">
        <v>15</v>
      </c>
      <c r="Q11" s="453">
        <v>16</v>
      </c>
      <c r="R11" s="452">
        <v>17</v>
      </c>
      <c r="S11" s="452">
        <v>18</v>
      </c>
      <c r="T11" s="452">
        <v>19</v>
      </c>
      <c r="U11" s="452">
        <v>20</v>
      </c>
      <c r="V11" s="452">
        <v>21</v>
      </c>
      <c r="W11" s="453">
        <v>22</v>
      </c>
      <c r="X11" s="453">
        <v>23</v>
      </c>
      <c r="Y11" s="452">
        <v>24</v>
      </c>
      <c r="Z11" s="452">
        <v>25</v>
      </c>
      <c r="AA11" s="452" t="s">
        <v>14</v>
      </c>
      <c r="AB11" s="452" t="s">
        <v>14</v>
      </c>
      <c r="AC11" s="452" t="s">
        <v>14</v>
      </c>
      <c r="AD11" s="452"/>
      <c r="AE11" s="452"/>
      <c r="AF11" s="452"/>
      <c r="AG11" s="448"/>
      <c r="AH11" s="455"/>
    </row>
    <row r="12" spans="1:34">
      <c r="A12" s="450" t="s">
        <v>24</v>
      </c>
      <c r="B12" s="453">
        <v>1</v>
      </c>
      <c r="C12" s="453">
        <v>2</v>
      </c>
      <c r="D12" s="452">
        <v>3</v>
      </c>
      <c r="E12" s="452">
        <v>4</v>
      </c>
      <c r="F12" s="452">
        <v>5</v>
      </c>
      <c r="G12" s="452">
        <v>6</v>
      </c>
      <c r="H12" s="452">
        <v>7</v>
      </c>
      <c r="I12" s="453">
        <v>8</v>
      </c>
      <c r="J12" s="453">
        <v>9</v>
      </c>
      <c r="K12" s="452">
        <v>10</v>
      </c>
      <c r="L12" s="452">
        <v>11</v>
      </c>
      <c r="M12" s="452">
        <v>12</v>
      </c>
      <c r="N12" s="452">
        <v>13</v>
      </c>
      <c r="O12" s="452">
        <v>14</v>
      </c>
      <c r="P12" s="453">
        <v>15</v>
      </c>
      <c r="Q12" s="453">
        <v>16</v>
      </c>
      <c r="R12" s="452">
        <v>17</v>
      </c>
      <c r="S12" s="452">
        <v>18</v>
      </c>
      <c r="T12" s="451" t="s">
        <v>14</v>
      </c>
      <c r="U12" s="451" t="s">
        <v>14</v>
      </c>
      <c r="V12" s="451" t="s">
        <v>14</v>
      </c>
      <c r="W12" s="451" t="s">
        <v>14</v>
      </c>
      <c r="X12" s="451" t="s">
        <v>14</v>
      </c>
      <c r="Y12" s="451" t="s">
        <v>14</v>
      </c>
      <c r="Z12" s="451" t="s">
        <v>14</v>
      </c>
      <c r="AA12" s="452">
        <v>26</v>
      </c>
      <c r="AB12" s="452">
        <v>27</v>
      </c>
      <c r="AC12" s="452">
        <v>28</v>
      </c>
      <c r="AD12" s="452"/>
      <c r="AE12" s="452"/>
      <c r="AF12" s="452"/>
      <c r="AG12" s="448"/>
      <c r="AH12" s="455"/>
    </row>
    <row r="13" spans="1:34">
      <c r="A13" s="450" t="s">
        <v>15</v>
      </c>
      <c r="B13" s="453">
        <v>1</v>
      </c>
      <c r="C13" s="453">
        <v>2</v>
      </c>
      <c r="D13" s="452">
        <v>3</v>
      </c>
      <c r="E13" s="452">
        <v>4</v>
      </c>
      <c r="F13" s="452">
        <v>5</v>
      </c>
      <c r="G13" s="452">
        <v>6</v>
      </c>
      <c r="H13" s="452">
        <v>7</v>
      </c>
      <c r="I13" s="453">
        <v>8</v>
      </c>
      <c r="J13" s="453">
        <v>9</v>
      </c>
      <c r="K13" s="452">
        <v>10</v>
      </c>
      <c r="L13" s="452">
        <v>11</v>
      </c>
      <c r="M13" s="451" t="s">
        <v>14</v>
      </c>
      <c r="N13" s="451" t="s">
        <v>14</v>
      </c>
      <c r="O13" s="451" t="s">
        <v>14</v>
      </c>
      <c r="P13" s="451" t="s">
        <v>14</v>
      </c>
      <c r="Q13" s="451" t="s">
        <v>14</v>
      </c>
      <c r="R13" s="451" t="s">
        <v>14</v>
      </c>
      <c r="S13" s="451" t="s">
        <v>14</v>
      </c>
      <c r="T13" s="452">
        <v>19</v>
      </c>
      <c r="U13" s="452">
        <v>20</v>
      </c>
      <c r="V13" s="452">
        <v>21</v>
      </c>
      <c r="W13" s="453">
        <v>22</v>
      </c>
      <c r="X13" s="453">
        <v>23</v>
      </c>
      <c r="Y13" s="452">
        <v>24</v>
      </c>
      <c r="Z13" s="452">
        <v>25</v>
      </c>
      <c r="AA13" s="452">
        <v>26</v>
      </c>
      <c r="AB13" s="452">
        <v>27</v>
      </c>
      <c r="AC13" s="452">
        <v>28</v>
      </c>
      <c r="AD13" s="452"/>
      <c r="AE13" s="452"/>
      <c r="AF13" s="452"/>
      <c r="AG13" s="448"/>
      <c r="AH13" s="455"/>
    </row>
    <row r="14" spans="1:34">
      <c r="A14" s="450" t="s">
        <v>18</v>
      </c>
      <c r="B14" s="453">
        <v>1</v>
      </c>
      <c r="C14" s="453">
        <v>2</v>
      </c>
      <c r="D14" s="452">
        <v>3</v>
      </c>
      <c r="E14" s="452">
        <v>4</v>
      </c>
      <c r="F14" s="452">
        <v>5</v>
      </c>
      <c r="G14" s="452">
        <v>6</v>
      </c>
      <c r="H14" s="452">
        <v>7</v>
      </c>
      <c r="I14" s="453">
        <v>8</v>
      </c>
      <c r="J14" s="453">
        <v>9</v>
      </c>
      <c r="K14" s="452">
        <v>10</v>
      </c>
      <c r="L14" s="452">
        <v>11</v>
      </c>
      <c r="M14" s="452">
        <v>12</v>
      </c>
      <c r="N14" s="452">
        <v>13</v>
      </c>
      <c r="O14" s="452">
        <v>14</v>
      </c>
      <c r="P14" s="453">
        <v>15</v>
      </c>
      <c r="Q14" s="453">
        <v>16</v>
      </c>
      <c r="R14" s="452">
        <v>17</v>
      </c>
      <c r="S14" s="452">
        <v>18</v>
      </c>
      <c r="T14" s="452">
        <v>19</v>
      </c>
      <c r="U14" s="452">
        <v>20</v>
      </c>
      <c r="V14" s="452">
        <v>21</v>
      </c>
      <c r="W14" s="453">
        <v>22</v>
      </c>
      <c r="X14" s="453">
        <v>23</v>
      </c>
      <c r="Y14" s="452">
        <v>24</v>
      </c>
      <c r="Z14" s="452">
        <v>25</v>
      </c>
      <c r="AA14" s="452">
        <v>26</v>
      </c>
      <c r="AB14" s="452">
        <v>27</v>
      </c>
      <c r="AC14" s="456" t="s">
        <v>41</v>
      </c>
      <c r="AD14" s="452"/>
      <c r="AE14" s="452"/>
      <c r="AF14" s="452"/>
      <c r="AG14" s="448"/>
      <c r="AH14" s="455"/>
    </row>
    <row r="15" spans="1:34">
      <c r="A15" s="450" t="s">
        <v>21</v>
      </c>
      <c r="B15" s="453">
        <v>1</v>
      </c>
      <c r="C15" s="453">
        <v>2</v>
      </c>
      <c r="D15" s="452">
        <v>3</v>
      </c>
      <c r="E15" s="452">
        <v>4</v>
      </c>
      <c r="F15" s="452">
        <v>5</v>
      </c>
      <c r="G15" s="452">
        <v>6</v>
      </c>
      <c r="H15" s="452">
        <v>7</v>
      </c>
      <c r="I15" s="453">
        <v>8</v>
      </c>
      <c r="J15" s="453">
        <v>9</v>
      </c>
      <c r="K15" s="452">
        <v>10</v>
      </c>
      <c r="L15" s="452">
        <v>11</v>
      </c>
      <c r="M15" s="452">
        <v>12</v>
      </c>
      <c r="N15" s="452">
        <v>13</v>
      </c>
      <c r="O15" s="452">
        <v>14</v>
      </c>
      <c r="P15" s="453">
        <v>15</v>
      </c>
      <c r="Q15" s="453">
        <v>16</v>
      </c>
      <c r="R15" s="452">
        <v>17</v>
      </c>
      <c r="S15" s="452">
        <v>18</v>
      </c>
      <c r="T15" s="452">
        <v>19</v>
      </c>
      <c r="U15" s="452">
        <v>20</v>
      </c>
      <c r="V15" s="452">
        <v>21</v>
      </c>
      <c r="W15" s="453">
        <v>22</v>
      </c>
      <c r="X15" s="453">
        <v>23</v>
      </c>
      <c r="Y15" s="452">
        <v>24</v>
      </c>
      <c r="Z15" s="452">
        <v>25</v>
      </c>
      <c r="AA15" s="452">
        <v>26</v>
      </c>
      <c r="AB15" s="452">
        <v>27</v>
      </c>
      <c r="AC15" s="452">
        <v>28</v>
      </c>
      <c r="AD15" s="452"/>
      <c r="AE15" s="452"/>
      <c r="AF15" s="452"/>
      <c r="AG15" s="448"/>
      <c r="AH15" s="455"/>
    </row>
    <row r="16" spans="1:34">
      <c r="A16" s="450" t="s">
        <v>62</v>
      </c>
      <c r="B16" s="453" t="s">
        <v>14</v>
      </c>
      <c r="C16" s="453" t="s">
        <v>14</v>
      </c>
      <c r="D16" s="452" t="s">
        <v>14</v>
      </c>
      <c r="E16" s="452" t="s">
        <v>14</v>
      </c>
      <c r="F16" s="452">
        <v>5</v>
      </c>
      <c r="G16" s="452">
        <v>6</v>
      </c>
      <c r="H16" s="452">
        <v>7</v>
      </c>
      <c r="I16" s="453">
        <v>8</v>
      </c>
      <c r="J16" s="453">
        <v>9</v>
      </c>
      <c r="K16" s="452">
        <v>10</v>
      </c>
      <c r="L16" s="452">
        <v>11</v>
      </c>
      <c r="M16" s="452">
        <v>12</v>
      </c>
      <c r="N16" s="452">
        <v>13</v>
      </c>
      <c r="O16" s="452">
        <v>14</v>
      </c>
      <c r="P16" s="453">
        <v>15</v>
      </c>
      <c r="Q16" s="453">
        <v>16</v>
      </c>
      <c r="R16" s="452">
        <v>17</v>
      </c>
      <c r="S16" s="452">
        <v>18</v>
      </c>
      <c r="T16" s="452">
        <v>19</v>
      </c>
      <c r="U16" s="452">
        <v>20</v>
      </c>
      <c r="V16" s="452">
        <v>21</v>
      </c>
      <c r="W16" s="453">
        <v>22</v>
      </c>
      <c r="X16" s="453">
        <v>23</v>
      </c>
      <c r="Y16" s="452">
        <v>24</v>
      </c>
      <c r="Z16" s="452">
        <v>25</v>
      </c>
      <c r="AA16" s="452">
        <v>26</v>
      </c>
      <c r="AB16" s="452">
        <v>27</v>
      </c>
      <c r="AC16" s="452">
        <v>28</v>
      </c>
      <c r="AD16" s="452"/>
      <c r="AE16" s="452"/>
      <c r="AF16" s="452"/>
      <c r="AG16" s="448"/>
      <c r="AH16" s="455"/>
    </row>
    <row r="17" spans="1:34">
      <c r="A17" s="444">
        <v>45717</v>
      </c>
      <c r="B17" s="897"/>
      <c r="C17" s="897"/>
      <c r="D17" s="897"/>
      <c r="E17" s="897"/>
      <c r="F17" s="897"/>
      <c r="G17" s="897"/>
      <c r="H17" s="897"/>
      <c r="I17" s="897"/>
      <c r="J17" s="897"/>
      <c r="K17" s="897"/>
      <c r="L17" s="897"/>
      <c r="M17" s="897"/>
      <c r="N17" s="897"/>
      <c r="O17" s="897"/>
      <c r="P17" s="897"/>
      <c r="Q17" s="897"/>
      <c r="R17" s="897"/>
      <c r="S17" s="897"/>
      <c r="T17" s="897"/>
      <c r="U17" s="897"/>
      <c r="V17" s="897"/>
      <c r="W17" s="897"/>
      <c r="X17" s="897"/>
      <c r="Y17" s="897"/>
      <c r="Z17" s="897"/>
      <c r="AA17" s="897"/>
      <c r="AB17" s="897"/>
      <c r="AC17" s="897"/>
      <c r="AD17" s="897"/>
      <c r="AE17" s="897"/>
      <c r="AF17" s="897"/>
      <c r="AG17" s="897"/>
      <c r="AH17" s="455"/>
    </row>
    <row r="18" spans="1:34">
      <c r="A18" s="446"/>
      <c r="B18" s="447" t="s">
        <v>4</v>
      </c>
      <c r="C18" s="447" t="s">
        <v>5</v>
      </c>
      <c r="D18" s="447" t="s">
        <v>6</v>
      </c>
      <c r="E18" s="447" t="s">
        <v>7</v>
      </c>
      <c r="F18" s="447" t="s">
        <v>1</v>
      </c>
      <c r="G18" s="447" t="s">
        <v>2</v>
      </c>
      <c r="H18" s="447" t="s">
        <v>3</v>
      </c>
      <c r="I18" s="447" t="s">
        <v>4</v>
      </c>
      <c r="J18" s="447" t="s">
        <v>5</v>
      </c>
      <c r="K18" s="447" t="s">
        <v>6</v>
      </c>
      <c r="L18" s="447" t="s">
        <v>7</v>
      </c>
      <c r="M18" s="447" t="s">
        <v>1</v>
      </c>
      <c r="N18" s="447" t="s">
        <v>2</v>
      </c>
      <c r="O18" s="447" t="s">
        <v>3</v>
      </c>
      <c r="P18" s="447" t="s">
        <v>4</v>
      </c>
      <c r="Q18" s="447" t="s">
        <v>5</v>
      </c>
      <c r="R18" s="447" t="s">
        <v>6</v>
      </c>
      <c r="S18" s="447" t="s">
        <v>7</v>
      </c>
      <c r="T18" s="447" t="s">
        <v>1</v>
      </c>
      <c r="U18" s="447" t="s">
        <v>2</v>
      </c>
      <c r="V18" s="447" t="s">
        <v>3</v>
      </c>
      <c r="W18" s="447" t="s">
        <v>4</v>
      </c>
      <c r="X18" s="447" t="s">
        <v>5</v>
      </c>
      <c r="Y18" s="447" t="s">
        <v>6</v>
      </c>
      <c r="Z18" s="447" t="s">
        <v>7</v>
      </c>
      <c r="AA18" s="447" t="s">
        <v>1</v>
      </c>
      <c r="AB18" s="447" t="s">
        <v>2</v>
      </c>
      <c r="AC18" s="447" t="s">
        <v>3</v>
      </c>
      <c r="AD18" s="447" t="s">
        <v>4</v>
      </c>
      <c r="AE18" s="447" t="s">
        <v>5</v>
      </c>
      <c r="AF18" s="447" t="s">
        <v>6</v>
      </c>
      <c r="AG18" s="448"/>
      <c r="AH18" s="455"/>
    </row>
    <row r="19" spans="1:34">
      <c r="A19" s="450" t="s">
        <v>61</v>
      </c>
      <c r="B19" s="453" t="s">
        <v>14</v>
      </c>
      <c r="C19" s="453" t="s">
        <v>14</v>
      </c>
      <c r="D19" s="452" t="s">
        <v>14</v>
      </c>
      <c r="E19" s="452" t="s">
        <v>14</v>
      </c>
      <c r="F19" s="452">
        <v>5</v>
      </c>
      <c r="G19" s="452">
        <v>6</v>
      </c>
      <c r="H19" s="452">
        <v>7</v>
      </c>
      <c r="I19" s="453">
        <v>8</v>
      </c>
      <c r="J19" s="453">
        <v>9</v>
      </c>
      <c r="K19" s="452">
        <v>10</v>
      </c>
      <c r="L19" s="452">
        <v>11</v>
      </c>
      <c r="M19" s="452">
        <v>12</v>
      </c>
      <c r="N19" s="452">
        <v>13</v>
      </c>
      <c r="O19" s="452">
        <v>14</v>
      </c>
      <c r="P19" s="453">
        <v>15</v>
      </c>
      <c r="Q19" s="453">
        <v>16</v>
      </c>
      <c r="R19" s="452">
        <v>17</v>
      </c>
      <c r="S19" s="452">
        <v>18</v>
      </c>
      <c r="T19" s="452">
        <v>19</v>
      </c>
      <c r="U19" s="452">
        <v>20</v>
      </c>
      <c r="V19" s="452">
        <v>21</v>
      </c>
      <c r="W19" s="453">
        <v>22</v>
      </c>
      <c r="X19" s="453">
        <v>23</v>
      </c>
      <c r="Y19" s="452">
        <v>24</v>
      </c>
      <c r="Z19" s="452">
        <v>25</v>
      </c>
      <c r="AA19" s="452">
        <v>26</v>
      </c>
      <c r="AB19" s="452">
        <v>27</v>
      </c>
      <c r="AC19" s="452">
        <v>28</v>
      </c>
      <c r="AD19" s="453">
        <v>29</v>
      </c>
      <c r="AE19" s="453">
        <v>30</v>
      </c>
      <c r="AF19" s="452">
        <v>31</v>
      </c>
      <c r="AG19" s="448"/>
      <c r="AH19" s="455"/>
    </row>
    <row r="20" spans="1:34">
      <c r="A20" s="450" t="s">
        <v>24</v>
      </c>
      <c r="B20" s="453">
        <v>1</v>
      </c>
      <c r="C20" s="453">
        <v>2</v>
      </c>
      <c r="D20" s="452">
        <v>3</v>
      </c>
      <c r="E20" s="452">
        <v>4</v>
      </c>
      <c r="F20" s="452">
        <v>5</v>
      </c>
      <c r="G20" s="452">
        <v>6</v>
      </c>
      <c r="H20" s="452">
        <v>7</v>
      </c>
      <c r="I20" s="453">
        <v>8</v>
      </c>
      <c r="J20" s="453">
        <v>9</v>
      </c>
      <c r="K20" s="452">
        <v>10</v>
      </c>
      <c r="L20" s="452">
        <v>11</v>
      </c>
      <c r="M20" s="452">
        <v>12</v>
      </c>
      <c r="N20" s="452">
        <v>13</v>
      </c>
      <c r="O20" s="452">
        <v>14</v>
      </c>
      <c r="P20" s="453">
        <v>15</v>
      </c>
      <c r="Q20" s="453">
        <v>16</v>
      </c>
      <c r="R20" s="452">
        <v>17</v>
      </c>
      <c r="S20" s="452">
        <v>18</v>
      </c>
      <c r="T20" s="452">
        <v>19</v>
      </c>
      <c r="U20" s="452">
        <v>20</v>
      </c>
      <c r="V20" s="452">
        <v>21</v>
      </c>
      <c r="W20" s="453">
        <v>22</v>
      </c>
      <c r="X20" s="453">
        <v>23</v>
      </c>
      <c r="Y20" s="452">
        <v>24</v>
      </c>
      <c r="Z20" s="452">
        <v>25</v>
      </c>
      <c r="AA20" s="452" t="s">
        <v>14</v>
      </c>
      <c r="AB20" s="452" t="s">
        <v>14</v>
      </c>
      <c r="AC20" s="452" t="s">
        <v>14</v>
      </c>
      <c r="AD20" s="453" t="s">
        <v>14</v>
      </c>
      <c r="AE20" s="453" t="s">
        <v>14</v>
      </c>
      <c r="AF20" s="452" t="s">
        <v>14</v>
      </c>
      <c r="AG20" s="448"/>
      <c r="AH20" s="455"/>
    </row>
    <row r="21" spans="1:34">
      <c r="A21" s="450" t="s">
        <v>15</v>
      </c>
      <c r="B21" s="453">
        <v>1</v>
      </c>
      <c r="C21" s="453">
        <v>2</v>
      </c>
      <c r="D21" s="452">
        <v>3</v>
      </c>
      <c r="E21" s="452">
        <v>4</v>
      </c>
      <c r="F21" s="452">
        <v>5</v>
      </c>
      <c r="G21" s="452">
        <v>6</v>
      </c>
      <c r="H21" s="452">
        <v>7</v>
      </c>
      <c r="I21" s="453">
        <v>8</v>
      </c>
      <c r="J21" s="453">
        <v>9</v>
      </c>
      <c r="K21" s="452">
        <v>10</v>
      </c>
      <c r="L21" s="452">
        <v>11</v>
      </c>
      <c r="M21" s="452">
        <v>12</v>
      </c>
      <c r="N21" s="452">
        <v>13</v>
      </c>
      <c r="O21" s="452">
        <v>14</v>
      </c>
      <c r="P21" s="453">
        <v>15</v>
      </c>
      <c r="Q21" s="453">
        <v>16</v>
      </c>
      <c r="R21" s="452">
        <v>17</v>
      </c>
      <c r="S21" s="452">
        <v>18</v>
      </c>
      <c r="T21" s="451" t="s">
        <v>14</v>
      </c>
      <c r="U21" s="451" t="s">
        <v>14</v>
      </c>
      <c r="V21" s="451" t="s">
        <v>14</v>
      </c>
      <c r="W21" s="451" t="s">
        <v>14</v>
      </c>
      <c r="X21" s="451" t="s">
        <v>14</v>
      </c>
      <c r="Y21" s="451" t="s">
        <v>14</v>
      </c>
      <c r="Z21" s="451" t="s">
        <v>14</v>
      </c>
      <c r="AA21" s="452">
        <v>26</v>
      </c>
      <c r="AB21" s="452">
        <v>27</v>
      </c>
      <c r="AC21" s="452">
        <v>28</v>
      </c>
      <c r="AD21" s="453">
        <v>29</v>
      </c>
      <c r="AE21" s="453">
        <v>30</v>
      </c>
      <c r="AF21" s="452">
        <v>31</v>
      </c>
      <c r="AG21" s="448"/>
      <c r="AH21" s="455"/>
    </row>
    <row r="22" spans="1:34">
      <c r="A22" s="450" t="s">
        <v>18</v>
      </c>
      <c r="B22" s="453">
        <v>1</v>
      </c>
      <c r="C22" s="453">
        <v>2</v>
      </c>
      <c r="D22" s="456" t="s">
        <v>41</v>
      </c>
      <c r="E22" s="452">
        <v>4</v>
      </c>
      <c r="F22" s="451" t="s">
        <v>14</v>
      </c>
      <c r="G22" s="451" t="s">
        <v>14</v>
      </c>
      <c r="H22" s="451" t="s">
        <v>14</v>
      </c>
      <c r="I22" s="451" t="s">
        <v>14</v>
      </c>
      <c r="J22" s="451" t="s">
        <v>14</v>
      </c>
      <c r="K22" s="451" t="s">
        <v>14</v>
      </c>
      <c r="L22" s="451" t="s">
        <v>14</v>
      </c>
      <c r="M22" s="452">
        <v>12</v>
      </c>
      <c r="N22" s="452">
        <v>13</v>
      </c>
      <c r="O22" s="452">
        <v>14</v>
      </c>
      <c r="P22" s="453">
        <v>15</v>
      </c>
      <c r="Q22" s="453">
        <v>16</v>
      </c>
      <c r="R22" s="452">
        <v>17</v>
      </c>
      <c r="S22" s="452">
        <v>18</v>
      </c>
      <c r="T22" s="452">
        <v>19</v>
      </c>
      <c r="U22" s="452">
        <v>20</v>
      </c>
      <c r="V22" s="452">
        <v>21</v>
      </c>
      <c r="W22" s="453">
        <v>22</v>
      </c>
      <c r="X22" s="453">
        <v>23</v>
      </c>
      <c r="Y22" s="452">
        <v>24</v>
      </c>
      <c r="Z22" s="452">
        <v>25</v>
      </c>
      <c r="AA22" s="452">
        <v>26</v>
      </c>
      <c r="AB22" s="452">
        <v>27</v>
      </c>
      <c r="AC22" s="452">
        <v>28</v>
      </c>
      <c r="AD22" s="453">
        <v>29</v>
      </c>
      <c r="AE22" s="453">
        <v>30</v>
      </c>
      <c r="AF22" s="452">
        <v>31</v>
      </c>
      <c r="AG22" s="448"/>
      <c r="AH22" s="455"/>
    </row>
    <row r="23" spans="1:34">
      <c r="A23" s="450" t="s">
        <v>21</v>
      </c>
      <c r="B23" s="453">
        <v>1</v>
      </c>
      <c r="C23" s="453">
        <v>2</v>
      </c>
      <c r="D23" s="452">
        <v>3</v>
      </c>
      <c r="E23" s="452">
        <v>4</v>
      </c>
      <c r="F23" s="452">
        <v>5</v>
      </c>
      <c r="G23" s="452">
        <v>6</v>
      </c>
      <c r="H23" s="452">
        <v>7</v>
      </c>
      <c r="I23" s="453">
        <v>8</v>
      </c>
      <c r="J23" s="453">
        <v>9</v>
      </c>
      <c r="K23" s="452">
        <v>10</v>
      </c>
      <c r="L23" s="452">
        <v>11</v>
      </c>
      <c r="M23" s="451" t="s">
        <v>14</v>
      </c>
      <c r="N23" s="451" t="s">
        <v>14</v>
      </c>
      <c r="O23" s="451" t="s">
        <v>14</v>
      </c>
      <c r="P23" s="451" t="s">
        <v>14</v>
      </c>
      <c r="Q23" s="451" t="s">
        <v>14</v>
      </c>
      <c r="R23" s="451" t="s">
        <v>14</v>
      </c>
      <c r="S23" s="451" t="s">
        <v>14</v>
      </c>
      <c r="T23" s="452">
        <v>19</v>
      </c>
      <c r="U23" s="452">
        <v>20</v>
      </c>
      <c r="V23" s="452">
        <v>21</v>
      </c>
      <c r="W23" s="453">
        <v>22</v>
      </c>
      <c r="X23" s="453">
        <v>23</v>
      </c>
      <c r="Y23" s="452">
        <v>24</v>
      </c>
      <c r="Z23" s="452">
        <v>25</v>
      </c>
      <c r="AA23" s="452">
        <v>26</v>
      </c>
      <c r="AB23" s="452">
        <v>27</v>
      </c>
      <c r="AC23" s="452">
        <v>28</v>
      </c>
      <c r="AD23" s="453">
        <v>29</v>
      </c>
      <c r="AE23" s="453">
        <v>30</v>
      </c>
      <c r="AF23" s="452">
        <v>31</v>
      </c>
      <c r="AG23" s="448"/>
      <c r="AH23" s="455"/>
    </row>
    <row r="24" spans="1:34">
      <c r="A24" s="450" t="s">
        <v>62</v>
      </c>
      <c r="B24" s="453">
        <v>1</v>
      </c>
      <c r="C24" s="453">
        <v>2</v>
      </c>
      <c r="D24" s="452">
        <v>3</v>
      </c>
      <c r="E24" s="452">
        <v>4</v>
      </c>
      <c r="F24" s="452">
        <v>5</v>
      </c>
      <c r="G24" s="452">
        <v>6</v>
      </c>
      <c r="H24" s="452">
        <v>7</v>
      </c>
      <c r="I24" s="453">
        <v>8</v>
      </c>
      <c r="J24" s="453">
        <v>9</v>
      </c>
      <c r="K24" s="452">
        <v>10</v>
      </c>
      <c r="L24" s="452">
        <v>11</v>
      </c>
      <c r="M24" s="452">
        <v>12</v>
      </c>
      <c r="N24" s="452">
        <v>13</v>
      </c>
      <c r="O24" s="452">
        <v>14</v>
      </c>
      <c r="P24" s="453">
        <v>15</v>
      </c>
      <c r="Q24" s="453">
        <v>16</v>
      </c>
      <c r="R24" s="452">
        <v>17</v>
      </c>
      <c r="S24" s="452">
        <v>18</v>
      </c>
      <c r="T24" s="452">
        <v>19</v>
      </c>
      <c r="U24" s="452">
        <v>20</v>
      </c>
      <c r="V24" s="452">
        <v>21</v>
      </c>
      <c r="W24" s="453">
        <v>22</v>
      </c>
      <c r="X24" s="453">
        <v>23</v>
      </c>
      <c r="Y24" s="452">
        <v>24</v>
      </c>
      <c r="Z24" s="452">
        <v>25</v>
      </c>
      <c r="AA24" s="452">
        <v>26</v>
      </c>
      <c r="AB24" s="452">
        <v>27</v>
      </c>
      <c r="AC24" s="452">
        <v>28</v>
      </c>
      <c r="AD24" s="453">
        <v>29</v>
      </c>
      <c r="AE24" s="453">
        <v>30</v>
      </c>
      <c r="AF24" s="452">
        <v>31</v>
      </c>
      <c r="AG24" s="448"/>
      <c r="AH24" s="455"/>
    </row>
    <row r="25" spans="1:34">
      <c r="A25" s="444">
        <v>45748</v>
      </c>
      <c r="B25" s="897"/>
      <c r="C25" s="897"/>
      <c r="D25" s="897"/>
      <c r="E25" s="897"/>
      <c r="F25" s="897"/>
      <c r="G25" s="897"/>
      <c r="H25" s="897"/>
      <c r="I25" s="897"/>
      <c r="J25" s="897"/>
      <c r="K25" s="897"/>
      <c r="L25" s="897"/>
      <c r="M25" s="897"/>
      <c r="N25" s="897"/>
      <c r="O25" s="897"/>
      <c r="P25" s="897"/>
      <c r="Q25" s="897"/>
      <c r="R25" s="897"/>
      <c r="S25" s="897"/>
      <c r="T25" s="897"/>
      <c r="U25" s="897"/>
      <c r="V25" s="897"/>
      <c r="W25" s="897"/>
      <c r="X25" s="897"/>
      <c r="Y25" s="897"/>
      <c r="Z25" s="897"/>
      <c r="AA25" s="897"/>
      <c r="AB25" s="897"/>
      <c r="AC25" s="897"/>
      <c r="AD25" s="897"/>
      <c r="AE25" s="897"/>
      <c r="AF25" s="897"/>
      <c r="AG25" s="897"/>
      <c r="AH25" s="455"/>
    </row>
    <row r="26" spans="1:34">
      <c r="A26" s="446"/>
      <c r="B26" s="447" t="s">
        <v>7</v>
      </c>
      <c r="C26" s="447" t="s">
        <v>1</v>
      </c>
      <c r="D26" s="447" t="s">
        <v>2</v>
      </c>
      <c r="E26" s="447" t="s">
        <v>3</v>
      </c>
      <c r="F26" s="447" t="s">
        <v>4</v>
      </c>
      <c r="G26" s="447" t="s">
        <v>5</v>
      </c>
      <c r="H26" s="447" t="s">
        <v>6</v>
      </c>
      <c r="I26" s="447" t="s">
        <v>7</v>
      </c>
      <c r="J26" s="447" t="s">
        <v>1</v>
      </c>
      <c r="K26" s="447" t="s">
        <v>2</v>
      </c>
      <c r="L26" s="447" t="s">
        <v>3</v>
      </c>
      <c r="M26" s="447" t="s">
        <v>4</v>
      </c>
      <c r="N26" s="447" t="s">
        <v>5</v>
      </c>
      <c r="O26" s="447" t="s">
        <v>6</v>
      </c>
      <c r="P26" s="447" t="s">
        <v>7</v>
      </c>
      <c r="Q26" s="447" t="s">
        <v>1</v>
      </c>
      <c r="R26" s="447" t="s">
        <v>2</v>
      </c>
      <c r="S26" s="447" t="s">
        <v>3</v>
      </c>
      <c r="T26" s="447" t="s">
        <v>4</v>
      </c>
      <c r="U26" s="447" t="s">
        <v>5</v>
      </c>
      <c r="V26" s="447" t="s">
        <v>6</v>
      </c>
      <c r="W26" s="447" t="s">
        <v>7</v>
      </c>
      <c r="X26" s="447" t="s">
        <v>1</v>
      </c>
      <c r="Y26" s="447" t="s">
        <v>2</v>
      </c>
      <c r="Z26" s="447" t="s">
        <v>3</v>
      </c>
      <c r="AA26" s="447" t="s">
        <v>4</v>
      </c>
      <c r="AB26" s="447" t="s">
        <v>5</v>
      </c>
      <c r="AC26" s="447" t="s">
        <v>6</v>
      </c>
      <c r="AD26" s="447" t="s">
        <v>7</v>
      </c>
      <c r="AE26" s="447" t="s">
        <v>1</v>
      </c>
      <c r="AF26" s="447"/>
      <c r="AG26" s="448"/>
      <c r="AH26" s="455"/>
    </row>
    <row r="27" spans="1:34">
      <c r="A27" s="450" t="s">
        <v>61</v>
      </c>
      <c r="B27" s="452">
        <v>1</v>
      </c>
      <c r="C27" s="451" t="s">
        <v>14</v>
      </c>
      <c r="D27" s="451" t="s">
        <v>14</v>
      </c>
      <c r="E27" s="451" t="s">
        <v>14</v>
      </c>
      <c r="F27" s="451" t="s">
        <v>14</v>
      </c>
      <c r="G27" s="451" t="s">
        <v>14</v>
      </c>
      <c r="H27" s="451" t="s">
        <v>14</v>
      </c>
      <c r="I27" s="451" t="s">
        <v>14</v>
      </c>
      <c r="J27" s="452">
        <v>9</v>
      </c>
      <c r="K27" s="452">
        <v>10</v>
      </c>
      <c r="L27" s="452">
        <v>11</v>
      </c>
      <c r="M27" s="453">
        <v>12</v>
      </c>
      <c r="N27" s="453">
        <v>13</v>
      </c>
      <c r="O27" s="452">
        <v>14</v>
      </c>
      <c r="P27" s="452">
        <v>15</v>
      </c>
      <c r="Q27" s="452">
        <v>16</v>
      </c>
      <c r="R27" s="451">
        <v>17</v>
      </c>
      <c r="S27" s="451">
        <v>18</v>
      </c>
      <c r="T27" s="453">
        <v>19</v>
      </c>
      <c r="U27" s="453">
        <v>20</v>
      </c>
      <c r="V27" s="452">
        <v>21</v>
      </c>
      <c r="W27" s="452">
        <v>22</v>
      </c>
      <c r="X27" s="452">
        <v>23</v>
      </c>
      <c r="Y27" s="452">
        <v>24</v>
      </c>
      <c r="Z27" s="452">
        <v>25</v>
      </c>
      <c r="AA27" s="453">
        <v>26</v>
      </c>
      <c r="AB27" s="453">
        <v>27</v>
      </c>
      <c r="AC27" s="452">
        <v>28</v>
      </c>
      <c r="AD27" s="452">
        <v>29</v>
      </c>
      <c r="AE27" s="452">
        <v>30</v>
      </c>
      <c r="AF27" s="452"/>
      <c r="AG27" s="448"/>
      <c r="AH27" s="455"/>
    </row>
    <row r="28" spans="1:34">
      <c r="A28" s="450" t="s">
        <v>24</v>
      </c>
      <c r="B28" s="452" t="s">
        <v>14</v>
      </c>
      <c r="C28" s="452">
        <v>2</v>
      </c>
      <c r="D28" s="456">
        <v>3</v>
      </c>
      <c r="E28" s="456">
        <v>4</v>
      </c>
      <c r="F28" s="453">
        <v>5</v>
      </c>
      <c r="G28" s="453">
        <v>6</v>
      </c>
      <c r="H28" s="452">
        <v>7</v>
      </c>
      <c r="I28" s="452">
        <v>8</v>
      </c>
      <c r="J28" s="452">
        <v>9</v>
      </c>
      <c r="K28" s="452">
        <v>10</v>
      </c>
      <c r="L28" s="452">
        <v>11</v>
      </c>
      <c r="M28" s="453">
        <v>12</v>
      </c>
      <c r="N28" s="453">
        <v>13</v>
      </c>
      <c r="O28" s="452">
        <v>14</v>
      </c>
      <c r="P28" s="452">
        <v>15</v>
      </c>
      <c r="Q28" s="451" t="s">
        <v>14</v>
      </c>
      <c r="R28" s="451" t="s">
        <v>14</v>
      </c>
      <c r="S28" s="451" t="s">
        <v>14</v>
      </c>
      <c r="T28" s="451" t="s">
        <v>14</v>
      </c>
      <c r="U28" s="451" t="s">
        <v>14</v>
      </c>
      <c r="V28" s="451" t="s">
        <v>14</v>
      </c>
      <c r="W28" s="451" t="s">
        <v>14</v>
      </c>
      <c r="X28" s="452">
        <v>23</v>
      </c>
      <c r="Y28" s="452">
        <v>24</v>
      </c>
      <c r="Z28" s="452">
        <v>25</v>
      </c>
      <c r="AA28" s="453">
        <v>26</v>
      </c>
      <c r="AB28" s="453">
        <v>27</v>
      </c>
      <c r="AC28" s="452">
        <v>28</v>
      </c>
      <c r="AD28" s="452">
        <v>29</v>
      </c>
      <c r="AE28" s="452">
        <v>30</v>
      </c>
      <c r="AF28" s="452"/>
      <c r="AG28" s="448"/>
      <c r="AH28" s="455"/>
    </row>
    <row r="29" spans="1:34">
      <c r="A29" s="450" t="s">
        <v>15</v>
      </c>
      <c r="B29" s="452">
        <v>1</v>
      </c>
      <c r="C29" s="452">
        <v>2</v>
      </c>
      <c r="D29" s="456">
        <v>3</v>
      </c>
      <c r="E29" s="456">
        <v>4</v>
      </c>
      <c r="F29" s="453">
        <v>5</v>
      </c>
      <c r="G29" s="453">
        <v>6</v>
      </c>
      <c r="H29" s="452">
        <v>7</v>
      </c>
      <c r="I29" s="452">
        <v>8</v>
      </c>
      <c r="J29" s="452">
        <v>9</v>
      </c>
      <c r="K29" s="452">
        <v>10</v>
      </c>
      <c r="L29" s="452">
        <v>11</v>
      </c>
      <c r="M29" s="453">
        <v>12</v>
      </c>
      <c r="N29" s="453">
        <v>13</v>
      </c>
      <c r="O29" s="452" t="s">
        <v>9</v>
      </c>
      <c r="P29" s="452" t="s">
        <v>9</v>
      </c>
      <c r="Q29" s="452" t="s">
        <v>9</v>
      </c>
      <c r="R29" s="451">
        <v>17</v>
      </c>
      <c r="S29" s="451">
        <v>18</v>
      </c>
      <c r="T29" s="453">
        <v>19</v>
      </c>
      <c r="U29" s="453">
        <v>20</v>
      </c>
      <c r="V29" s="452">
        <v>21</v>
      </c>
      <c r="W29" s="452">
        <v>22</v>
      </c>
      <c r="X29" s="451" t="s">
        <v>14</v>
      </c>
      <c r="Y29" s="451" t="s">
        <v>14</v>
      </c>
      <c r="Z29" s="451" t="s">
        <v>14</v>
      </c>
      <c r="AA29" s="451" t="s">
        <v>14</v>
      </c>
      <c r="AB29" s="451" t="s">
        <v>14</v>
      </c>
      <c r="AC29" s="451" t="s">
        <v>14</v>
      </c>
      <c r="AD29" s="451" t="s">
        <v>14</v>
      </c>
      <c r="AE29" s="452">
        <v>30</v>
      </c>
      <c r="AF29" s="452"/>
      <c r="AG29" s="448"/>
      <c r="AH29" s="455"/>
    </row>
    <row r="30" spans="1:34">
      <c r="A30" s="450" t="s">
        <v>18</v>
      </c>
      <c r="B30" s="452">
        <v>1</v>
      </c>
      <c r="C30" s="452">
        <v>2</v>
      </c>
      <c r="D30" s="456">
        <v>3</v>
      </c>
      <c r="E30" s="456">
        <v>4</v>
      </c>
      <c r="F30" s="453">
        <v>5</v>
      </c>
      <c r="G30" s="453">
        <v>6</v>
      </c>
      <c r="H30" s="452">
        <v>7</v>
      </c>
      <c r="I30" s="452">
        <v>8</v>
      </c>
      <c r="J30" s="452">
        <v>9</v>
      </c>
      <c r="K30" s="452">
        <v>10</v>
      </c>
      <c r="L30" s="452">
        <v>11</v>
      </c>
      <c r="M30" s="453">
        <v>12</v>
      </c>
      <c r="N30" s="453">
        <v>13</v>
      </c>
      <c r="O30" s="452" t="s">
        <v>9</v>
      </c>
      <c r="P30" s="452" t="s">
        <v>9</v>
      </c>
      <c r="Q30" s="452" t="s">
        <v>9</v>
      </c>
      <c r="R30" s="451">
        <v>17</v>
      </c>
      <c r="S30" s="451">
        <v>18</v>
      </c>
      <c r="T30" s="453">
        <v>19</v>
      </c>
      <c r="U30" s="453">
        <v>20</v>
      </c>
      <c r="V30" s="452">
        <v>21</v>
      </c>
      <c r="W30" s="452">
        <v>22</v>
      </c>
      <c r="X30" s="452">
        <v>23</v>
      </c>
      <c r="Y30" s="452">
        <v>24</v>
      </c>
      <c r="Z30" s="452">
        <v>25</v>
      </c>
      <c r="AA30" s="453">
        <v>26</v>
      </c>
      <c r="AB30" s="453">
        <v>27</v>
      </c>
      <c r="AC30" s="452">
        <v>28</v>
      </c>
      <c r="AD30" s="452">
        <v>29</v>
      </c>
      <c r="AE30" s="452">
        <v>30</v>
      </c>
      <c r="AF30" s="452"/>
      <c r="AG30" s="448"/>
      <c r="AH30" s="455"/>
    </row>
    <row r="31" spans="1:34">
      <c r="A31" s="450" t="s">
        <v>21</v>
      </c>
      <c r="B31" s="452">
        <v>1</v>
      </c>
      <c r="C31" s="452">
        <v>2</v>
      </c>
      <c r="D31" s="456">
        <v>3</v>
      </c>
      <c r="E31" s="456">
        <v>4</v>
      </c>
      <c r="F31" s="453">
        <v>5</v>
      </c>
      <c r="G31" s="453">
        <v>6</v>
      </c>
      <c r="H31" s="452">
        <v>7</v>
      </c>
      <c r="I31" s="452">
        <v>8</v>
      </c>
      <c r="J31" s="451" t="s">
        <v>14</v>
      </c>
      <c r="K31" s="451" t="s">
        <v>14</v>
      </c>
      <c r="L31" s="451" t="s">
        <v>14</v>
      </c>
      <c r="M31" s="451" t="s">
        <v>14</v>
      </c>
      <c r="N31" s="451" t="s">
        <v>14</v>
      </c>
      <c r="O31" s="451" t="s">
        <v>14</v>
      </c>
      <c r="P31" s="451" t="s">
        <v>14</v>
      </c>
      <c r="Q31" s="452">
        <v>16</v>
      </c>
      <c r="R31" s="451">
        <v>17</v>
      </c>
      <c r="S31" s="451">
        <v>18</v>
      </c>
      <c r="T31" s="453">
        <v>19</v>
      </c>
      <c r="U31" s="453">
        <v>20</v>
      </c>
      <c r="V31" s="452">
        <v>21</v>
      </c>
      <c r="W31" s="452">
        <v>22</v>
      </c>
      <c r="X31" s="452">
        <v>23</v>
      </c>
      <c r="Y31" s="452">
        <v>24</v>
      </c>
      <c r="Z31" s="452">
        <v>25</v>
      </c>
      <c r="AA31" s="453">
        <v>26</v>
      </c>
      <c r="AB31" s="453">
        <v>27</v>
      </c>
      <c r="AC31" s="452">
        <v>28</v>
      </c>
      <c r="AD31" s="452">
        <v>29</v>
      </c>
      <c r="AE31" s="452">
        <v>30</v>
      </c>
      <c r="AF31" s="452"/>
      <c r="AG31" s="448"/>
      <c r="AH31" s="455"/>
    </row>
    <row r="32" spans="1:34">
      <c r="A32" s="450" t="s">
        <v>62</v>
      </c>
      <c r="B32" s="452">
        <v>1</v>
      </c>
      <c r="C32" s="452">
        <v>2</v>
      </c>
      <c r="D32" s="456">
        <v>3</v>
      </c>
      <c r="E32" s="456">
        <v>4</v>
      </c>
      <c r="F32" s="453">
        <v>5</v>
      </c>
      <c r="G32" s="453">
        <v>6</v>
      </c>
      <c r="H32" s="452">
        <v>7</v>
      </c>
      <c r="I32" s="452">
        <v>8</v>
      </c>
      <c r="J32" s="452">
        <v>9</v>
      </c>
      <c r="K32" s="452">
        <v>10</v>
      </c>
      <c r="L32" s="452">
        <v>11</v>
      </c>
      <c r="M32" s="453">
        <v>12</v>
      </c>
      <c r="N32" s="453">
        <v>13</v>
      </c>
      <c r="O32" s="452">
        <v>14</v>
      </c>
      <c r="P32" s="452">
        <v>15</v>
      </c>
      <c r="Q32" s="452">
        <v>16</v>
      </c>
      <c r="R32" s="451">
        <v>17</v>
      </c>
      <c r="S32" s="451">
        <v>18</v>
      </c>
      <c r="T32" s="453">
        <v>19</v>
      </c>
      <c r="U32" s="453">
        <v>20</v>
      </c>
      <c r="V32" s="452" t="s">
        <v>9</v>
      </c>
      <c r="W32" s="452" t="s">
        <v>9</v>
      </c>
      <c r="X32" s="452" t="s">
        <v>9</v>
      </c>
      <c r="Y32" s="452" t="s">
        <v>9</v>
      </c>
      <c r="Z32" s="452">
        <v>25</v>
      </c>
      <c r="AA32" s="453">
        <v>26</v>
      </c>
      <c r="AB32" s="453">
        <v>27</v>
      </c>
      <c r="AC32" s="452">
        <v>28</v>
      </c>
      <c r="AD32" s="452">
        <v>29</v>
      </c>
      <c r="AE32" s="452" t="s">
        <v>14</v>
      </c>
      <c r="AF32" s="452"/>
      <c r="AG32" s="448"/>
      <c r="AH32" s="455"/>
    </row>
    <row r="33" spans="1:43">
      <c r="A33" s="444">
        <v>45778</v>
      </c>
      <c r="B33" s="897"/>
      <c r="C33" s="897"/>
      <c r="D33" s="897"/>
      <c r="E33" s="897"/>
      <c r="F33" s="897"/>
      <c r="G33" s="897"/>
      <c r="H33" s="897"/>
      <c r="I33" s="897"/>
      <c r="J33" s="897"/>
      <c r="K33" s="897"/>
      <c r="L33" s="897"/>
      <c r="M33" s="897"/>
      <c r="N33" s="897"/>
      <c r="O33" s="897"/>
      <c r="P33" s="897"/>
      <c r="Q33" s="897"/>
      <c r="R33" s="897"/>
      <c r="S33" s="897"/>
      <c r="T33" s="897"/>
      <c r="U33" s="897"/>
      <c r="V33" s="897"/>
      <c r="W33" s="897"/>
      <c r="X33" s="897"/>
      <c r="Y33" s="897"/>
      <c r="Z33" s="897"/>
      <c r="AA33" s="897"/>
      <c r="AB33" s="897"/>
      <c r="AC33" s="897"/>
      <c r="AD33" s="897"/>
      <c r="AE33" s="897"/>
      <c r="AF33" s="897"/>
      <c r="AG33" s="897"/>
    </row>
    <row r="34" spans="1:43">
      <c r="A34" s="446"/>
      <c r="B34" s="447" t="s">
        <v>2</v>
      </c>
      <c r="C34" s="447" t="s">
        <v>3</v>
      </c>
      <c r="D34" s="447" t="s">
        <v>4</v>
      </c>
      <c r="E34" s="447" t="s">
        <v>5</v>
      </c>
      <c r="F34" s="447" t="s">
        <v>6</v>
      </c>
      <c r="G34" s="447" t="s">
        <v>7</v>
      </c>
      <c r="H34" s="447" t="s">
        <v>1</v>
      </c>
      <c r="I34" s="447" t="s">
        <v>2</v>
      </c>
      <c r="J34" s="447" t="s">
        <v>3</v>
      </c>
      <c r="K34" s="447" t="s">
        <v>4</v>
      </c>
      <c r="L34" s="447" t="s">
        <v>5</v>
      </c>
      <c r="M34" s="447" t="s">
        <v>6</v>
      </c>
      <c r="N34" s="447" t="s">
        <v>7</v>
      </c>
      <c r="O34" s="447" t="s">
        <v>1</v>
      </c>
      <c r="P34" s="447" t="s">
        <v>2</v>
      </c>
      <c r="Q34" s="447" t="s">
        <v>3</v>
      </c>
      <c r="R34" s="447" t="s">
        <v>4</v>
      </c>
      <c r="S34" s="447" t="s">
        <v>5</v>
      </c>
      <c r="T34" s="447" t="s">
        <v>6</v>
      </c>
      <c r="U34" s="447" t="s">
        <v>7</v>
      </c>
      <c r="V34" s="447" t="s">
        <v>1</v>
      </c>
      <c r="W34" s="447" t="s">
        <v>2</v>
      </c>
      <c r="X34" s="447" t="s">
        <v>3</v>
      </c>
      <c r="Y34" s="447" t="s">
        <v>4</v>
      </c>
      <c r="Z34" s="447" t="s">
        <v>5</v>
      </c>
      <c r="AA34" s="447" t="s">
        <v>6</v>
      </c>
      <c r="AB34" s="447" t="s">
        <v>7</v>
      </c>
      <c r="AC34" s="447" t="s">
        <v>1</v>
      </c>
      <c r="AD34" s="447" t="s">
        <v>2</v>
      </c>
      <c r="AE34" s="447" t="s">
        <v>3</v>
      </c>
      <c r="AF34" s="447" t="s">
        <v>4</v>
      </c>
      <c r="AG34" s="448"/>
      <c r="AH34" s="457"/>
      <c r="AI34" s="457"/>
      <c r="AJ34" s="457"/>
      <c r="AK34" s="457"/>
      <c r="AL34" s="457"/>
      <c r="AM34" s="457"/>
      <c r="AN34" s="457"/>
      <c r="AO34" s="457"/>
      <c r="AP34" s="457"/>
      <c r="AQ34" s="457"/>
    </row>
    <row r="35" spans="1:43">
      <c r="A35" s="450" t="s">
        <v>61</v>
      </c>
      <c r="B35" s="451">
        <v>1</v>
      </c>
      <c r="C35" s="451">
        <v>2</v>
      </c>
      <c r="D35" s="453">
        <v>3</v>
      </c>
      <c r="E35" s="453">
        <v>4</v>
      </c>
      <c r="F35" s="452">
        <v>5</v>
      </c>
      <c r="G35" s="452">
        <v>6</v>
      </c>
      <c r="H35" s="452">
        <v>7</v>
      </c>
      <c r="I35" s="452">
        <v>8</v>
      </c>
      <c r="J35" s="452">
        <v>9</v>
      </c>
      <c r="K35" s="453">
        <v>10</v>
      </c>
      <c r="L35" s="453">
        <v>11</v>
      </c>
      <c r="M35" s="452">
        <v>12</v>
      </c>
      <c r="N35" s="452">
        <v>13</v>
      </c>
      <c r="O35" s="452">
        <v>14</v>
      </c>
      <c r="P35" s="451">
        <v>15</v>
      </c>
      <c r="Q35" s="452">
        <v>16</v>
      </c>
      <c r="R35" s="453">
        <v>17</v>
      </c>
      <c r="S35" s="453">
        <v>18</v>
      </c>
      <c r="T35" s="452">
        <v>19</v>
      </c>
      <c r="U35" s="452">
        <v>20</v>
      </c>
      <c r="V35" s="451" t="s">
        <v>14</v>
      </c>
      <c r="W35" s="451" t="s">
        <v>14</v>
      </c>
      <c r="X35" s="451" t="s">
        <v>14</v>
      </c>
      <c r="Y35" s="451" t="s">
        <v>14</v>
      </c>
      <c r="Z35" s="451" t="s">
        <v>14</v>
      </c>
      <c r="AA35" s="451" t="s">
        <v>14</v>
      </c>
      <c r="AB35" s="451" t="s">
        <v>14</v>
      </c>
      <c r="AC35" s="452" t="s">
        <v>14</v>
      </c>
      <c r="AD35" s="452" t="s">
        <v>14</v>
      </c>
      <c r="AE35" s="452" t="s">
        <v>14</v>
      </c>
      <c r="AF35" s="453" t="s">
        <v>14</v>
      </c>
      <c r="AG35" s="448"/>
    </row>
    <row r="36" spans="1:43">
      <c r="A36" s="450" t="s">
        <v>24</v>
      </c>
      <c r="B36" s="451">
        <v>1</v>
      </c>
      <c r="C36" s="451">
        <v>2</v>
      </c>
      <c r="D36" s="453">
        <v>3</v>
      </c>
      <c r="E36" s="453">
        <v>4</v>
      </c>
      <c r="F36" s="452">
        <v>5</v>
      </c>
      <c r="G36" s="452">
        <v>6</v>
      </c>
      <c r="H36" s="451" t="s">
        <v>14</v>
      </c>
      <c r="I36" s="451" t="s">
        <v>14</v>
      </c>
      <c r="J36" s="451" t="s">
        <v>14</v>
      </c>
      <c r="K36" s="451" t="s">
        <v>14</v>
      </c>
      <c r="L36" s="451" t="s">
        <v>14</v>
      </c>
      <c r="M36" s="451" t="s">
        <v>14</v>
      </c>
      <c r="N36" s="451" t="s">
        <v>14</v>
      </c>
      <c r="O36" s="452">
        <v>14</v>
      </c>
      <c r="P36" s="451">
        <v>15</v>
      </c>
      <c r="Q36" s="452" t="s">
        <v>9</v>
      </c>
      <c r="R36" s="453">
        <v>17</v>
      </c>
      <c r="S36" s="453">
        <v>18</v>
      </c>
      <c r="T36" s="452">
        <v>19</v>
      </c>
      <c r="U36" s="452">
        <v>20</v>
      </c>
      <c r="V36" s="452">
        <v>21</v>
      </c>
      <c r="W36" s="452">
        <v>22</v>
      </c>
      <c r="X36" s="452">
        <v>23</v>
      </c>
      <c r="Y36" s="453">
        <v>24</v>
      </c>
      <c r="Z36" s="453">
        <v>25</v>
      </c>
      <c r="AA36" s="452">
        <v>26</v>
      </c>
      <c r="AB36" s="452">
        <v>27</v>
      </c>
      <c r="AC36" s="452">
        <v>28</v>
      </c>
      <c r="AD36" s="452">
        <v>29</v>
      </c>
      <c r="AE36" s="452">
        <v>30</v>
      </c>
      <c r="AF36" s="453">
        <v>31</v>
      </c>
      <c r="AG36" s="448"/>
    </row>
    <row r="37" spans="1:43">
      <c r="A37" s="450" t="s">
        <v>15</v>
      </c>
      <c r="B37" s="451">
        <v>1</v>
      </c>
      <c r="C37" s="451">
        <v>2</v>
      </c>
      <c r="D37" s="453">
        <v>3</v>
      </c>
      <c r="E37" s="453">
        <v>4</v>
      </c>
      <c r="F37" s="452">
        <v>5</v>
      </c>
      <c r="G37" s="452">
        <v>6</v>
      </c>
      <c r="H37" s="452">
        <v>7</v>
      </c>
      <c r="I37" s="452">
        <v>8</v>
      </c>
      <c r="J37" s="452">
        <v>9</v>
      </c>
      <c r="K37" s="453">
        <v>10</v>
      </c>
      <c r="L37" s="453">
        <v>11</v>
      </c>
      <c r="M37" s="452">
        <v>12</v>
      </c>
      <c r="N37" s="452">
        <v>13</v>
      </c>
      <c r="O37" s="451" t="s">
        <v>14</v>
      </c>
      <c r="P37" s="451" t="s">
        <v>14</v>
      </c>
      <c r="Q37" s="451" t="s">
        <v>14</v>
      </c>
      <c r="R37" s="451" t="s">
        <v>14</v>
      </c>
      <c r="S37" s="451" t="s">
        <v>14</v>
      </c>
      <c r="T37" s="451" t="s">
        <v>14</v>
      </c>
      <c r="U37" s="451" t="s">
        <v>14</v>
      </c>
      <c r="V37" s="452">
        <v>21</v>
      </c>
      <c r="W37" s="452">
        <v>22</v>
      </c>
      <c r="X37" s="452">
        <v>23</v>
      </c>
      <c r="Y37" s="453">
        <v>24</v>
      </c>
      <c r="Z37" s="453">
        <v>25</v>
      </c>
      <c r="AA37" s="452">
        <v>26</v>
      </c>
      <c r="AB37" s="452">
        <v>27</v>
      </c>
      <c r="AC37" s="452">
        <v>28</v>
      </c>
      <c r="AD37" s="452">
        <v>29</v>
      </c>
      <c r="AE37" s="452">
        <v>30</v>
      </c>
      <c r="AF37" s="453">
        <v>31</v>
      </c>
      <c r="AG37" s="448"/>
    </row>
    <row r="38" spans="1:43">
      <c r="A38" s="450" t="s">
        <v>18</v>
      </c>
      <c r="B38" s="451">
        <v>1</v>
      </c>
      <c r="C38" s="451">
        <v>2</v>
      </c>
      <c r="D38" s="453">
        <v>3</v>
      </c>
      <c r="E38" s="453">
        <v>4</v>
      </c>
      <c r="F38" s="452">
        <v>5</v>
      </c>
      <c r="G38" s="452">
        <v>6</v>
      </c>
      <c r="H38" s="452">
        <v>7</v>
      </c>
      <c r="I38" s="452">
        <v>8</v>
      </c>
      <c r="J38" s="452">
        <v>9</v>
      </c>
      <c r="K38" s="453">
        <v>10</v>
      </c>
      <c r="L38" s="453">
        <v>11</v>
      </c>
      <c r="M38" s="452">
        <v>12</v>
      </c>
      <c r="N38" s="452">
        <v>13</v>
      </c>
      <c r="O38" s="452">
        <v>14</v>
      </c>
      <c r="P38" s="451">
        <v>15</v>
      </c>
      <c r="Q38" s="452">
        <v>16</v>
      </c>
      <c r="R38" s="453">
        <v>17</v>
      </c>
      <c r="S38" s="453">
        <v>18</v>
      </c>
      <c r="T38" s="452">
        <v>19</v>
      </c>
      <c r="U38" s="452">
        <v>20</v>
      </c>
      <c r="V38" s="452">
        <v>21</v>
      </c>
      <c r="W38" s="452">
        <v>22</v>
      </c>
      <c r="X38" s="452">
        <v>23</v>
      </c>
      <c r="Y38" s="453">
        <v>24</v>
      </c>
      <c r="Z38" s="453">
        <v>25</v>
      </c>
      <c r="AA38" s="452">
        <v>26</v>
      </c>
      <c r="AB38" s="452">
        <v>27</v>
      </c>
      <c r="AC38" s="452">
        <v>28</v>
      </c>
      <c r="AD38" s="452">
        <v>29</v>
      </c>
      <c r="AE38" s="452">
        <v>30</v>
      </c>
      <c r="AF38" s="453">
        <v>31</v>
      </c>
      <c r="AG38" s="448"/>
    </row>
    <row r="39" spans="1:43">
      <c r="A39" s="450" t="s">
        <v>21</v>
      </c>
      <c r="B39" s="451">
        <v>1</v>
      </c>
      <c r="C39" s="451">
        <v>2</v>
      </c>
      <c r="D39" s="453">
        <v>3</v>
      </c>
      <c r="E39" s="453">
        <v>4</v>
      </c>
      <c r="F39" s="452" t="s">
        <v>9</v>
      </c>
      <c r="G39" s="452">
        <v>6</v>
      </c>
      <c r="H39" s="452">
        <v>7</v>
      </c>
      <c r="I39" s="452">
        <v>8</v>
      </c>
      <c r="J39" s="452">
        <v>9</v>
      </c>
      <c r="K39" s="453">
        <v>10</v>
      </c>
      <c r="L39" s="453">
        <v>11</v>
      </c>
      <c r="M39" s="452">
        <v>12</v>
      </c>
      <c r="N39" s="452">
        <v>13</v>
      </c>
      <c r="O39" s="452">
        <v>14</v>
      </c>
      <c r="P39" s="451">
        <v>15</v>
      </c>
      <c r="Q39" s="452">
        <v>16</v>
      </c>
      <c r="R39" s="453">
        <v>17</v>
      </c>
      <c r="S39" s="453">
        <v>18</v>
      </c>
      <c r="T39" s="452">
        <v>19</v>
      </c>
      <c r="U39" s="452">
        <v>20</v>
      </c>
      <c r="V39" s="452">
        <v>21</v>
      </c>
      <c r="W39" s="452">
        <v>22</v>
      </c>
      <c r="X39" s="452">
        <v>23</v>
      </c>
      <c r="Y39" s="453">
        <v>24</v>
      </c>
      <c r="Z39" s="453">
        <v>25</v>
      </c>
      <c r="AA39" s="452">
        <v>26</v>
      </c>
      <c r="AB39" s="452">
        <v>27</v>
      </c>
      <c r="AC39" s="452">
        <v>28</v>
      </c>
      <c r="AD39" s="452">
        <v>29</v>
      </c>
      <c r="AE39" s="452">
        <v>30</v>
      </c>
      <c r="AF39" s="453">
        <v>31</v>
      </c>
      <c r="AG39" s="448"/>
    </row>
    <row r="40" spans="1:43">
      <c r="A40" s="450" t="s">
        <v>62</v>
      </c>
      <c r="B40" s="451" t="s">
        <v>14</v>
      </c>
      <c r="C40" s="451" t="s">
        <v>14</v>
      </c>
      <c r="D40" s="453" t="s">
        <v>14</v>
      </c>
      <c r="E40" s="453" t="s">
        <v>14</v>
      </c>
      <c r="F40" s="452" t="s">
        <v>14</v>
      </c>
      <c r="G40" s="452" t="s">
        <v>14</v>
      </c>
      <c r="H40" s="452">
        <v>7</v>
      </c>
      <c r="I40" s="452">
        <v>8</v>
      </c>
      <c r="J40" s="452">
        <v>9</v>
      </c>
      <c r="K40" s="453">
        <v>10</v>
      </c>
      <c r="L40" s="453">
        <v>11</v>
      </c>
      <c r="M40" s="452">
        <v>12</v>
      </c>
      <c r="N40" s="452">
        <v>13</v>
      </c>
      <c r="O40" s="452">
        <v>14</v>
      </c>
      <c r="P40" s="451">
        <v>15</v>
      </c>
      <c r="Q40" s="452">
        <v>16</v>
      </c>
      <c r="R40" s="453">
        <v>17</v>
      </c>
      <c r="S40" s="453">
        <v>18</v>
      </c>
      <c r="T40" s="452">
        <v>19</v>
      </c>
      <c r="U40" s="452">
        <v>20</v>
      </c>
      <c r="V40" s="452">
        <v>21</v>
      </c>
      <c r="W40" s="452">
        <v>22</v>
      </c>
      <c r="X40" s="452">
        <v>23</v>
      </c>
      <c r="Y40" s="453">
        <v>24</v>
      </c>
      <c r="Z40" s="453">
        <v>25</v>
      </c>
      <c r="AA40" s="452">
        <v>26</v>
      </c>
      <c r="AB40" s="452">
        <v>27</v>
      </c>
      <c r="AC40" s="452">
        <v>28</v>
      </c>
      <c r="AD40" s="452">
        <v>29</v>
      </c>
      <c r="AE40" s="452">
        <v>30</v>
      </c>
      <c r="AF40" s="453">
        <v>31</v>
      </c>
      <c r="AG40" s="448"/>
    </row>
    <row r="41" spans="1:43">
      <c r="A41" s="444">
        <v>45809</v>
      </c>
      <c r="B41" s="897"/>
      <c r="C41" s="897"/>
      <c r="D41" s="897"/>
      <c r="E41" s="897"/>
      <c r="F41" s="897"/>
      <c r="G41" s="897"/>
      <c r="H41" s="897"/>
      <c r="I41" s="897"/>
      <c r="J41" s="897"/>
      <c r="K41" s="897"/>
      <c r="L41" s="897"/>
      <c r="M41" s="897"/>
      <c r="N41" s="897"/>
      <c r="O41" s="897"/>
      <c r="P41" s="897"/>
      <c r="Q41" s="897"/>
      <c r="R41" s="897"/>
      <c r="S41" s="897"/>
      <c r="T41" s="897"/>
      <c r="U41" s="897"/>
      <c r="V41" s="897"/>
      <c r="W41" s="897"/>
      <c r="X41" s="897"/>
      <c r="Y41" s="897"/>
      <c r="Z41" s="897"/>
      <c r="AA41" s="897"/>
      <c r="AB41" s="897"/>
      <c r="AC41" s="897"/>
      <c r="AD41" s="897"/>
      <c r="AE41" s="897"/>
      <c r="AF41" s="897"/>
      <c r="AG41" s="897"/>
      <c r="AH41" s="571" t="s">
        <v>77</v>
      </c>
    </row>
    <row r="42" spans="1:43">
      <c r="A42" s="446"/>
      <c r="B42" s="447" t="s">
        <v>5</v>
      </c>
      <c r="C42" s="447" t="s">
        <v>6</v>
      </c>
      <c r="D42" s="447" t="s">
        <v>7</v>
      </c>
      <c r="E42" s="447" t="s">
        <v>1</v>
      </c>
      <c r="F42" s="447" t="s">
        <v>2</v>
      </c>
      <c r="G42" s="447" t="s">
        <v>3</v>
      </c>
      <c r="H42" s="447" t="s">
        <v>4</v>
      </c>
      <c r="I42" s="447" t="s">
        <v>5</v>
      </c>
      <c r="J42" s="447" t="s">
        <v>6</v>
      </c>
      <c r="K42" s="447" t="s">
        <v>7</v>
      </c>
      <c r="L42" s="447" t="s">
        <v>1</v>
      </c>
      <c r="M42" s="447" t="s">
        <v>2</v>
      </c>
      <c r="N42" s="447" t="s">
        <v>3</v>
      </c>
      <c r="O42" s="447" t="s">
        <v>4</v>
      </c>
      <c r="P42" s="447" t="s">
        <v>5</v>
      </c>
      <c r="Q42" s="447" t="s">
        <v>6</v>
      </c>
      <c r="R42" s="447" t="s">
        <v>7</v>
      </c>
      <c r="S42" s="447" t="s">
        <v>1</v>
      </c>
      <c r="T42" s="447" t="s">
        <v>2</v>
      </c>
      <c r="U42" s="447" t="s">
        <v>3</v>
      </c>
      <c r="V42" s="447" t="s">
        <v>4</v>
      </c>
      <c r="W42" s="447" t="s">
        <v>5</v>
      </c>
      <c r="X42" s="447" t="s">
        <v>6</v>
      </c>
      <c r="Y42" s="447" t="s">
        <v>7</v>
      </c>
      <c r="Z42" s="447" t="s">
        <v>1</v>
      </c>
      <c r="AA42" s="447" t="s">
        <v>2</v>
      </c>
      <c r="AB42" s="447" t="s">
        <v>3</v>
      </c>
      <c r="AC42" s="447" t="s">
        <v>4</v>
      </c>
      <c r="AD42" s="447" t="s">
        <v>5</v>
      </c>
      <c r="AE42" s="447" t="s">
        <v>6</v>
      </c>
      <c r="AF42" s="447"/>
      <c r="AG42" s="448"/>
    </row>
    <row r="43" spans="1:43">
      <c r="A43" s="450" t="s">
        <v>61</v>
      </c>
      <c r="B43" s="453" t="s">
        <v>14</v>
      </c>
      <c r="C43" s="452" t="s">
        <v>14</v>
      </c>
      <c r="D43" s="452" t="s">
        <v>14</v>
      </c>
      <c r="E43" s="452">
        <v>4</v>
      </c>
      <c r="F43" s="452">
        <v>5</v>
      </c>
      <c r="G43" s="452">
        <v>6</v>
      </c>
      <c r="H43" s="453">
        <v>7</v>
      </c>
      <c r="I43" s="453">
        <v>8</v>
      </c>
      <c r="J43" s="452">
        <v>9</v>
      </c>
      <c r="K43" s="452">
        <v>10</v>
      </c>
      <c r="L43" s="452">
        <v>11</v>
      </c>
      <c r="M43" s="452">
        <v>12</v>
      </c>
      <c r="N43" s="452">
        <v>13</v>
      </c>
      <c r="O43" s="453">
        <v>14</v>
      </c>
      <c r="P43" s="453">
        <v>15</v>
      </c>
      <c r="Q43" s="452" t="s">
        <v>29</v>
      </c>
      <c r="R43" s="452" t="s">
        <v>29</v>
      </c>
      <c r="S43" s="452" t="s">
        <v>29</v>
      </c>
      <c r="T43" s="452" t="s">
        <v>29</v>
      </c>
      <c r="U43" s="452" t="s">
        <v>29</v>
      </c>
      <c r="V43" s="453">
        <v>21</v>
      </c>
      <c r="W43" s="453">
        <v>22</v>
      </c>
      <c r="X43" s="452" t="s">
        <v>29</v>
      </c>
      <c r="Y43" s="452" t="s">
        <v>29</v>
      </c>
      <c r="Z43" s="452" t="s">
        <v>29</v>
      </c>
      <c r="AA43" s="452" t="s">
        <v>29</v>
      </c>
      <c r="AB43" s="452" t="s">
        <v>29</v>
      </c>
      <c r="AC43" s="453">
        <v>28</v>
      </c>
      <c r="AD43" s="453">
        <v>29</v>
      </c>
      <c r="AE43" s="452" t="s">
        <v>9</v>
      </c>
      <c r="AF43" s="452"/>
      <c r="AG43" s="448"/>
    </row>
    <row r="44" spans="1:43">
      <c r="A44" s="450" t="s">
        <v>24</v>
      </c>
      <c r="B44" s="453">
        <v>1</v>
      </c>
      <c r="C44" s="452">
        <v>2</v>
      </c>
      <c r="D44" s="452">
        <v>3</v>
      </c>
      <c r="E44" s="452">
        <v>4</v>
      </c>
      <c r="F44" s="452">
        <v>5</v>
      </c>
      <c r="G44" s="452">
        <v>6</v>
      </c>
      <c r="H44" s="453">
        <v>7</v>
      </c>
      <c r="I44" s="453">
        <v>8</v>
      </c>
      <c r="J44" s="452">
        <v>9</v>
      </c>
      <c r="K44" s="452">
        <v>10</v>
      </c>
      <c r="L44" s="452">
        <v>11</v>
      </c>
      <c r="M44" s="452">
        <v>12</v>
      </c>
      <c r="N44" s="452">
        <v>13</v>
      </c>
      <c r="O44" s="453">
        <v>14</v>
      </c>
      <c r="P44" s="453">
        <v>15</v>
      </c>
      <c r="Q44" s="452">
        <v>16</v>
      </c>
      <c r="R44" s="452">
        <v>17</v>
      </c>
      <c r="S44" s="451" t="s">
        <v>14</v>
      </c>
      <c r="T44" s="451" t="s">
        <v>14</v>
      </c>
      <c r="U44" s="451" t="s">
        <v>14</v>
      </c>
      <c r="V44" s="451" t="s">
        <v>14</v>
      </c>
      <c r="W44" s="451" t="s">
        <v>14</v>
      </c>
      <c r="X44" s="451" t="s">
        <v>14</v>
      </c>
      <c r="Y44" s="451" t="s">
        <v>14</v>
      </c>
      <c r="Z44" s="452">
        <v>25</v>
      </c>
      <c r="AA44" s="452">
        <v>26</v>
      </c>
      <c r="AB44" s="452">
        <v>27</v>
      </c>
      <c r="AC44" s="453">
        <v>28</v>
      </c>
      <c r="AD44" s="453">
        <v>29</v>
      </c>
      <c r="AE44" s="452">
        <v>30</v>
      </c>
      <c r="AF44" s="452"/>
      <c r="AG44" s="448"/>
    </row>
    <row r="45" spans="1:43">
      <c r="A45" s="450" t="s">
        <v>15</v>
      </c>
      <c r="B45" s="453">
        <v>1</v>
      </c>
      <c r="C45" s="452">
        <v>2</v>
      </c>
      <c r="D45" s="452">
        <v>3</v>
      </c>
      <c r="E45" s="452">
        <v>4</v>
      </c>
      <c r="F45" s="452">
        <v>5</v>
      </c>
      <c r="G45" s="456" t="s">
        <v>41</v>
      </c>
      <c r="H45" s="453">
        <v>7</v>
      </c>
      <c r="I45" s="453">
        <v>8</v>
      </c>
      <c r="J45" s="452">
        <v>9</v>
      </c>
      <c r="K45" s="452">
        <v>10</v>
      </c>
      <c r="L45" s="451" t="s">
        <v>14</v>
      </c>
      <c r="M45" s="451" t="s">
        <v>14</v>
      </c>
      <c r="N45" s="451" t="s">
        <v>14</v>
      </c>
      <c r="O45" s="451" t="s">
        <v>14</v>
      </c>
      <c r="P45" s="451" t="s">
        <v>14</v>
      </c>
      <c r="Q45" s="451" t="s">
        <v>14</v>
      </c>
      <c r="R45" s="451" t="s">
        <v>14</v>
      </c>
      <c r="S45" s="452">
        <v>18</v>
      </c>
      <c r="T45" s="452">
        <v>19</v>
      </c>
      <c r="U45" s="452">
        <v>20</v>
      </c>
      <c r="V45" s="453">
        <v>21</v>
      </c>
      <c r="W45" s="453">
        <v>22</v>
      </c>
      <c r="X45" s="452">
        <v>23</v>
      </c>
      <c r="Y45" s="452">
        <v>24</v>
      </c>
      <c r="Z45" s="452">
        <v>25</v>
      </c>
      <c r="AA45" s="452">
        <v>26</v>
      </c>
      <c r="AB45" s="452">
        <v>27</v>
      </c>
      <c r="AC45" s="453">
        <v>28</v>
      </c>
      <c r="AD45" s="453">
        <v>29</v>
      </c>
      <c r="AE45" s="452" t="s">
        <v>9</v>
      </c>
      <c r="AF45" s="452"/>
      <c r="AG45" s="448"/>
    </row>
    <row r="46" spans="1:43">
      <c r="A46" s="450" t="s">
        <v>18</v>
      </c>
      <c r="B46" s="453">
        <v>1</v>
      </c>
      <c r="C46" s="452">
        <v>2</v>
      </c>
      <c r="D46" s="452">
        <v>3</v>
      </c>
      <c r="E46" s="452">
        <v>4</v>
      </c>
      <c r="F46" s="452">
        <v>5</v>
      </c>
      <c r="G46" s="452">
        <v>6</v>
      </c>
      <c r="H46" s="453">
        <v>7</v>
      </c>
      <c r="I46" s="453">
        <v>8</v>
      </c>
      <c r="J46" s="452">
        <v>9</v>
      </c>
      <c r="K46" s="452">
        <v>10</v>
      </c>
      <c r="L46" s="452">
        <v>11</v>
      </c>
      <c r="M46" s="452">
        <v>12</v>
      </c>
      <c r="N46" s="452">
        <v>13</v>
      </c>
      <c r="O46" s="453">
        <v>14</v>
      </c>
      <c r="P46" s="453">
        <v>15</v>
      </c>
      <c r="Q46" s="452">
        <v>16</v>
      </c>
      <c r="R46" s="452">
        <v>17</v>
      </c>
      <c r="S46" s="452">
        <v>18</v>
      </c>
      <c r="T46" s="452">
        <v>19</v>
      </c>
      <c r="U46" s="452">
        <v>20</v>
      </c>
      <c r="V46" s="453">
        <v>21</v>
      </c>
      <c r="W46" s="453">
        <v>22</v>
      </c>
      <c r="X46" s="452">
        <v>23</v>
      </c>
      <c r="Y46" s="452">
        <v>24</v>
      </c>
      <c r="Z46" s="452">
        <v>25</v>
      </c>
      <c r="AA46" s="452">
        <v>26</v>
      </c>
      <c r="AB46" s="452">
        <v>27</v>
      </c>
      <c r="AC46" s="453">
        <v>28</v>
      </c>
      <c r="AD46" s="453">
        <v>29</v>
      </c>
      <c r="AE46" s="452">
        <v>30</v>
      </c>
      <c r="AF46" s="452"/>
      <c r="AG46" s="448"/>
    </row>
    <row r="47" spans="1:43">
      <c r="A47" s="450" t="s">
        <v>21</v>
      </c>
      <c r="B47" s="453">
        <v>1</v>
      </c>
      <c r="C47" s="452">
        <v>2</v>
      </c>
      <c r="D47" s="452">
        <v>3</v>
      </c>
      <c r="E47" s="451" t="s">
        <v>14</v>
      </c>
      <c r="F47" s="451" t="s">
        <v>14</v>
      </c>
      <c r="G47" s="451" t="s">
        <v>14</v>
      </c>
      <c r="H47" s="451" t="s">
        <v>14</v>
      </c>
      <c r="I47" s="451" t="s">
        <v>14</v>
      </c>
      <c r="J47" s="451" t="s">
        <v>14</v>
      </c>
      <c r="K47" s="451" t="s">
        <v>14</v>
      </c>
      <c r="L47" s="452">
        <v>11</v>
      </c>
      <c r="M47" s="452">
        <v>12</v>
      </c>
      <c r="N47" s="452">
        <v>13</v>
      </c>
      <c r="O47" s="453">
        <v>14</v>
      </c>
      <c r="P47" s="453">
        <v>15</v>
      </c>
      <c r="Q47" s="452">
        <v>16</v>
      </c>
      <c r="R47" s="452">
        <v>17</v>
      </c>
      <c r="S47" s="452">
        <v>18</v>
      </c>
      <c r="T47" s="456" t="s">
        <v>41</v>
      </c>
      <c r="U47" s="452">
        <v>20</v>
      </c>
      <c r="V47" s="453">
        <v>21</v>
      </c>
      <c r="W47" s="453">
        <v>22</v>
      </c>
      <c r="X47" s="452">
        <v>23</v>
      </c>
      <c r="Y47" s="452">
        <v>24</v>
      </c>
      <c r="Z47" s="452">
        <v>25</v>
      </c>
      <c r="AA47" s="452">
        <v>26</v>
      </c>
      <c r="AB47" s="452">
        <v>27</v>
      </c>
      <c r="AC47" s="453">
        <v>28</v>
      </c>
      <c r="AD47" s="453">
        <v>29</v>
      </c>
      <c r="AE47" s="452">
        <v>30</v>
      </c>
      <c r="AF47" s="452"/>
      <c r="AG47" s="448"/>
    </row>
    <row r="48" spans="1:43">
      <c r="A48" s="450" t="s">
        <v>62</v>
      </c>
      <c r="B48" s="453">
        <v>1</v>
      </c>
      <c r="C48" s="452">
        <v>2</v>
      </c>
      <c r="D48" s="452">
        <v>3</v>
      </c>
      <c r="E48" s="452">
        <v>4</v>
      </c>
      <c r="F48" s="452">
        <v>5</v>
      </c>
      <c r="G48" s="452">
        <v>6</v>
      </c>
      <c r="H48" s="453">
        <v>7</v>
      </c>
      <c r="I48" s="453">
        <v>8</v>
      </c>
      <c r="J48" s="452">
        <v>9</v>
      </c>
      <c r="K48" s="452">
        <v>10</v>
      </c>
      <c r="L48" s="452">
        <v>11</v>
      </c>
      <c r="M48" s="452">
        <v>12</v>
      </c>
      <c r="N48" s="452">
        <v>13</v>
      </c>
      <c r="O48" s="453">
        <v>14</v>
      </c>
      <c r="P48" s="453">
        <v>15</v>
      </c>
      <c r="Q48" s="452">
        <v>16</v>
      </c>
      <c r="R48" s="452">
        <v>17</v>
      </c>
      <c r="S48" s="452">
        <v>18</v>
      </c>
      <c r="T48" s="452">
        <v>19</v>
      </c>
      <c r="U48" s="452">
        <v>20</v>
      </c>
      <c r="V48" s="453">
        <v>21</v>
      </c>
      <c r="W48" s="453">
        <v>22</v>
      </c>
      <c r="X48" s="452">
        <v>23</v>
      </c>
      <c r="Y48" s="452">
        <v>24</v>
      </c>
      <c r="Z48" s="452" t="s">
        <v>14</v>
      </c>
      <c r="AA48" s="452" t="s">
        <v>14</v>
      </c>
      <c r="AB48" s="452" t="s">
        <v>14</v>
      </c>
      <c r="AC48" s="453" t="s">
        <v>14</v>
      </c>
      <c r="AD48" s="453" t="s">
        <v>14</v>
      </c>
      <c r="AE48" s="452" t="s">
        <v>14</v>
      </c>
      <c r="AF48" s="452"/>
      <c r="AG48" s="448"/>
    </row>
    <row r="49" spans="1:33">
      <c r="A49" s="444">
        <v>45839</v>
      </c>
      <c r="B49" s="897"/>
      <c r="C49" s="897"/>
      <c r="D49" s="897"/>
      <c r="E49" s="897"/>
      <c r="F49" s="897"/>
      <c r="G49" s="897"/>
      <c r="H49" s="897"/>
      <c r="I49" s="897"/>
      <c r="J49" s="897"/>
      <c r="K49" s="897"/>
      <c r="L49" s="897"/>
      <c r="M49" s="897"/>
      <c r="N49" s="897"/>
      <c r="O49" s="897"/>
      <c r="P49" s="897"/>
      <c r="Q49" s="897"/>
      <c r="R49" s="897"/>
      <c r="S49" s="897"/>
      <c r="T49" s="897"/>
      <c r="U49" s="897"/>
      <c r="V49" s="897"/>
      <c r="W49" s="897"/>
      <c r="X49" s="897"/>
      <c r="Y49" s="897"/>
      <c r="Z49" s="897"/>
      <c r="AA49" s="897"/>
      <c r="AB49" s="897"/>
      <c r="AC49" s="897"/>
      <c r="AD49" s="897"/>
      <c r="AE49" s="897"/>
      <c r="AF49" s="897"/>
      <c r="AG49" s="897"/>
    </row>
    <row r="50" spans="1:33">
      <c r="A50" s="446"/>
      <c r="B50" s="447" t="s">
        <v>7</v>
      </c>
      <c r="C50" s="447" t="s">
        <v>1</v>
      </c>
      <c r="D50" s="447" t="s">
        <v>2</v>
      </c>
      <c r="E50" s="447" t="s">
        <v>3</v>
      </c>
      <c r="F50" s="447" t="s">
        <v>4</v>
      </c>
      <c r="G50" s="447" t="s">
        <v>5</v>
      </c>
      <c r="H50" s="447" t="s">
        <v>6</v>
      </c>
      <c r="I50" s="447" t="s">
        <v>7</v>
      </c>
      <c r="J50" s="447" t="s">
        <v>1</v>
      </c>
      <c r="K50" s="447" t="s">
        <v>2</v>
      </c>
      <c r="L50" s="447" t="s">
        <v>3</v>
      </c>
      <c r="M50" s="447" t="s">
        <v>4</v>
      </c>
      <c r="N50" s="447" t="s">
        <v>5</v>
      </c>
      <c r="O50" s="447" t="s">
        <v>6</v>
      </c>
      <c r="P50" s="447" t="s">
        <v>7</v>
      </c>
      <c r="Q50" s="447" t="s">
        <v>1</v>
      </c>
      <c r="R50" s="447" t="s">
        <v>2</v>
      </c>
      <c r="S50" s="447" t="s">
        <v>3</v>
      </c>
      <c r="T50" s="447" t="s">
        <v>4</v>
      </c>
      <c r="U50" s="447" t="s">
        <v>5</v>
      </c>
      <c r="V50" s="447" t="s">
        <v>6</v>
      </c>
      <c r="W50" s="447" t="s">
        <v>7</v>
      </c>
      <c r="X50" s="447" t="s">
        <v>1</v>
      </c>
      <c r="Y50" s="447" t="s">
        <v>2</v>
      </c>
      <c r="Z50" s="447" t="s">
        <v>3</v>
      </c>
      <c r="AA50" s="447" t="s">
        <v>4</v>
      </c>
      <c r="AB50" s="447" t="s">
        <v>5</v>
      </c>
      <c r="AC50" s="447" t="s">
        <v>6</v>
      </c>
      <c r="AD50" s="447" t="s">
        <v>7</v>
      </c>
      <c r="AE50" s="447" t="s">
        <v>1</v>
      </c>
      <c r="AF50" s="447" t="s">
        <v>2</v>
      </c>
      <c r="AG50" s="448"/>
    </row>
    <row r="51" spans="1:33">
      <c r="A51" s="450" t="s">
        <v>61</v>
      </c>
      <c r="B51" s="452" t="s">
        <v>9</v>
      </c>
      <c r="C51" s="452" t="s">
        <v>9</v>
      </c>
      <c r="D51" s="452" t="s">
        <v>9</v>
      </c>
      <c r="E51" s="452" t="s">
        <v>9</v>
      </c>
      <c r="F51" s="453">
        <v>5</v>
      </c>
      <c r="G51" s="453">
        <v>6</v>
      </c>
      <c r="H51" s="452" t="s">
        <v>9</v>
      </c>
      <c r="I51" s="452" t="s">
        <v>9</v>
      </c>
      <c r="J51" s="452">
        <v>9</v>
      </c>
      <c r="K51" s="452">
        <v>10</v>
      </c>
      <c r="L51" s="452">
        <v>11</v>
      </c>
      <c r="M51" s="453">
        <v>12</v>
      </c>
      <c r="N51" s="453">
        <v>13</v>
      </c>
      <c r="O51" s="452">
        <v>14</v>
      </c>
      <c r="P51" s="452">
        <v>15</v>
      </c>
      <c r="Q51" s="451" t="s">
        <v>14</v>
      </c>
      <c r="R51" s="451" t="s">
        <v>14</v>
      </c>
      <c r="S51" s="451" t="s">
        <v>14</v>
      </c>
      <c r="T51" s="451" t="s">
        <v>14</v>
      </c>
      <c r="U51" s="451" t="s">
        <v>14</v>
      </c>
      <c r="V51" s="451" t="s">
        <v>14</v>
      </c>
      <c r="W51" s="451" t="s">
        <v>14</v>
      </c>
      <c r="X51" s="452">
        <v>23</v>
      </c>
      <c r="Y51" s="452">
        <v>24</v>
      </c>
      <c r="Z51" s="451">
        <v>25</v>
      </c>
      <c r="AA51" s="453">
        <v>26</v>
      </c>
      <c r="AB51" s="453">
        <v>27</v>
      </c>
      <c r="AC51" s="452">
        <v>28</v>
      </c>
      <c r="AD51" s="452">
        <v>29</v>
      </c>
      <c r="AE51" s="452">
        <v>30</v>
      </c>
      <c r="AF51" s="452">
        <v>31</v>
      </c>
      <c r="AG51" s="448"/>
    </row>
    <row r="52" spans="1:33">
      <c r="A52" s="450" t="s">
        <v>24</v>
      </c>
      <c r="B52" s="452">
        <v>1</v>
      </c>
      <c r="C52" s="452">
        <v>2</v>
      </c>
      <c r="D52" s="452">
        <v>3</v>
      </c>
      <c r="E52" s="452">
        <v>4</v>
      </c>
      <c r="F52" s="453">
        <v>5</v>
      </c>
      <c r="G52" s="453">
        <v>6</v>
      </c>
      <c r="H52" s="452" t="s">
        <v>9</v>
      </c>
      <c r="I52" s="452" t="s">
        <v>9</v>
      </c>
      <c r="J52" s="452" t="s">
        <v>9</v>
      </c>
      <c r="K52" s="452" t="s">
        <v>9</v>
      </c>
      <c r="L52" s="452" t="s">
        <v>9</v>
      </c>
      <c r="M52" s="453">
        <v>12</v>
      </c>
      <c r="N52" s="453">
        <v>13</v>
      </c>
      <c r="O52" s="452" t="s">
        <v>9</v>
      </c>
      <c r="P52" s="452" t="s">
        <v>9</v>
      </c>
      <c r="Q52" s="452" t="s">
        <v>9</v>
      </c>
      <c r="R52" s="452" t="s">
        <v>9</v>
      </c>
      <c r="S52" s="452" t="s">
        <v>9</v>
      </c>
      <c r="T52" s="453">
        <v>19</v>
      </c>
      <c r="U52" s="453">
        <v>20</v>
      </c>
      <c r="V52" s="452" t="s">
        <v>9</v>
      </c>
      <c r="W52" s="452" t="s">
        <v>9</v>
      </c>
      <c r="X52" s="452" t="s">
        <v>9</v>
      </c>
      <c r="Y52" s="452" t="s">
        <v>9</v>
      </c>
      <c r="Z52" s="451">
        <v>25</v>
      </c>
      <c r="AA52" s="453">
        <v>26</v>
      </c>
      <c r="AB52" s="453">
        <v>27</v>
      </c>
      <c r="AC52" s="452">
        <v>28</v>
      </c>
      <c r="AD52" s="452">
        <v>29</v>
      </c>
      <c r="AE52" s="452" t="s">
        <v>14</v>
      </c>
      <c r="AF52" s="452" t="s">
        <v>14</v>
      </c>
      <c r="AG52" s="448"/>
    </row>
    <row r="53" spans="1:33">
      <c r="A53" s="450" t="s">
        <v>15</v>
      </c>
      <c r="B53" s="452" t="s">
        <v>9</v>
      </c>
      <c r="C53" s="452" t="s">
        <v>9</v>
      </c>
      <c r="D53" s="452" t="s">
        <v>9</v>
      </c>
      <c r="E53" s="452" t="s">
        <v>9</v>
      </c>
      <c r="F53" s="453">
        <v>5</v>
      </c>
      <c r="G53" s="453">
        <v>6</v>
      </c>
      <c r="H53" s="452" t="s">
        <v>9</v>
      </c>
      <c r="I53" s="452" t="s">
        <v>9</v>
      </c>
      <c r="J53" s="452" t="s">
        <v>9</v>
      </c>
      <c r="K53" s="452" t="s">
        <v>9</v>
      </c>
      <c r="L53" s="452" t="s">
        <v>9</v>
      </c>
      <c r="M53" s="453">
        <v>12</v>
      </c>
      <c r="N53" s="453">
        <v>13</v>
      </c>
      <c r="O53" s="452" t="s">
        <v>9</v>
      </c>
      <c r="P53" s="452" t="s">
        <v>9</v>
      </c>
      <c r="Q53" s="452" t="s">
        <v>9</v>
      </c>
      <c r="R53" s="452" t="s">
        <v>9</v>
      </c>
      <c r="S53" s="452" t="s">
        <v>9</v>
      </c>
      <c r="T53" s="453">
        <v>19</v>
      </c>
      <c r="U53" s="453">
        <v>20</v>
      </c>
      <c r="V53" s="452">
        <v>21</v>
      </c>
      <c r="W53" s="452">
        <v>22</v>
      </c>
      <c r="X53" s="451" t="s">
        <v>14</v>
      </c>
      <c r="Y53" s="451" t="s">
        <v>14</v>
      </c>
      <c r="Z53" s="451" t="s">
        <v>14</v>
      </c>
      <c r="AA53" s="451" t="s">
        <v>14</v>
      </c>
      <c r="AB53" s="451" t="s">
        <v>14</v>
      </c>
      <c r="AC53" s="451" t="s">
        <v>14</v>
      </c>
      <c r="AD53" s="451" t="s">
        <v>14</v>
      </c>
      <c r="AE53" s="452">
        <v>30</v>
      </c>
      <c r="AF53" s="452">
        <v>31</v>
      </c>
      <c r="AG53" s="448"/>
    </row>
    <row r="54" spans="1:33">
      <c r="A54" s="450" t="s">
        <v>18</v>
      </c>
      <c r="B54" s="452">
        <v>1</v>
      </c>
      <c r="C54" s="451" t="s">
        <v>14</v>
      </c>
      <c r="D54" s="451" t="s">
        <v>14</v>
      </c>
      <c r="E54" s="451" t="s">
        <v>14</v>
      </c>
      <c r="F54" s="451" t="s">
        <v>14</v>
      </c>
      <c r="G54" s="451" t="s">
        <v>14</v>
      </c>
      <c r="H54" s="451" t="s">
        <v>14</v>
      </c>
      <c r="I54" s="451" t="s">
        <v>14</v>
      </c>
      <c r="J54" s="452">
        <v>9</v>
      </c>
      <c r="K54" s="452">
        <v>10</v>
      </c>
      <c r="L54" s="452">
        <v>11</v>
      </c>
      <c r="M54" s="453">
        <v>12</v>
      </c>
      <c r="N54" s="453">
        <v>13</v>
      </c>
      <c r="O54" s="452">
        <v>14</v>
      </c>
      <c r="P54" s="452">
        <v>15</v>
      </c>
      <c r="Q54" s="452">
        <v>16</v>
      </c>
      <c r="R54" s="452">
        <v>17</v>
      </c>
      <c r="S54" s="452">
        <v>18</v>
      </c>
      <c r="T54" s="453">
        <v>19</v>
      </c>
      <c r="U54" s="453">
        <v>20</v>
      </c>
      <c r="V54" s="452">
        <v>21</v>
      </c>
      <c r="W54" s="452">
        <v>22</v>
      </c>
      <c r="X54" s="452">
        <v>23</v>
      </c>
      <c r="Y54" s="452">
        <v>24</v>
      </c>
      <c r="Z54" s="451">
        <v>25</v>
      </c>
      <c r="AA54" s="453">
        <v>26</v>
      </c>
      <c r="AB54" s="453">
        <v>27</v>
      </c>
      <c r="AC54" s="452" t="s">
        <v>9</v>
      </c>
      <c r="AD54" s="452" t="s">
        <v>9</v>
      </c>
      <c r="AE54" s="452" t="s">
        <v>9</v>
      </c>
      <c r="AF54" s="452" t="s">
        <v>9</v>
      </c>
      <c r="AG54" s="448"/>
    </row>
    <row r="55" spans="1:33">
      <c r="A55" s="450" t="s">
        <v>21</v>
      </c>
      <c r="B55" s="452">
        <v>1</v>
      </c>
      <c r="C55" s="452">
        <v>2</v>
      </c>
      <c r="D55" s="452">
        <v>3</v>
      </c>
      <c r="E55" s="452">
        <v>4</v>
      </c>
      <c r="F55" s="453">
        <v>5</v>
      </c>
      <c r="G55" s="453">
        <v>6</v>
      </c>
      <c r="H55" s="452">
        <v>7</v>
      </c>
      <c r="I55" s="452">
        <v>8</v>
      </c>
      <c r="J55" s="451" t="s">
        <v>14</v>
      </c>
      <c r="K55" s="451" t="s">
        <v>14</v>
      </c>
      <c r="L55" s="451" t="s">
        <v>14</v>
      </c>
      <c r="M55" s="451" t="s">
        <v>14</v>
      </c>
      <c r="N55" s="451" t="s">
        <v>14</v>
      </c>
      <c r="O55" s="451" t="s">
        <v>14</v>
      </c>
      <c r="P55" s="451" t="s">
        <v>14</v>
      </c>
      <c r="Q55" s="452">
        <v>16</v>
      </c>
      <c r="R55" s="452">
        <v>17</v>
      </c>
      <c r="S55" s="452">
        <v>18</v>
      </c>
      <c r="T55" s="453">
        <v>19</v>
      </c>
      <c r="U55" s="453">
        <v>20</v>
      </c>
      <c r="V55" s="452">
        <v>21</v>
      </c>
      <c r="W55" s="452">
        <v>22</v>
      </c>
      <c r="X55" s="452">
        <v>23</v>
      </c>
      <c r="Y55" s="452">
        <v>24</v>
      </c>
      <c r="Z55" s="451">
        <v>25</v>
      </c>
      <c r="AA55" s="453">
        <v>26</v>
      </c>
      <c r="AB55" s="453">
        <v>27</v>
      </c>
      <c r="AC55" s="452" t="s">
        <v>9</v>
      </c>
      <c r="AD55" s="452" t="s">
        <v>9</v>
      </c>
      <c r="AE55" s="452" t="s">
        <v>9</v>
      </c>
      <c r="AF55" s="452" t="s">
        <v>9</v>
      </c>
      <c r="AG55" s="448"/>
    </row>
    <row r="56" spans="1:33">
      <c r="A56" s="450" t="s">
        <v>62</v>
      </c>
      <c r="B56" s="452" t="s">
        <v>14</v>
      </c>
      <c r="C56" s="452">
        <v>2</v>
      </c>
      <c r="D56" s="452">
        <v>3</v>
      </c>
      <c r="E56" s="452">
        <v>4</v>
      </c>
      <c r="F56" s="453">
        <v>5</v>
      </c>
      <c r="G56" s="453">
        <v>6</v>
      </c>
      <c r="H56" s="452">
        <v>7</v>
      </c>
      <c r="I56" s="452">
        <v>8</v>
      </c>
      <c r="J56" s="452">
        <v>9</v>
      </c>
      <c r="K56" s="452">
        <v>10</v>
      </c>
      <c r="L56" s="452">
        <v>11</v>
      </c>
      <c r="M56" s="453">
        <v>12</v>
      </c>
      <c r="N56" s="453">
        <v>13</v>
      </c>
      <c r="O56" s="452">
        <v>14</v>
      </c>
      <c r="P56" s="452">
        <v>15</v>
      </c>
      <c r="Q56" s="452">
        <v>16</v>
      </c>
      <c r="R56" s="452">
        <v>17</v>
      </c>
      <c r="S56" s="452">
        <v>18</v>
      </c>
      <c r="T56" s="453">
        <v>19</v>
      </c>
      <c r="U56" s="453">
        <v>20</v>
      </c>
      <c r="V56" s="452">
        <v>21</v>
      </c>
      <c r="W56" s="452">
        <v>22</v>
      </c>
      <c r="X56" s="452">
        <v>23</v>
      </c>
      <c r="Y56" s="452">
        <v>24</v>
      </c>
      <c r="Z56" s="451">
        <v>25</v>
      </c>
      <c r="AA56" s="453">
        <v>26</v>
      </c>
      <c r="AB56" s="453">
        <v>27</v>
      </c>
      <c r="AC56" s="452">
        <v>28</v>
      </c>
      <c r="AD56" s="452">
        <v>29</v>
      </c>
      <c r="AE56" s="452">
        <v>30</v>
      </c>
      <c r="AF56" s="452">
        <v>31</v>
      </c>
      <c r="AG56" s="448"/>
    </row>
    <row r="57" spans="1:33">
      <c r="A57" s="444">
        <v>45870</v>
      </c>
      <c r="B57" s="897"/>
      <c r="C57" s="897"/>
      <c r="D57" s="897"/>
      <c r="E57" s="897"/>
      <c r="F57" s="897"/>
      <c r="G57" s="897"/>
      <c r="H57" s="897"/>
      <c r="I57" s="897"/>
      <c r="J57" s="897"/>
      <c r="K57" s="897"/>
      <c r="L57" s="897"/>
      <c r="M57" s="897"/>
      <c r="N57" s="897"/>
      <c r="O57" s="897"/>
      <c r="P57" s="897"/>
      <c r="Q57" s="897"/>
      <c r="R57" s="897"/>
      <c r="S57" s="897"/>
      <c r="T57" s="897"/>
      <c r="U57" s="897"/>
      <c r="V57" s="897"/>
      <c r="W57" s="897"/>
      <c r="X57" s="897"/>
      <c r="Y57" s="897"/>
      <c r="Z57" s="897"/>
      <c r="AA57" s="897"/>
      <c r="AB57" s="897"/>
      <c r="AC57" s="897"/>
      <c r="AD57" s="897"/>
      <c r="AE57" s="897"/>
      <c r="AF57" s="897"/>
      <c r="AG57" s="897"/>
    </row>
    <row r="58" spans="1:33">
      <c r="A58" s="446"/>
      <c r="B58" s="447" t="s">
        <v>3</v>
      </c>
      <c r="C58" s="447" t="s">
        <v>4</v>
      </c>
      <c r="D58" s="447" t="s">
        <v>5</v>
      </c>
      <c r="E58" s="447" t="s">
        <v>6</v>
      </c>
      <c r="F58" s="447" t="s">
        <v>7</v>
      </c>
      <c r="G58" s="447" t="s">
        <v>1</v>
      </c>
      <c r="H58" s="447" t="s">
        <v>2</v>
      </c>
      <c r="I58" s="447" t="s">
        <v>3</v>
      </c>
      <c r="J58" s="447" t="s">
        <v>4</v>
      </c>
      <c r="K58" s="447" t="s">
        <v>5</v>
      </c>
      <c r="L58" s="447" t="s">
        <v>6</v>
      </c>
      <c r="M58" s="447" t="s">
        <v>7</v>
      </c>
      <c r="N58" s="447" t="s">
        <v>1</v>
      </c>
      <c r="O58" s="447" t="s">
        <v>2</v>
      </c>
      <c r="P58" s="447" t="s">
        <v>3</v>
      </c>
      <c r="Q58" s="447" t="s">
        <v>4</v>
      </c>
      <c r="R58" s="447" t="s">
        <v>5</v>
      </c>
      <c r="S58" s="447" t="s">
        <v>6</v>
      </c>
      <c r="T58" s="447" t="s">
        <v>7</v>
      </c>
      <c r="U58" s="447" t="s">
        <v>1</v>
      </c>
      <c r="V58" s="447" t="s">
        <v>2</v>
      </c>
      <c r="W58" s="447" t="s">
        <v>3</v>
      </c>
      <c r="X58" s="447" t="s">
        <v>4</v>
      </c>
      <c r="Y58" s="447" t="s">
        <v>5</v>
      </c>
      <c r="Z58" s="447" t="s">
        <v>6</v>
      </c>
      <c r="AA58" s="447" t="s">
        <v>7</v>
      </c>
      <c r="AB58" s="447" t="s">
        <v>1</v>
      </c>
      <c r="AC58" s="447" t="s">
        <v>2</v>
      </c>
      <c r="AD58" s="447" t="s">
        <v>3</v>
      </c>
      <c r="AE58" s="447" t="s">
        <v>4</v>
      </c>
      <c r="AF58" s="447" t="s">
        <v>5</v>
      </c>
      <c r="AG58" s="448"/>
    </row>
    <row r="59" spans="1:33">
      <c r="A59" s="450" t="s">
        <v>61</v>
      </c>
      <c r="B59" s="452">
        <v>1</v>
      </c>
      <c r="C59" s="453">
        <v>2</v>
      </c>
      <c r="D59" s="453">
        <v>3</v>
      </c>
      <c r="E59" s="452">
        <v>4</v>
      </c>
      <c r="F59" s="452">
        <v>5</v>
      </c>
      <c r="G59" s="452">
        <v>6</v>
      </c>
      <c r="H59" s="452">
        <v>7</v>
      </c>
      <c r="I59" s="452">
        <v>8</v>
      </c>
      <c r="J59" s="453">
        <v>9</v>
      </c>
      <c r="K59" s="453">
        <v>10</v>
      </c>
      <c r="L59" s="452">
        <v>11</v>
      </c>
      <c r="M59" s="452">
        <v>12</v>
      </c>
      <c r="N59" s="451" t="s">
        <v>14</v>
      </c>
      <c r="O59" s="451" t="s">
        <v>14</v>
      </c>
      <c r="P59" s="451" t="s">
        <v>14</v>
      </c>
      <c r="Q59" s="451" t="s">
        <v>14</v>
      </c>
      <c r="R59" s="451" t="s">
        <v>14</v>
      </c>
      <c r="S59" s="451" t="s">
        <v>14</v>
      </c>
      <c r="T59" s="451" t="s">
        <v>14</v>
      </c>
      <c r="U59" s="452">
        <v>20</v>
      </c>
      <c r="V59" s="452">
        <v>21</v>
      </c>
      <c r="W59" s="452">
        <v>22</v>
      </c>
      <c r="X59" s="453">
        <v>23</v>
      </c>
      <c r="Y59" s="453">
        <v>24</v>
      </c>
      <c r="Z59" s="452">
        <v>25</v>
      </c>
      <c r="AA59" s="452">
        <v>26</v>
      </c>
      <c r="AB59" s="452">
        <v>27</v>
      </c>
      <c r="AC59" s="452">
        <v>28</v>
      </c>
      <c r="AD59" s="452">
        <v>29</v>
      </c>
      <c r="AE59" s="453">
        <v>30</v>
      </c>
      <c r="AF59" s="453">
        <v>31</v>
      </c>
      <c r="AG59" s="448"/>
    </row>
    <row r="60" spans="1:33">
      <c r="A60" s="450" t="s">
        <v>24</v>
      </c>
      <c r="B60" s="452" t="s">
        <v>14</v>
      </c>
      <c r="C60" s="453" t="s">
        <v>14</v>
      </c>
      <c r="D60" s="453" t="s">
        <v>14</v>
      </c>
      <c r="E60" s="452" t="s">
        <v>14</v>
      </c>
      <c r="F60" s="452" t="s">
        <v>14</v>
      </c>
      <c r="G60" s="452">
        <v>6</v>
      </c>
      <c r="H60" s="452">
        <v>7</v>
      </c>
      <c r="I60" s="452">
        <v>8</v>
      </c>
      <c r="J60" s="453">
        <v>9</v>
      </c>
      <c r="K60" s="453">
        <v>10</v>
      </c>
      <c r="L60" s="452">
        <v>11</v>
      </c>
      <c r="M60" s="452">
        <v>12</v>
      </c>
      <c r="N60" s="452">
        <v>13</v>
      </c>
      <c r="O60" s="452">
        <v>14</v>
      </c>
      <c r="P60" s="451">
        <v>15</v>
      </c>
      <c r="Q60" s="453">
        <v>16</v>
      </c>
      <c r="R60" s="453">
        <v>17</v>
      </c>
      <c r="S60" s="452">
        <v>18</v>
      </c>
      <c r="T60" s="452">
        <v>19</v>
      </c>
      <c r="U60" s="452">
        <v>20</v>
      </c>
      <c r="V60" s="452">
        <v>21</v>
      </c>
      <c r="W60" s="452">
        <v>22</v>
      </c>
      <c r="X60" s="453">
        <v>23</v>
      </c>
      <c r="Y60" s="453">
        <v>24</v>
      </c>
      <c r="Z60" s="452">
        <v>25</v>
      </c>
      <c r="AA60" s="452">
        <v>26</v>
      </c>
      <c r="AB60" s="452">
        <v>27</v>
      </c>
      <c r="AC60" s="452">
        <v>28</v>
      </c>
      <c r="AD60" s="452">
        <v>29</v>
      </c>
      <c r="AE60" s="453">
        <v>30</v>
      </c>
      <c r="AF60" s="453">
        <v>31</v>
      </c>
      <c r="AG60" s="448"/>
    </row>
    <row r="61" spans="1:33">
      <c r="A61" s="450" t="s">
        <v>15</v>
      </c>
      <c r="B61" s="452">
        <v>1</v>
      </c>
      <c r="C61" s="453">
        <v>2</v>
      </c>
      <c r="D61" s="453">
        <v>3</v>
      </c>
      <c r="E61" s="452">
        <v>4</v>
      </c>
      <c r="F61" s="452">
        <v>5</v>
      </c>
      <c r="G61" s="451" t="s">
        <v>14</v>
      </c>
      <c r="H61" s="451" t="s">
        <v>14</v>
      </c>
      <c r="I61" s="451" t="s">
        <v>14</v>
      </c>
      <c r="J61" s="451" t="s">
        <v>14</v>
      </c>
      <c r="K61" s="451" t="s">
        <v>14</v>
      </c>
      <c r="L61" s="451" t="s">
        <v>14</v>
      </c>
      <c r="M61" s="451" t="s">
        <v>14</v>
      </c>
      <c r="N61" s="452">
        <v>13</v>
      </c>
      <c r="O61" s="452">
        <v>14</v>
      </c>
      <c r="P61" s="451">
        <v>15</v>
      </c>
      <c r="Q61" s="453">
        <v>16</v>
      </c>
      <c r="R61" s="453">
        <v>17</v>
      </c>
      <c r="S61" s="452">
        <v>18</v>
      </c>
      <c r="T61" s="452">
        <v>19</v>
      </c>
      <c r="U61" s="452">
        <v>20</v>
      </c>
      <c r="V61" s="452">
        <v>21</v>
      </c>
      <c r="W61" s="452">
        <v>22</v>
      </c>
      <c r="X61" s="453">
        <v>23</v>
      </c>
      <c r="Y61" s="453">
        <v>24</v>
      </c>
      <c r="Z61" s="452">
        <v>25</v>
      </c>
      <c r="AA61" s="452">
        <v>26</v>
      </c>
      <c r="AB61" s="452">
        <v>27</v>
      </c>
      <c r="AC61" s="452">
        <v>28</v>
      </c>
      <c r="AD61" s="452">
        <v>29</v>
      </c>
      <c r="AE61" s="453">
        <v>30</v>
      </c>
      <c r="AF61" s="453">
        <v>31</v>
      </c>
      <c r="AG61" s="448"/>
    </row>
    <row r="62" spans="1:33">
      <c r="A62" s="450" t="s">
        <v>18</v>
      </c>
      <c r="B62" s="452" t="s">
        <v>9</v>
      </c>
      <c r="C62" s="453">
        <v>2</v>
      </c>
      <c r="D62" s="453">
        <v>3</v>
      </c>
      <c r="E62" s="452" t="s">
        <v>9</v>
      </c>
      <c r="F62" s="452" t="s">
        <v>9</v>
      </c>
      <c r="G62" s="452" t="s">
        <v>9</v>
      </c>
      <c r="H62" s="452" t="s">
        <v>9</v>
      </c>
      <c r="I62" s="452" t="s">
        <v>9</v>
      </c>
      <c r="J62" s="453">
        <v>9</v>
      </c>
      <c r="K62" s="453">
        <v>10</v>
      </c>
      <c r="L62" s="452" t="s">
        <v>9</v>
      </c>
      <c r="M62" s="452" t="s">
        <v>9</v>
      </c>
      <c r="N62" s="452" t="s">
        <v>9</v>
      </c>
      <c r="O62" s="452" t="s">
        <v>9</v>
      </c>
      <c r="P62" s="451">
        <v>15</v>
      </c>
      <c r="Q62" s="453">
        <v>16</v>
      </c>
      <c r="R62" s="453">
        <v>17</v>
      </c>
      <c r="S62" s="452">
        <v>18</v>
      </c>
      <c r="T62" s="452">
        <v>19</v>
      </c>
      <c r="U62" s="452">
        <v>20</v>
      </c>
      <c r="V62" s="452">
        <v>21</v>
      </c>
      <c r="W62" s="452">
        <v>22</v>
      </c>
      <c r="X62" s="453">
        <v>23</v>
      </c>
      <c r="Y62" s="453">
        <v>24</v>
      </c>
      <c r="Z62" s="452">
        <v>25</v>
      </c>
      <c r="AA62" s="452">
        <v>26</v>
      </c>
      <c r="AB62" s="452" t="s">
        <v>14</v>
      </c>
      <c r="AC62" s="452" t="s">
        <v>14</v>
      </c>
      <c r="AD62" s="452" t="s">
        <v>14</v>
      </c>
      <c r="AE62" s="453" t="s">
        <v>14</v>
      </c>
      <c r="AF62" s="453" t="s">
        <v>14</v>
      </c>
      <c r="AG62" s="448"/>
    </row>
    <row r="63" spans="1:33">
      <c r="A63" s="450" t="s">
        <v>21</v>
      </c>
      <c r="B63" s="452" t="s">
        <v>9</v>
      </c>
      <c r="C63" s="453">
        <v>2</v>
      </c>
      <c r="D63" s="453">
        <v>3</v>
      </c>
      <c r="E63" s="452" t="s">
        <v>9</v>
      </c>
      <c r="F63" s="452" t="s">
        <v>9</v>
      </c>
      <c r="G63" s="452" t="s">
        <v>9</v>
      </c>
      <c r="H63" s="452" t="s">
        <v>9</v>
      </c>
      <c r="I63" s="452" t="s">
        <v>9</v>
      </c>
      <c r="J63" s="453">
        <v>9</v>
      </c>
      <c r="K63" s="453">
        <v>10</v>
      </c>
      <c r="L63" s="452" t="s">
        <v>9</v>
      </c>
      <c r="M63" s="452">
        <v>12</v>
      </c>
      <c r="N63" s="452">
        <v>13</v>
      </c>
      <c r="O63" s="452">
        <v>14</v>
      </c>
      <c r="P63" s="451">
        <v>15</v>
      </c>
      <c r="Q63" s="453">
        <v>16</v>
      </c>
      <c r="R63" s="453">
        <v>17</v>
      </c>
      <c r="S63" s="452">
        <v>18</v>
      </c>
      <c r="T63" s="452">
        <v>19</v>
      </c>
      <c r="U63" s="451" t="s">
        <v>14</v>
      </c>
      <c r="V63" s="451" t="s">
        <v>14</v>
      </c>
      <c r="W63" s="451" t="s">
        <v>14</v>
      </c>
      <c r="X63" s="451" t="s">
        <v>14</v>
      </c>
      <c r="Y63" s="451" t="s">
        <v>14</v>
      </c>
      <c r="Z63" s="451" t="s">
        <v>14</v>
      </c>
      <c r="AA63" s="451" t="s">
        <v>14</v>
      </c>
      <c r="AB63" s="452">
        <v>27</v>
      </c>
      <c r="AC63" s="452">
        <v>28</v>
      </c>
      <c r="AD63" s="452">
        <v>29</v>
      </c>
      <c r="AE63" s="453">
        <v>30</v>
      </c>
      <c r="AF63" s="453">
        <v>31</v>
      </c>
      <c r="AG63" s="448"/>
    </row>
    <row r="64" spans="1:33">
      <c r="A64" s="450" t="s">
        <v>62</v>
      </c>
      <c r="B64" s="452">
        <v>1</v>
      </c>
      <c r="C64" s="453">
        <v>2</v>
      </c>
      <c r="D64" s="453">
        <v>3</v>
      </c>
      <c r="E64" s="452">
        <v>4</v>
      </c>
      <c r="F64" s="452">
        <v>5</v>
      </c>
      <c r="G64" s="452">
        <v>6</v>
      </c>
      <c r="H64" s="452">
        <v>7</v>
      </c>
      <c r="I64" s="452">
        <v>8</v>
      </c>
      <c r="J64" s="453">
        <v>9</v>
      </c>
      <c r="K64" s="453">
        <v>10</v>
      </c>
      <c r="L64" s="452">
        <v>11</v>
      </c>
      <c r="M64" s="452">
        <v>12</v>
      </c>
      <c r="N64" s="452">
        <v>13</v>
      </c>
      <c r="O64" s="452">
        <v>14</v>
      </c>
      <c r="P64" s="451">
        <v>15</v>
      </c>
      <c r="Q64" s="453">
        <v>16</v>
      </c>
      <c r="R64" s="453">
        <v>17</v>
      </c>
      <c r="S64" s="452">
        <v>18</v>
      </c>
      <c r="T64" s="452">
        <v>19</v>
      </c>
      <c r="U64" s="452">
        <v>20</v>
      </c>
      <c r="V64" s="452">
        <v>21</v>
      </c>
      <c r="W64" s="452">
        <v>22</v>
      </c>
      <c r="X64" s="453">
        <v>23</v>
      </c>
      <c r="Y64" s="453">
        <v>24</v>
      </c>
      <c r="Z64" s="452">
        <v>25</v>
      </c>
      <c r="AA64" s="452">
        <v>26</v>
      </c>
      <c r="AB64" s="452">
        <v>27</v>
      </c>
      <c r="AC64" s="452">
        <v>28</v>
      </c>
      <c r="AD64" s="452">
        <v>29</v>
      </c>
      <c r="AE64" s="453">
        <v>30</v>
      </c>
      <c r="AF64" s="453">
        <v>31</v>
      </c>
      <c r="AG64" s="448"/>
    </row>
    <row r="65" spans="1:33">
      <c r="A65" s="444">
        <v>45901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7"/>
      <c r="Q65" s="897"/>
      <c r="R65" s="897"/>
      <c r="S65" s="897"/>
      <c r="T65" s="897"/>
      <c r="U65" s="897"/>
      <c r="V65" s="897"/>
      <c r="W65" s="897"/>
      <c r="X65" s="897"/>
      <c r="Y65" s="897"/>
      <c r="Z65" s="897"/>
      <c r="AA65" s="897"/>
      <c r="AB65" s="897"/>
      <c r="AC65" s="897"/>
      <c r="AD65" s="897"/>
      <c r="AE65" s="897"/>
      <c r="AF65" s="897"/>
      <c r="AG65" s="897"/>
    </row>
    <row r="66" spans="1:33">
      <c r="A66" s="446"/>
      <c r="B66" s="447" t="s">
        <v>6</v>
      </c>
      <c r="C66" s="447" t="s">
        <v>7</v>
      </c>
      <c r="D66" s="447" t="s">
        <v>1</v>
      </c>
      <c r="E66" s="447" t="s">
        <v>2</v>
      </c>
      <c r="F66" s="447" t="s">
        <v>3</v>
      </c>
      <c r="G66" s="447" t="s">
        <v>4</v>
      </c>
      <c r="H66" s="447" t="s">
        <v>5</v>
      </c>
      <c r="I66" s="447" t="s">
        <v>6</v>
      </c>
      <c r="J66" s="447" t="s">
        <v>7</v>
      </c>
      <c r="K66" s="447" t="s">
        <v>1</v>
      </c>
      <c r="L66" s="447" t="s">
        <v>2</v>
      </c>
      <c r="M66" s="447" t="s">
        <v>3</v>
      </c>
      <c r="N66" s="447" t="s">
        <v>4</v>
      </c>
      <c r="O66" s="447" t="s">
        <v>5</v>
      </c>
      <c r="P66" s="447" t="s">
        <v>6</v>
      </c>
      <c r="Q66" s="447" t="s">
        <v>7</v>
      </c>
      <c r="R66" s="447" t="s">
        <v>1</v>
      </c>
      <c r="S66" s="447" t="s">
        <v>2</v>
      </c>
      <c r="T66" s="447" t="s">
        <v>3</v>
      </c>
      <c r="U66" s="447" t="s">
        <v>4</v>
      </c>
      <c r="V66" s="447" t="s">
        <v>5</v>
      </c>
      <c r="W66" s="447" t="s">
        <v>6</v>
      </c>
      <c r="X66" s="447" t="s">
        <v>7</v>
      </c>
      <c r="Y66" s="447" t="s">
        <v>1</v>
      </c>
      <c r="Z66" s="447" t="s">
        <v>2</v>
      </c>
      <c r="AA66" s="447" t="s">
        <v>3</v>
      </c>
      <c r="AB66" s="447" t="s">
        <v>4</v>
      </c>
      <c r="AC66" s="447" t="s">
        <v>5</v>
      </c>
      <c r="AD66" s="447" t="s">
        <v>6</v>
      </c>
      <c r="AE66" s="447" t="s">
        <v>7</v>
      </c>
      <c r="AF66" s="447"/>
      <c r="AG66" s="448"/>
    </row>
    <row r="67" spans="1:33">
      <c r="A67" s="450" t="s">
        <v>61</v>
      </c>
      <c r="B67" s="452">
        <v>1</v>
      </c>
      <c r="C67" s="452">
        <v>2</v>
      </c>
      <c r="D67" s="452">
        <v>3</v>
      </c>
      <c r="E67" s="452">
        <v>4</v>
      </c>
      <c r="F67" s="452">
        <v>5</v>
      </c>
      <c r="G67" s="453">
        <v>6</v>
      </c>
      <c r="H67" s="453">
        <v>7</v>
      </c>
      <c r="I67" s="452">
        <v>8</v>
      </c>
      <c r="J67" s="452">
        <v>9</v>
      </c>
      <c r="K67" s="452">
        <v>10</v>
      </c>
      <c r="L67" s="452">
        <v>11</v>
      </c>
      <c r="M67" s="452">
        <v>12</v>
      </c>
      <c r="N67" s="453">
        <v>13</v>
      </c>
      <c r="O67" s="453">
        <v>14</v>
      </c>
      <c r="P67" s="452">
        <v>15</v>
      </c>
      <c r="Q67" s="452">
        <v>16</v>
      </c>
      <c r="R67" s="452">
        <v>17</v>
      </c>
      <c r="S67" s="452">
        <v>18</v>
      </c>
      <c r="T67" s="452">
        <v>19</v>
      </c>
      <c r="U67" s="453">
        <v>20</v>
      </c>
      <c r="V67" s="453">
        <v>21</v>
      </c>
      <c r="W67" s="456" t="s">
        <v>41</v>
      </c>
      <c r="X67" s="456" t="s">
        <v>41</v>
      </c>
      <c r="Y67" s="451" t="s">
        <v>14</v>
      </c>
      <c r="Z67" s="451" t="s">
        <v>14</v>
      </c>
      <c r="AA67" s="451" t="s">
        <v>14</v>
      </c>
      <c r="AB67" s="451" t="s">
        <v>14</v>
      </c>
      <c r="AC67" s="451" t="s">
        <v>14</v>
      </c>
      <c r="AD67" s="451" t="s">
        <v>14</v>
      </c>
      <c r="AE67" s="451" t="s">
        <v>14</v>
      </c>
      <c r="AF67" s="452"/>
      <c r="AG67" s="448"/>
    </row>
    <row r="68" spans="1:33">
      <c r="A68" s="450" t="s">
        <v>24</v>
      </c>
      <c r="B68" s="452">
        <v>1</v>
      </c>
      <c r="C68" s="452">
        <v>2</v>
      </c>
      <c r="D68" s="452">
        <v>3</v>
      </c>
      <c r="E68" s="452">
        <v>4</v>
      </c>
      <c r="F68" s="452">
        <v>5</v>
      </c>
      <c r="G68" s="453">
        <v>6</v>
      </c>
      <c r="H68" s="453">
        <v>7</v>
      </c>
      <c r="I68" s="452">
        <v>8</v>
      </c>
      <c r="J68" s="452">
        <v>9</v>
      </c>
      <c r="K68" s="451" t="s">
        <v>14</v>
      </c>
      <c r="L68" s="451" t="s">
        <v>14</v>
      </c>
      <c r="M68" s="451" t="s">
        <v>14</v>
      </c>
      <c r="N68" s="451" t="s">
        <v>14</v>
      </c>
      <c r="O68" s="451" t="s">
        <v>14</v>
      </c>
      <c r="P68" s="451" t="s">
        <v>14</v>
      </c>
      <c r="Q68" s="451" t="s">
        <v>14</v>
      </c>
      <c r="R68" s="452">
        <v>17</v>
      </c>
      <c r="S68" s="452">
        <v>18</v>
      </c>
      <c r="T68" s="452">
        <v>19</v>
      </c>
      <c r="U68" s="453">
        <v>20</v>
      </c>
      <c r="V68" s="453">
        <v>21</v>
      </c>
      <c r="W68" s="452">
        <v>22</v>
      </c>
      <c r="X68" s="452">
        <v>23</v>
      </c>
      <c r="Y68" s="452">
        <v>24</v>
      </c>
      <c r="Z68" s="452">
        <v>25</v>
      </c>
      <c r="AA68" s="452">
        <v>26</v>
      </c>
      <c r="AB68" s="453">
        <v>27</v>
      </c>
      <c r="AC68" s="453">
        <v>28</v>
      </c>
      <c r="AD68" s="452">
        <v>29</v>
      </c>
      <c r="AE68" s="452">
        <v>30</v>
      </c>
      <c r="AF68" s="452"/>
      <c r="AG68" s="448"/>
    </row>
    <row r="69" spans="1:33">
      <c r="A69" s="450" t="s">
        <v>15</v>
      </c>
      <c r="B69" s="452">
        <v>1</v>
      </c>
      <c r="C69" s="452">
        <v>2</v>
      </c>
      <c r="D69" s="451" t="s">
        <v>14</v>
      </c>
      <c r="E69" s="451" t="s">
        <v>14</v>
      </c>
      <c r="F69" s="451" t="s">
        <v>14</v>
      </c>
      <c r="G69" s="451" t="s">
        <v>14</v>
      </c>
      <c r="H69" s="451" t="s">
        <v>14</v>
      </c>
      <c r="I69" s="451" t="s">
        <v>14</v>
      </c>
      <c r="J69" s="451" t="s">
        <v>14</v>
      </c>
      <c r="K69" s="452">
        <v>10</v>
      </c>
      <c r="L69" s="452">
        <v>11</v>
      </c>
      <c r="M69" s="452">
        <v>12</v>
      </c>
      <c r="N69" s="453">
        <v>13</v>
      </c>
      <c r="O69" s="453">
        <v>14</v>
      </c>
      <c r="P69" s="452">
        <v>15</v>
      </c>
      <c r="Q69" s="452">
        <v>16</v>
      </c>
      <c r="R69" s="452">
        <v>17</v>
      </c>
      <c r="S69" s="452">
        <v>18</v>
      </c>
      <c r="T69" s="452">
        <v>19</v>
      </c>
      <c r="U69" s="453">
        <v>20</v>
      </c>
      <c r="V69" s="453">
        <v>21</v>
      </c>
      <c r="W69" s="452">
        <v>22</v>
      </c>
      <c r="X69" s="452">
        <v>23</v>
      </c>
      <c r="Y69" s="452">
        <v>24</v>
      </c>
      <c r="Z69" s="452">
        <v>25</v>
      </c>
      <c r="AA69" s="452">
        <v>26</v>
      </c>
      <c r="AB69" s="453">
        <v>27</v>
      </c>
      <c r="AC69" s="453">
        <v>28</v>
      </c>
      <c r="AD69" s="452">
        <v>29</v>
      </c>
      <c r="AE69" s="452">
        <v>30</v>
      </c>
      <c r="AF69" s="452"/>
      <c r="AG69" s="448"/>
    </row>
    <row r="70" spans="1:33">
      <c r="A70" s="450" t="s">
        <v>18</v>
      </c>
      <c r="B70" s="452" t="s">
        <v>14</v>
      </c>
      <c r="C70" s="452" t="s">
        <v>14</v>
      </c>
      <c r="D70" s="452">
        <v>3</v>
      </c>
      <c r="E70" s="452">
        <v>4</v>
      </c>
      <c r="F70" s="452">
        <v>5</v>
      </c>
      <c r="G70" s="453">
        <v>6</v>
      </c>
      <c r="H70" s="453">
        <v>7</v>
      </c>
      <c r="I70" s="452">
        <v>8</v>
      </c>
      <c r="J70" s="452">
        <v>9</v>
      </c>
      <c r="K70" s="452">
        <v>10</v>
      </c>
      <c r="L70" s="452">
        <v>11</v>
      </c>
      <c r="M70" s="452">
        <v>12</v>
      </c>
      <c r="N70" s="453">
        <v>13</v>
      </c>
      <c r="O70" s="453">
        <v>14</v>
      </c>
      <c r="P70" s="452">
        <v>15</v>
      </c>
      <c r="Q70" s="452">
        <v>16</v>
      </c>
      <c r="R70" s="452">
        <v>17</v>
      </c>
      <c r="S70" s="452">
        <v>18</v>
      </c>
      <c r="T70" s="452">
        <v>19</v>
      </c>
      <c r="U70" s="453">
        <v>20</v>
      </c>
      <c r="V70" s="453">
        <v>21</v>
      </c>
      <c r="W70" s="452">
        <v>22</v>
      </c>
      <c r="X70" s="452">
        <v>23</v>
      </c>
      <c r="Y70" s="452">
        <v>24</v>
      </c>
      <c r="Z70" s="452">
        <v>25</v>
      </c>
      <c r="AA70" s="452">
        <v>26</v>
      </c>
      <c r="AB70" s="453">
        <v>27</v>
      </c>
      <c r="AC70" s="453">
        <v>28</v>
      </c>
      <c r="AD70" s="452">
        <v>29</v>
      </c>
      <c r="AE70" s="452">
        <v>30</v>
      </c>
      <c r="AF70" s="452"/>
      <c r="AG70" s="448"/>
    </row>
    <row r="71" spans="1:33">
      <c r="A71" s="450" t="s">
        <v>21</v>
      </c>
      <c r="B71" s="452">
        <v>1</v>
      </c>
      <c r="C71" s="452">
        <v>2</v>
      </c>
      <c r="D71" s="452">
        <v>3</v>
      </c>
      <c r="E71" s="452">
        <v>4</v>
      </c>
      <c r="F71" s="452">
        <v>5</v>
      </c>
      <c r="G71" s="453">
        <v>6</v>
      </c>
      <c r="H71" s="453">
        <v>7</v>
      </c>
      <c r="I71" s="452">
        <v>8</v>
      </c>
      <c r="J71" s="452">
        <v>9</v>
      </c>
      <c r="K71" s="452">
        <v>10</v>
      </c>
      <c r="L71" s="452">
        <v>11</v>
      </c>
      <c r="M71" s="452">
        <v>12</v>
      </c>
      <c r="N71" s="453">
        <v>13</v>
      </c>
      <c r="O71" s="453">
        <v>14</v>
      </c>
      <c r="P71" s="452">
        <v>15</v>
      </c>
      <c r="Q71" s="452">
        <v>16</v>
      </c>
      <c r="R71" s="452">
        <v>17</v>
      </c>
      <c r="S71" s="452">
        <v>18</v>
      </c>
      <c r="T71" s="452">
        <v>19</v>
      </c>
      <c r="U71" s="453">
        <v>20</v>
      </c>
      <c r="V71" s="453">
        <v>21</v>
      </c>
      <c r="W71" s="452">
        <v>22</v>
      </c>
      <c r="X71" s="452">
        <v>23</v>
      </c>
      <c r="Y71" s="452">
        <v>24</v>
      </c>
      <c r="Z71" s="452">
        <v>25</v>
      </c>
      <c r="AA71" s="452">
        <v>26</v>
      </c>
      <c r="AB71" s="453">
        <v>27</v>
      </c>
      <c r="AC71" s="453">
        <v>28</v>
      </c>
      <c r="AD71" s="452">
        <v>29</v>
      </c>
      <c r="AE71" s="452">
        <v>30</v>
      </c>
      <c r="AF71" s="452"/>
      <c r="AG71" s="448"/>
    </row>
    <row r="72" spans="1:33">
      <c r="A72" s="450" t="s">
        <v>62</v>
      </c>
      <c r="B72" s="452">
        <v>1</v>
      </c>
      <c r="C72" s="452">
        <v>2</v>
      </c>
      <c r="D72" s="452">
        <v>3</v>
      </c>
      <c r="E72" s="452">
        <v>4</v>
      </c>
      <c r="F72" s="452">
        <v>5</v>
      </c>
      <c r="G72" s="453">
        <v>6</v>
      </c>
      <c r="H72" s="453">
        <v>7</v>
      </c>
      <c r="I72" s="452">
        <v>8</v>
      </c>
      <c r="J72" s="452">
        <v>9</v>
      </c>
      <c r="K72" s="452">
        <v>10</v>
      </c>
      <c r="L72" s="452">
        <v>11</v>
      </c>
      <c r="M72" s="452">
        <v>12</v>
      </c>
      <c r="N72" s="453">
        <v>13</v>
      </c>
      <c r="O72" s="453">
        <v>14</v>
      </c>
      <c r="P72" s="452">
        <v>15</v>
      </c>
      <c r="Q72" s="452">
        <v>16</v>
      </c>
      <c r="R72" s="451" t="s">
        <v>14</v>
      </c>
      <c r="S72" s="451" t="s">
        <v>14</v>
      </c>
      <c r="T72" s="451" t="s">
        <v>14</v>
      </c>
      <c r="U72" s="451" t="s">
        <v>14</v>
      </c>
      <c r="V72" s="451" t="s">
        <v>14</v>
      </c>
      <c r="W72" s="451" t="s">
        <v>14</v>
      </c>
      <c r="X72" s="451" t="s">
        <v>14</v>
      </c>
      <c r="Y72" s="452">
        <v>24</v>
      </c>
      <c r="Z72" s="452">
        <v>25</v>
      </c>
      <c r="AA72" s="452">
        <v>26</v>
      </c>
      <c r="AB72" s="453">
        <v>27</v>
      </c>
      <c r="AC72" s="453">
        <v>28</v>
      </c>
      <c r="AD72" s="452">
        <v>29</v>
      </c>
      <c r="AE72" s="452">
        <v>30</v>
      </c>
      <c r="AF72" s="452"/>
      <c r="AG72" s="448"/>
    </row>
    <row r="73" spans="1:33">
      <c r="A73" s="444">
        <v>45931</v>
      </c>
      <c r="B73" s="897"/>
      <c r="C73" s="897"/>
      <c r="D73" s="897"/>
      <c r="E73" s="897"/>
      <c r="F73" s="897"/>
      <c r="G73" s="897"/>
      <c r="H73" s="897"/>
      <c r="I73" s="897"/>
      <c r="J73" s="897"/>
      <c r="K73" s="897"/>
      <c r="L73" s="897"/>
      <c r="M73" s="897"/>
      <c r="N73" s="897"/>
      <c r="O73" s="897"/>
      <c r="P73" s="897"/>
      <c r="Q73" s="897"/>
      <c r="R73" s="897"/>
      <c r="S73" s="897"/>
      <c r="T73" s="897"/>
      <c r="U73" s="897"/>
      <c r="V73" s="897"/>
      <c r="W73" s="897"/>
      <c r="X73" s="897"/>
      <c r="Y73" s="897"/>
      <c r="Z73" s="897"/>
      <c r="AA73" s="897"/>
      <c r="AB73" s="897"/>
      <c r="AC73" s="897"/>
      <c r="AD73" s="897"/>
      <c r="AE73" s="897"/>
      <c r="AF73" s="897"/>
      <c r="AG73" s="897"/>
    </row>
    <row r="74" spans="1:33">
      <c r="A74" s="446"/>
      <c r="B74" s="447" t="s">
        <v>1</v>
      </c>
      <c r="C74" s="447" t="s">
        <v>2</v>
      </c>
      <c r="D74" s="447" t="s">
        <v>3</v>
      </c>
      <c r="E74" s="447" t="s">
        <v>4</v>
      </c>
      <c r="F74" s="447" t="s">
        <v>5</v>
      </c>
      <c r="G74" s="447" t="s">
        <v>6</v>
      </c>
      <c r="H74" s="447" t="s">
        <v>7</v>
      </c>
      <c r="I74" s="447" t="s">
        <v>1</v>
      </c>
      <c r="J74" s="447" t="s">
        <v>2</v>
      </c>
      <c r="K74" s="447" t="s">
        <v>3</v>
      </c>
      <c r="L74" s="447" t="s">
        <v>4</v>
      </c>
      <c r="M74" s="447" t="s">
        <v>5</v>
      </c>
      <c r="N74" s="447" t="s">
        <v>6</v>
      </c>
      <c r="O74" s="447" t="s">
        <v>7</v>
      </c>
      <c r="P74" s="447" t="s">
        <v>1</v>
      </c>
      <c r="Q74" s="447" t="s">
        <v>2</v>
      </c>
      <c r="R74" s="447" t="s">
        <v>3</v>
      </c>
      <c r="S74" s="447" t="s">
        <v>4</v>
      </c>
      <c r="T74" s="447" t="s">
        <v>5</v>
      </c>
      <c r="U74" s="447" t="s">
        <v>6</v>
      </c>
      <c r="V74" s="447" t="s">
        <v>7</v>
      </c>
      <c r="W74" s="447" t="s">
        <v>1</v>
      </c>
      <c r="X74" s="447" t="s">
        <v>2</v>
      </c>
      <c r="Y74" s="447" t="s">
        <v>3</v>
      </c>
      <c r="Z74" s="447" t="s">
        <v>4</v>
      </c>
      <c r="AA74" s="447" t="s">
        <v>5</v>
      </c>
      <c r="AB74" s="447" t="s">
        <v>6</v>
      </c>
      <c r="AC74" s="447" t="s">
        <v>7</v>
      </c>
      <c r="AD74" s="447" t="s">
        <v>1</v>
      </c>
      <c r="AE74" s="447" t="s">
        <v>2</v>
      </c>
      <c r="AF74" s="447" t="s">
        <v>3</v>
      </c>
      <c r="AG74" s="448"/>
    </row>
    <row r="75" spans="1:33">
      <c r="A75" s="450" t="s">
        <v>61</v>
      </c>
      <c r="B75" s="452">
        <v>1</v>
      </c>
      <c r="C75" s="452">
        <v>2</v>
      </c>
      <c r="D75" s="452">
        <v>3</v>
      </c>
      <c r="E75" s="453">
        <v>4</v>
      </c>
      <c r="F75" s="453">
        <v>5</v>
      </c>
      <c r="G75" s="452">
        <v>6</v>
      </c>
      <c r="H75" s="452">
        <v>7</v>
      </c>
      <c r="I75" s="452">
        <v>8</v>
      </c>
      <c r="J75" s="452">
        <v>9</v>
      </c>
      <c r="K75" s="452">
        <v>10</v>
      </c>
      <c r="L75" s="453">
        <v>11</v>
      </c>
      <c r="M75" s="453">
        <v>12</v>
      </c>
      <c r="N75" s="452">
        <v>13</v>
      </c>
      <c r="O75" s="452">
        <v>14</v>
      </c>
      <c r="P75" s="452">
        <v>15</v>
      </c>
      <c r="Q75" s="452">
        <v>16</v>
      </c>
      <c r="R75" s="452">
        <v>17</v>
      </c>
      <c r="S75" s="453">
        <v>18</v>
      </c>
      <c r="T75" s="453">
        <v>19</v>
      </c>
      <c r="U75" s="452">
        <v>20</v>
      </c>
      <c r="V75" s="452">
        <v>21</v>
      </c>
      <c r="W75" s="452">
        <v>22</v>
      </c>
      <c r="X75" s="452">
        <v>23</v>
      </c>
      <c r="Y75" s="452">
        <v>24</v>
      </c>
      <c r="Z75" s="453">
        <v>25</v>
      </c>
      <c r="AA75" s="453">
        <v>26</v>
      </c>
      <c r="AB75" s="452">
        <v>27</v>
      </c>
      <c r="AC75" s="452">
        <v>28</v>
      </c>
      <c r="AD75" s="452" t="s">
        <v>14</v>
      </c>
      <c r="AE75" s="452" t="s">
        <v>14</v>
      </c>
      <c r="AF75" s="452" t="s">
        <v>14</v>
      </c>
      <c r="AG75" s="448"/>
    </row>
    <row r="76" spans="1:33">
      <c r="A76" s="450" t="s">
        <v>24</v>
      </c>
      <c r="B76" s="452">
        <v>1</v>
      </c>
      <c r="C76" s="452">
        <v>2</v>
      </c>
      <c r="D76" s="452">
        <v>3</v>
      </c>
      <c r="E76" s="453">
        <v>4</v>
      </c>
      <c r="F76" s="453">
        <v>5</v>
      </c>
      <c r="G76" s="452">
        <v>6</v>
      </c>
      <c r="H76" s="452">
        <v>7</v>
      </c>
      <c r="I76" s="452">
        <v>8</v>
      </c>
      <c r="J76" s="452">
        <v>9</v>
      </c>
      <c r="K76" s="452">
        <v>10</v>
      </c>
      <c r="L76" s="453">
        <v>11</v>
      </c>
      <c r="M76" s="453">
        <v>12</v>
      </c>
      <c r="N76" s="452">
        <v>13</v>
      </c>
      <c r="O76" s="452">
        <v>14</v>
      </c>
      <c r="P76" s="451" t="s">
        <v>14</v>
      </c>
      <c r="Q76" s="451" t="s">
        <v>14</v>
      </c>
      <c r="R76" s="451" t="s">
        <v>14</v>
      </c>
      <c r="S76" s="451" t="s">
        <v>14</v>
      </c>
      <c r="T76" s="451" t="s">
        <v>14</v>
      </c>
      <c r="U76" s="451" t="s">
        <v>14</v>
      </c>
      <c r="V76" s="451" t="s">
        <v>14</v>
      </c>
      <c r="W76" s="452">
        <v>22</v>
      </c>
      <c r="X76" s="452">
        <v>23</v>
      </c>
      <c r="Y76" s="452">
        <v>24</v>
      </c>
      <c r="Z76" s="453">
        <v>25</v>
      </c>
      <c r="AA76" s="453">
        <v>26</v>
      </c>
      <c r="AB76" s="452" t="s">
        <v>9</v>
      </c>
      <c r="AC76" s="452" t="s">
        <v>9</v>
      </c>
      <c r="AD76" s="452" t="s">
        <v>9</v>
      </c>
      <c r="AE76" s="452" t="s">
        <v>9</v>
      </c>
      <c r="AF76" s="452" t="s">
        <v>9</v>
      </c>
      <c r="AG76" s="448"/>
    </row>
    <row r="77" spans="1:33">
      <c r="A77" s="450" t="s">
        <v>15</v>
      </c>
      <c r="B77" s="452">
        <v>1</v>
      </c>
      <c r="C77" s="452">
        <v>2</v>
      </c>
      <c r="D77" s="452">
        <v>3</v>
      </c>
      <c r="E77" s="453">
        <v>4</v>
      </c>
      <c r="F77" s="453">
        <v>5</v>
      </c>
      <c r="G77" s="452">
        <v>6</v>
      </c>
      <c r="H77" s="452">
        <v>7</v>
      </c>
      <c r="I77" s="451" t="s">
        <v>14</v>
      </c>
      <c r="J77" s="451" t="s">
        <v>14</v>
      </c>
      <c r="K77" s="451" t="s">
        <v>14</v>
      </c>
      <c r="L77" s="451" t="s">
        <v>14</v>
      </c>
      <c r="M77" s="451" t="s">
        <v>14</v>
      </c>
      <c r="N77" s="451" t="s">
        <v>14</v>
      </c>
      <c r="O77" s="451" t="s">
        <v>14</v>
      </c>
      <c r="P77" s="452">
        <v>15</v>
      </c>
      <c r="Q77" s="452">
        <v>16</v>
      </c>
      <c r="R77" s="452">
        <v>17</v>
      </c>
      <c r="S77" s="453">
        <v>18</v>
      </c>
      <c r="T77" s="453">
        <v>19</v>
      </c>
      <c r="U77" s="452">
        <v>20</v>
      </c>
      <c r="V77" s="452">
        <v>21</v>
      </c>
      <c r="W77" s="452">
        <v>22</v>
      </c>
      <c r="X77" s="452">
        <v>23</v>
      </c>
      <c r="Y77" s="452">
        <v>24</v>
      </c>
      <c r="Z77" s="453">
        <v>25</v>
      </c>
      <c r="AA77" s="453">
        <v>26</v>
      </c>
      <c r="AB77" s="452">
        <v>27</v>
      </c>
      <c r="AC77" s="452">
        <v>28</v>
      </c>
      <c r="AD77" s="452">
        <v>29</v>
      </c>
      <c r="AE77" s="452">
        <v>30</v>
      </c>
      <c r="AF77" s="452">
        <v>31</v>
      </c>
      <c r="AG77" s="448"/>
    </row>
    <row r="78" spans="1:33">
      <c r="A78" s="450" t="s">
        <v>18</v>
      </c>
      <c r="B78" s="452">
        <v>1</v>
      </c>
      <c r="C78" s="452">
        <v>2</v>
      </c>
      <c r="D78" s="452">
        <v>3</v>
      </c>
      <c r="E78" s="453">
        <v>4</v>
      </c>
      <c r="F78" s="453">
        <v>5</v>
      </c>
      <c r="G78" s="452">
        <v>6</v>
      </c>
      <c r="H78" s="452">
        <v>7</v>
      </c>
      <c r="I78" s="452">
        <v>8</v>
      </c>
      <c r="J78" s="452">
        <v>9</v>
      </c>
      <c r="K78" s="452">
        <v>10</v>
      </c>
      <c r="L78" s="453">
        <v>11</v>
      </c>
      <c r="M78" s="453">
        <v>12</v>
      </c>
      <c r="N78" s="456" t="s">
        <v>41</v>
      </c>
      <c r="O78" s="452">
        <v>14</v>
      </c>
      <c r="P78" s="452">
        <v>15</v>
      </c>
      <c r="Q78" s="452">
        <v>16</v>
      </c>
      <c r="R78" s="452">
        <v>17</v>
      </c>
      <c r="S78" s="453">
        <v>18</v>
      </c>
      <c r="T78" s="453">
        <v>19</v>
      </c>
      <c r="U78" s="452">
        <v>20</v>
      </c>
      <c r="V78" s="452">
        <v>21</v>
      </c>
      <c r="W78" s="451" t="s">
        <v>14</v>
      </c>
      <c r="X78" s="451" t="s">
        <v>14</v>
      </c>
      <c r="Y78" s="451" t="s">
        <v>14</v>
      </c>
      <c r="Z78" s="451" t="s">
        <v>14</v>
      </c>
      <c r="AA78" s="451" t="s">
        <v>14</v>
      </c>
      <c r="AB78" s="451" t="s">
        <v>14</v>
      </c>
      <c r="AC78" s="451" t="s">
        <v>14</v>
      </c>
      <c r="AD78" s="452">
        <v>29</v>
      </c>
      <c r="AE78" s="452">
        <v>30</v>
      </c>
      <c r="AF78" s="452">
        <v>31</v>
      </c>
      <c r="AG78" s="448"/>
    </row>
    <row r="79" spans="1:33">
      <c r="A79" s="450" t="s">
        <v>21</v>
      </c>
      <c r="B79" s="451" t="s">
        <v>14</v>
      </c>
      <c r="C79" s="451" t="s">
        <v>14</v>
      </c>
      <c r="D79" s="451" t="s">
        <v>14</v>
      </c>
      <c r="E79" s="451" t="s">
        <v>14</v>
      </c>
      <c r="F79" s="451" t="s">
        <v>14</v>
      </c>
      <c r="G79" s="451" t="s">
        <v>14</v>
      </c>
      <c r="H79" s="451" t="s">
        <v>14</v>
      </c>
      <c r="I79" s="452">
        <v>8</v>
      </c>
      <c r="J79" s="452">
        <v>9</v>
      </c>
      <c r="K79" s="452">
        <v>10</v>
      </c>
      <c r="L79" s="453">
        <v>11</v>
      </c>
      <c r="M79" s="453">
        <v>12</v>
      </c>
      <c r="N79" s="452">
        <v>13</v>
      </c>
      <c r="O79" s="452">
        <v>14</v>
      </c>
      <c r="P79" s="452">
        <v>15</v>
      </c>
      <c r="Q79" s="452">
        <v>16</v>
      </c>
      <c r="R79" s="452">
        <v>17</v>
      </c>
      <c r="S79" s="453">
        <v>18</v>
      </c>
      <c r="T79" s="453">
        <v>19</v>
      </c>
      <c r="U79" s="452">
        <v>20</v>
      </c>
      <c r="V79" s="452">
        <v>21</v>
      </c>
      <c r="W79" s="452">
        <v>22</v>
      </c>
      <c r="X79" s="452">
        <v>23</v>
      </c>
      <c r="Y79" s="452">
        <v>24</v>
      </c>
      <c r="Z79" s="453">
        <v>25</v>
      </c>
      <c r="AA79" s="453">
        <v>26</v>
      </c>
      <c r="AB79" s="452">
        <v>27</v>
      </c>
      <c r="AC79" s="452">
        <v>28</v>
      </c>
      <c r="AD79" s="452">
        <v>29</v>
      </c>
      <c r="AE79" s="452">
        <v>30</v>
      </c>
      <c r="AF79" s="452">
        <v>31</v>
      </c>
      <c r="AG79" s="448"/>
    </row>
    <row r="80" spans="1:33">
      <c r="A80" s="450" t="s">
        <v>62</v>
      </c>
      <c r="B80" s="452">
        <v>1</v>
      </c>
      <c r="C80" s="452">
        <v>2</v>
      </c>
      <c r="D80" s="452">
        <v>3</v>
      </c>
      <c r="E80" s="453">
        <v>4</v>
      </c>
      <c r="F80" s="453">
        <v>5</v>
      </c>
      <c r="G80" s="456" t="s">
        <v>41</v>
      </c>
      <c r="H80" s="452" t="s">
        <v>9</v>
      </c>
      <c r="I80" s="452" t="s">
        <v>9</v>
      </c>
      <c r="J80" s="452" t="s">
        <v>9</v>
      </c>
      <c r="K80" s="452" t="s">
        <v>9</v>
      </c>
      <c r="L80" s="453">
        <v>11</v>
      </c>
      <c r="M80" s="453">
        <v>12</v>
      </c>
      <c r="N80" s="452" t="s">
        <v>9</v>
      </c>
      <c r="O80" s="452" t="s">
        <v>9</v>
      </c>
      <c r="P80" s="452" t="s">
        <v>9</v>
      </c>
      <c r="Q80" s="452" t="s">
        <v>9</v>
      </c>
      <c r="R80" s="452" t="s">
        <v>9</v>
      </c>
      <c r="S80" s="453">
        <v>18</v>
      </c>
      <c r="T80" s="453">
        <v>19</v>
      </c>
      <c r="U80" s="452">
        <v>20</v>
      </c>
      <c r="V80" s="452">
        <v>21</v>
      </c>
      <c r="W80" s="452">
        <v>22</v>
      </c>
      <c r="X80" s="452">
        <v>23</v>
      </c>
      <c r="Y80" s="452">
        <v>24</v>
      </c>
      <c r="Z80" s="453">
        <v>25</v>
      </c>
      <c r="AA80" s="453">
        <v>26</v>
      </c>
      <c r="AB80" s="452">
        <v>27</v>
      </c>
      <c r="AC80" s="452">
        <v>28</v>
      </c>
      <c r="AD80" s="452">
        <v>29</v>
      </c>
      <c r="AE80" s="452">
        <v>30</v>
      </c>
      <c r="AF80" s="452">
        <v>31</v>
      </c>
      <c r="AG80" s="448"/>
    </row>
    <row r="81" spans="1:34">
      <c r="A81" s="444">
        <v>45962</v>
      </c>
      <c r="B81" s="897"/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  <c r="S81" s="897"/>
      <c r="T81" s="897"/>
      <c r="U81" s="897"/>
      <c r="V81" s="897"/>
      <c r="W81" s="897"/>
      <c r="X81" s="897"/>
      <c r="Y81" s="897"/>
      <c r="Z81" s="897"/>
      <c r="AA81" s="897"/>
      <c r="AB81" s="897"/>
      <c r="AC81" s="897"/>
      <c r="AD81" s="897"/>
      <c r="AE81" s="897"/>
      <c r="AF81" s="897"/>
      <c r="AG81" s="897"/>
    </row>
    <row r="82" spans="1:34">
      <c r="A82" s="446"/>
      <c r="B82" s="447" t="s">
        <v>4</v>
      </c>
      <c r="C82" s="447" t="s">
        <v>5</v>
      </c>
      <c r="D82" s="447" t="s">
        <v>6</v>
      </c>
      <c r="E82" s="447" t="s">
        <v>7</v>
      </c>
      <c r="F82" s="447" t="s">
        <v>1</v>
      </c>
      <c r="G82" s="447" t="s">
        <v>2</v>
      </c>
      <c r="H82" s="447" t="s">
        <v>3</v>
      </c>
      <c r="I82" s="447" t="s">
        <v>4</v>
      </c>
      <c r="J82" s="447" t="s">
        <v>5</v>
      </c>
      <c r="K82" s="447" t="s">
        <v>6</v>
      </c>
      <c r="L82" s="447" t="s">
        <v>7</v>
      </c>
      <c r="M82" s="447" t="s">
        <v>1</v>
      </c>
      <c r="N82" s="447" t="s">
        <v>2</v>
      </c>
      <c r="O82" s="447" t="s">
        <v>3</v>
      </c>
      <c r="P82" s="447" t="s">
        <v>4</v>
      </c>
      <c r="Q82" s="447" t="s">
        <v>5</v>
      </c>
      <c r="R82" s="447" t="s">
        <v>6</v>
      </c>
      <c r="S82" s="447" t="s">
        <v>7</v>
      </c>
      <c r="T82" s="447" t="s">
        <v>1</v>
      </c>
      <c r="U82" s="447" t="s">
        <v>2</v>
      </c>
      <c r="V82" s="447" t="s">
        <v>3</v>
      </c>
      <c r="W82" s="447" t="s">
        <v>4</v>
      </c>
      <c r="X82" s="447" t="s">
        <v>5</v>
      </c>
      <c r="Y82" s="447" t="s">
        <v>6</v>
      </c>
      <c r="Z82" s="447" t="s">
        <v>7</v>
      </c>
      <c r="AA82" s="447" t="s">
        <v>1</v>
      </c>
      <c r="AB82" s="447" t="s">
        <v>2</v>
      </c>
      <c r="AC82" s="447" t="s">
        <v>3</v>
      </c>
      <c r="AD82" s="447" t="s">
        <v>4</v>
      </c>
      <c r="AE82" s="447" t="s">
        <v>5</v>
      </c>
      <c r="AF82" s="447"/>
      <c r="AG82" s="448"/>
    </row>
    <row r="83" spans="1:34">
      <c r="A83" s="450" t="s">
        <v>61</v>
      </c>
      <c r="B83" s="451" t="s">
        <v>14</v>
      </c>
      <c r="C83" s="453" t="s">
        <v>14</v>
      </c>
      <c r="D83" s="452" t="s">
        <v>14</v>
      </c>
      <c r="E83" s="452" t="s">
        <v>14</v>
      </c>
      <c r="F83" s="452">
        <v>5</v>
      </c>
      <c r="G83" s="452">
        <v>6</v>
      </c>
      <c r="H83" s="452">
        <v>7</v>
      </c>
      <c r="I83" s="453">
        <v>8</v>
      </c>
      <c r="J83" s="453">
        <v>9</v>
      </c>
      <c r="K83" s="451">
        <v>10</v>
      </c>
      <c r="L83" s="452">
        <v>11</v>
      </c>
      <c r="M83" s="452">
        <v>12</v>
      </c>
      <c r="N83" s="452">
        <v>13</v>
      </c>
      <c r="O83" s="452">
        <v>14</v>
      </c>
      <c r="P83" s="453">
        <v>15</v>
      </c>
      <c r="Q83" s="453">
        <v>16</v>
      </c>
      <c r="R83" s="452">
        <v>17</v>
      </c>
      <c r="S83" s="452">
        <v>18</v>
      </c>
      <c r="T83" s="452">
        <v>19</v>
      </c>
      <c r="U83" s="452">
        <v>20</v>
      </c>
      <c r="V83" s="452">
        <v>21</v>
      </c>
      <c r="W83" s="453">
        <v>22</v>
      </c>
      <c r="X83" s="453">
        <v>23</v>
      </c>
      <c r="Y83" s="452">
        <v>24</v>
      </c>
      <c r="Z83" s="452">
        <v>25</v>
      </c>
      <c r="AA83" s="452">
        <v>26</v>
      </c>
      <c r="AB83" s="452">
        <v>27</v>
      </c>
      <c r="AC83" s="452">
        <v>28</v>
      </c>
      <c r="AD83" s="453">
        <v>29</v>
      </c>
      <c r="AE83" s="453">
        <v>30</v>
      </c>
      <c r="AF83" s="452"/>
      <c r="AG83" s="448"/>
    </row>
    <row r="84" spans="1:34">
      <c r="A84" s="450" t="s">
        <v>24</v>
      </c>
      <c r="B84" s="451">
        <v>1</v>
      </c>
      <c r="C84" s="453">
        <v>2</v>
      </c>
      <c r="D84" s="452">
        <v>3</v>
      </c>
      <c r="E84" s="452">
        <v>4</v>
      </c>
      <c r="F84" s="452">
        <v>5</v>
      </c>
      <c r="G84" s="452">
        <v>6</v>
      </c>
      <c r="H84" s="452">
        <v>7</v>
      </c>
      <c r="I84" s="453">
        <v>8</v>
      </c>
      <c r="J84" s="453">
        <v>9</v>
      </c>
      <c r="K84" s="451">
        <v>10</v>
      </c>
      <c r="L84" s="452">
        <v>11</v>
      </c>
      <c r="M84" s="451" t="s">
        <v>14</v>
      </c>
      <c r="N84" s="451" t="s">
        <v>14</v>
      </c>
      <c r="O84" s="451" t="s">
        <v>14</v>
      </c>
      <c r="P84" s="451" t="s">
        <v>14</v>
      </c>
      <c r="Q84" s="451" t="s">
        <v>14</v>
      </c>
      <c r="R84" s="451" t="s">
        <v>14</v>
      </c>
      <c r="S84" s="451" t="s">
        <v>14</v>
      </c>
      <c r="T84" s="451" t="s">
        <v>14</v>
      </c>
      <c r="U84" s="451" t="s">
        <v>14</v>
      </c>
      <c r="V84" s="451" t="s">
        <v>14</v>
      </c>
      <c r="W84" s="451" t="s">
        <v>14</v>
      </c>
      <c r="X84" s="451" t="s">
        <v>14</v>
      </c>
      <c r="Y84" s="451" t="s">
        <v>14</v>
      </c>
      <c r="Z84" s="451" t="s">
        <v>14</v>
      </c>
      <c r="AA84" s="452">
        <v>26</v>
      </c>
      <c r="AB84" s="452">
        <v>27</v>
      </c>
      <c r="AC84" s="452">
        <v>28</v>
      </c>
      <c r="AD84" s="453">
        <v>29</v>
      </c>
      <c r="AE84" s="453">
        <v>30</v>
      </c>
      <c r="AF84" s="452"/>
      <c r="AG84" s="448"/>
    </row>
    <row r="85" spans="1:34">
      <c r="A85" s="450" t="s">
        <v>15</v>
      </c>
      <c r="B85" s="451">
        <v>1</v>
      </c>
      <c r="C85" s="453">
        <v>2</v>
      </c>
      <c r="D85" s="452">
        <v>3</v>
      </c>
      <c r="E85" s="452">
        <v>4</v>
      </c>
      <c r="F85" s="451" t="s">
        <v>14</v>
      </c>
      <c r="G85" s="451" t="s">
        <v>14</v>
      </c>
      <c r="H85" s="451" t="s">
        <v>14</v>
      </c>
      <c r="I85" s="451" t="s">
        <v>14</v>
      </c>
      <c r="J85" s="451" t="s">
        <v>14</v>
      </c>
      <c r="K85" s="451" t="s">
        <v>14</v>
      </c>
      <c r="L85" s="451" t="s">
        <v>14</v>
      </c>
      <c r="M85" s="452">
        <v>12</v>
      </c>
      <c r="N85" s="452">
        <v>13</v>
      </c>
      <c r="O85" s="452">
        <v>14</v>
      </c>
      <c r="P85" s="453">
        <v>15</v>
      </c>
      <c r="Q85" s="453">
        <v>16</v>
      </c>
      <c r="R85" s="452">
        <v>17</v>
      </c>
      <c r="S85" s="452">
        <v>18</v>
      </c>
      <c r="T85" s="452">
        <v>19</v>
      </c>
      <c r="U85" s="452">
        <v>20</v>
      </c>
      <c r="V85" s="456" t="s">
        <v>41</v>
      </c>
      <c r="W85" s="453">
        <v>22</v>
      </c>
      <c r="X85" s="453">
        <v>23</v>
      </c>
      <c r="Y85" s="452">
        <v>24</v>
      </c>
      <c r="Z85" s="452">
        <v>25</v>
      </c>
      <c r="AA85" s="452">
        <v>26</v>
      </c>
      <c r="AB85" s="452">
        <v>27</v>
      </c>
      <c r="AC85" s="452">
        <v>28</v>
      </c>
      <c r="AD85" s="453">
        <v>29</v>
      </c>
      <c r="AE85" s="453">
        <v>30</v>
      </c>
      <c r="AF85" s="452"/>
      <c r="AG85" s="448"/>
    </row>
    <row r="86" spans="1:34">
      <c r="A86" s="450" t="s">
        <v>18</v>
      </c>
      <c r="B86" s="451">
        <v>1</v>
      </c>
      <c r="C86" s="453">
        <v>2</v>
      </c>
      <c r="D86" s="456" t="s">
        <v>41</v>
      </c>
      <c r="E86" s="452">
        <v>4</v>
      </c>
      <c r="F86" s="452">
        <v>5</v>
      </c>
      <c r="G86" s="452">
        <v>6</v>
      </c>
      <c r="H86" s="452">
        <v>7</v>
      </c>
      <c r="I86" s="453">
        <v>8</v>
      </c>
      <c r="J86" s="453">
        <v>9</v>
      </c>
      <c r="K86" s="451">
        <v>10</v>
      </c>
      <c r="L86" s="452">
        <v>11</v>
      </c>
      <c r="M86" s="452">
        <v>12</v>
      </c>
      <c r="N86" s="452">
        <v>13</v>
      </c>
      <c r="O86" s="452">
        <v>14</v>
      </c>
      <c r="P86" s="453">
        <v>15</v>
      </c>
      <c r="Q86" s="453">
        <v>16</v>
      </c>
      <c r="R86" s="452">
        <v>17</v>
      </c>
      <c r="S86" s="452">
        <v>18</v>
      </c>
      <c r="T86" s="452">
        <v>19</v>
      </c>
      <c r="U86" s="452">
        <v>20</v>
      </c>
      <c r="V86" s="452">
        <v>21</v>
      </c>
      <c r="W86" s="453">
        <v>22</v>
      </c>
      <c r="X86" s="453">
        <v>23</v>
      </c>
      <c r="Y86" s="452">
        <v>24</v>
      </c>
      <c r="Z86" s="452">
        <v>25</v>
      </c>
      <c r="AA86" s="451" t="s">
        <v>14</v>
      </c>
      <c r="AB86" s="451" t="s">
        <v>14</v>
      </c>
      <c r="AC86" s="451" t="s">
        <v>14</v>
      </c>
      <c r="AD86" s="451" t="s">
        <v>14</v>
      </c>
      <c r="AE86" s="451" t="s">
        <v>14</v>
      </c>
      <c r="AF86" s="452"/>
      <c r="AG86" s="448"/>
    </row>
    <row r="87" spans="1:34">
      <c r="A87" s="450" t="s">
        <v>21</v>
      </c>
      <c r="B87" s="451">
        <v>1</v>
      </c>
      <c r="C87" s="453">
        <v>2</v>
      </c>
      <c r="D87" s="456" t="s">
        <v>41</v>
      </c>
      <c r="E87" s="452">
        <v>4</v>
      </c>
      <c r="F87" s="452">
        <v>5</v>
      </c>
      <c r="G87" s="452">
        <v>6</v>
      </c>
      <c r="H87" s="452" t="s">
        <v>9</v>
      </c>
      <c r="I87" s="453">
        <v>8</v>
      </c>
      <c r="J87" s="453">
        <v>9</v>
      </c>
      <c r="K87" s="451">
        <v>10</v>
      </c>
      <c r="L87" s="452">
        <v>11</v>
      </c>
      <c r="M87" s="452">
        <v>12</v>
      </c>
      <c r="N87" s="452">
        <v>13</v>
      </c>
      <c r="O87" s="452" t="s">
        <v>9</v>
      </c>
      <c r="P87" s="453">
        <v>15</v>
      </c>
      <c r="Q87" s="453">
        <v>16</v>
      </c>
      <c r="R87" s="452">
        <v>17</v>
      </c>
      <c r="S87" s="452">
        <v>18</v>
      </c>
      <c r="T87" s="452">
        <v>19</v>
      </c>
      <c r="U87" s="452">
        <v>20</v>
      </c>
      <c r="V87" s="452">
        <v>21</v>
      </c>
      <c r="W87" s="453">
        <v>22</v>
      </c>
      <c r="X87" s="453">
        <v>23</v>
      </c>
      <c r="Y87" s="452">
        <v>24</v>
      </c>
      <c r="Z87" s="452">
        <v>25</v>
      </c>
      <c r="AA87" s="452" t="s">
        <v>9</v>
      </c>
      <c r="AB87" s="452">
        <v>27</v>
      </c>
      <c r="AC87" s="452">
        <v>28</v>
      </c>
      <c r="AD87" s="453">
        <v>29</v>
      </c>
      <c r="AE87" s="453">
        <v>30</v>
      </c>
      <c r="AF87" s="452"/>
      <c r="AG87" s="448"/>
    </row>
    <row r="88" spans="1:34">
      <c r="A88" s="450" t="s">
        <v>62</v>
      </c>
      <c r="B88" s="451">
        <v>1</v>
      </c>
      <c r="C88" s="453">
        <v>2</v>
      </c>
      <c r="D88" s="452">
        <v>3</v>
      </c>
      <c r="E88" s="452">
        <v>4</v>
      </c>
      <c r="F88" s="452">
        <v>5</v>
      </c>
      <c r="G88" s="452">
        <v>6</v>
      </c>
      <c r="H88" s="452">
        <v>7</v>
      </c>
      <c r="I88" s="453">
        <v>8</v>
      </c>
      <c r="J88" s="453">
        <v>9</v>
      </c>
      <c r="K88" s="451" t="s">
        <v>41</v>
      </c>
      <c r="L88" s="456" t="s">
        <v>41</v>
      </c>
      <c r="M88" s="456" t="s">
        <v>41</v>
      </c>
      <c r="N88" s="456" t="s">
        <v>41</v>
      </c>
      <c r="O88" s="452" t="s">
        <v>9</v>
      </c>
      <c r="P88" s="453">
        <v>15</v>
      </c>
      <c r="Q88" s="453">
        <v>16</v>
      </c>
      <c r="R88" s="452" t="s">
        <v>9</v>
      </c>
      <c r="S88" s="452" t="s">
        <v>9</v>
      </c>
      <c r="T88" s="452" t="s">
        <v>9</v>
      </c>
      <c r="U88" s="452" t="s">
        <v>9</v>
      </c>
      <c r="V88" s="456" t="s">
        <v>78</v>
      </c>
      <c r="W88" s="451" t="s">
        <v>14</v>
      </c>
      <c r="X88" s="451" t="s">
        <v>14</v>
      </c>
      <c r="Y88" s="451" t="s">
        <v>14</v>
      </c>
      <c r="Z88" s="451" t="s">
        <v>14</v>
      </c>
      <c r="AA88" s="452">
        <v>26</v>
      </c>
      <c r="AB88" s="452">
        <v>27</v>
      </c>
      <c r="AC88" s="452">
        <v>28</v>
      </c>
      <c r="AD88" s="453">
        <v>29</v>
      </c>
      <c r="AE88" s="453">
        <v>30</v>
      </c>
      <c r="AF88" s="452"/>
      <c r="AG88" s="448"/>
    </row>
    <row r="89" spans="1:34">
      <c r="A89" s="444">
        <v>45992</v>
      </c>
      <c r="B89" s="897"/>
      <c r="C89" s="897"/>
      <c r="D89" s="897"/>
      <c r="E89" s="897"/>
      <c r="F89" s="897"/>
      <c r="G89" s="897"/>
      <c r="H89" s="897"/>
      <c r="I89" s="897"/>
      <c r="J89" s="897"/>
      <c r="K89" s="897"/>
      <c r="L89" s="897"/>
      <c r="M89" s="897"/>
      <c r="N89" s="897"/>
      <c r="O89" s="897"/>
      <c r="P89" s="897"/>
      <c r="Q89" s="897"/>
      <c r="R89" s="897"/>
      <c r="S89" s="897"/>
      <c r="T89" s="897"/>
      <c r="U89" s="897"/>
      <c r="V89" s="897"/>
      <c r="W89" s="897"/>
      <c r="X89" s="897"/>
      <c r="Y89" s="897"/>
      <c r="Z89" s="897"/>
      <c r="AA89" s="897"/>
      <c r="AB89" s="897"/>
      <c r="AC89" s="897"/>
      <c r="AD89" s="897"/>
      <c r="AE89" s="897"/>
      <c r="AF89" s="897"/>
      <c r="AG89" s="897"/>
    </row>
    <row r="90" spans="1:34">
      <c r="A90" s="446"/>
      <c r="B90" s="447" t="s">
        <v>6</v>
      </c>
      <c r="C90" s="447" t="s">
        <v>7</v>
      </c>
      <c r="D90" s="447" t="s">
        <v>1</v>
      </c>
      <c r="E90" s="447" t="s">
        <v>2</v>
      </c>
      <c r="F90" s="447" t="s">
        <v>3</v>
      </c>
      <c r="G90" s="447" t="s">
        <v>4</v>
      </c>
      <c r="H90" s="447" t="s">
        <v>5</v>
      </c>
      <c r="I90" s="447" t="s">
        <v>6</v>
      </c>
      <c r="J90" s="447" t="s">
        <v>7</v>
      </c>
      <c r="K90" s="447" t="s">
        <v>1</v>
      </c>
      <c r="L90" s="447" t="s">
        <v>2</v>
      </c>
      <c r="M90" s="447" t="s">
        <v>3</v>
      </c>
      <c r="N90" s="447" t="s">
        <v>4</v>
      </c>
      <c r="O90" s="447" t="s">
        <v>5</v>
      </c>
      <c r="P90" s="447" t="s">
        <v>6</v>
      </c>
      <c r="Q90" s="447" t="s">
        <v>7</v>
      </c>
      <c r="R90" s="447" t="s">
        <v>1</v>
      </c>
      <c r="S90" s="447" t="s">
        <v>2</v>
      </c>
      <c r="T90" s="447" t="s">
        <v>3</v>
      </c>
      <c r="U90" s="447" t="s">
        <v>4</v>
      </c>
      <c r="V90" s="447" t="s">
        <v>5</v>
      </c>
      <c r="W90" s="447" t="s">
        <v>6</v>
      </c>
      <c r="X90" s="447" t="s">
        <v>7</v>
      </c>
      <c r="Y90" s="447" t="s">
        <v>1</v>
      </c>
      <c r="Z90" s="447" t="s">
        <v>2</v>
      </c>
      <c r="AA90" s="447" t="s">
        <v>3</v>
      </c>
      <c r="AB90" s="447" t="s">
        <v>4</v>
      </c>
      <c r="AC90" s="447" t="s">
        <v>5</v>
      </c>
      <c r="AD90" s="447" t="s">
        <v>6</v>
      </c>
      <c r="AE90" s="447" t="s">
        <v>7</v>
      </c>
      <c r="AF90" s="447" t="s">
        <v>1</v>
      </c>
      <c r="AG90" s="448"/>
      <c r="AH90" s="905"/>
    </row>
    <row r="91" spans="1:34">
      <c r="A91" s="450" t="s">
        <v>61</v>
      </c>
      <c r="B91" s="452">
        <v>1</v>
      </c>
      <c r="C91" s="452">
        <v>2</v>
      </c>
      <c r="D91" s="452">
        <v>3</v>
      </c>
      <c r="E91" s="452">
        <v>4</v>
      </c>
      <c r="F91" s="452">
        <v>5</v>
      </c>
      <c r="G91" s="451">
        <v>6</v>
      </c>
      <c r="H91" s="453">
        <v>7</v>
      </c>
      <c r="I91" s="451">
        <v>8</v>
      </c>
      <c r="J91" s="452">
        <v>9</v>
      </c>
      <c r="K91" s="452">
        <v>10</v>
      </c>
      <c r="L91" s="452">
        <v>11</v>
      </c>
      <c r="M91" s="452">
        <v>12</v>
      </c>
      <c r="N91" s="453">
        <v>13</v>
      </c>
      <c r="O91" s="453">
        <v>14</v>
      </c>
      <c r="P91" s="452">
        <v>15</v>
      </c>
      <c r="Q91" s="452">
        <v>16</v>
      </c>
      <c r="R91" s="452">
        <v>17</v>
      </c>
      <c r="S91" s="452">
        <v>18</v>
      </c>
      <c r="T91" s="452">
        <v>19</v>
      </c>
      <c r="U91" s="453">
        <v>20</v>
      </c>
      <c r="V91" s="453">
        <v>21</v>
      </c>
      <c r="W91" s="452">
        <v>22</v>
      </c>
      <c r="X91" s="452">
        <v>23</v>
      </c>
      <c r="Y91" s="451" t="s">
        <v>14</v>
      </c>
      <c r="Z91" s="451" t="s">
        <v>14</v>
      </c>
      <c r="AA91" s="451" t="s">
        <v>14</v>
      </c>
      <c r="AB91" s="451" t="s">
        <v>14</v>
      </c>
      <c r="AC91" s="451" t="s">
        <v>14</v>
      </c>
      <c r="AD91" s="451" t="s">
        <v>14</v>
      </c>
      <c r="AE91" s="451" t="s">
        <v>14</v>
      </c>
      <c r="AF91" s="452" t="s">
        <v>9</v>
      </c>
      <c r="AG91" s="448"/>
      <c r="AH91" s="906"/>
    </row>
    <row r="92" spans="1:34">
      <c r="A92" s="450" t="s">
        <v>24</v>
      </c>
      <c r="B92" s="452">
        <v>1</v>
      </c>
      <c r="C92" s="452">
        <v>2</v>
      </c>
      <c r="D92" s="452">
        <v>3</v>
      </c>
      <c r="E92" s="452">
        <v>4</v>
      </c>
      <c r="F92" s="452">
        <v>5</v>
      </c>
      <c r="G92" s="451">
        <v>6</v>
      </c>
      <c r="H92" s="453">
        <v>7</v>
      </c>
      <c r="I92" s="451">
        <v>8</v>
      </c>
      <c r="J92" s="452">
        <v>9</v>
      </c>
      <c r="K92" s="452">
        <v>10</v>
      </c>
      <c r="L92" s="452">
        <v>11</v>
      </c>
      <c r="M92" s="452">
        <v>12</v>
      </c>
      <c r="N92" s="453">
        <v>13</v>
      </c>
      <c r="O92" s="453">
        <v>14</v>
      </c>
      <c r="P92" s="452">
        <v>15</v>
      </c>
      <c r="Q92" s="452">
        <v>16</v>
      </c>
      <c r="R92" s="451" t="s">
        <v>14</v>
      </c>
      <c r="S92" s="451" t="s">
        <v>14</v>
      </c>
      <c r="T92" s="451" t="s">
        <v>14</v>
      </c>
      <c r="U92" s="451" t="s">
        <v>14</v>
      </c>
      <c r="V92" s="451" t="s">
        <v>14</v>
      </c>
      <c r="W92" s="451" t="s">
        <v>14</v>
      </c>
      <c r="X92" s="451" t="s">
        <v>14</v>
      </c>
      <c r="Y92" s="452">
        <v>24</v>
      </c>
      <c r="Z92" s="451">
        <v>25</v>
      </c>
      <c r="AA92" s="452">
        <v>26</v>
      </c>
      <c r="AB92" s="453">
        <v>27</v>
      </c>
      <c r="AC92" s="453">
        <v>28</v>
      </c>
      <c r="AD92" s="452">
        <v>29</v>
      </c>
      <c r="AE92" s="452">
        <v>30</v>
      </c>
      <c r="AF92" s="452" t="s">
        <v>9</v>
      </c>
      <c r="AG92" s="448"/>
      <c r="AH92" s="906"/>
    </row>
    <row r="93" spans="1:34">
      <c r="A93" s="450" t="s">
        <v>15</v>
      </c>
      <c r="B93" s="452">
        <v>1</v>
      </c>
      <c r="C93" s="452">
        <v>2</v>
      </c>
      <c r="D93" s="452">
        <v>3</v>
      </c>
      <c r="E93" s="452">
        <v>4</v>
      </c>
      <c r="F93" s="456" t="s">
        <v>41</v>
      </c>
      <c r="G93" s="451">
        <v>6</v>
      </c>
      <c r="H93" s="453">
        <v>7</v>
      </c>
      <c r="I93" s="451">
        <v>8</v>
      </c>
      <c r="J93" s="452">
        <v>9</v>
      </c>
      <c r="K93" s="451" t="s">
        <v>14</v>
      </c>
      <c r="L93" s="451" t="s">
        <v>14</v>
      </c>
      <c r="M93" s="451" t="s">
        <v>14</v>
      </c>
      <c r="N93" s="451" t="s">
        <v>14</v>
      </c>
      <c r="O93" s="451" t="s">
        <v>14</v>
      </c>
      <c r="P93" s="451" t="s">
        <v>14</v>
      </c>
      <c r="Q93" s="451" t="s">
        <v>14</v>
      </c>
      <c r="R93" s="452" t="s">
        <v>9</v>
      </c>
      <c r="S93" s="456" t="s">
        <v>9</v>
      </c>
      <c r="T93" s="456" t="s">
        <v>9</v>
      </c>
      <c r="U93" s="453">
        <v>20</v>
      </c>
      <c r="V93" s="453">
        <v>21</v>
      </c>
      <c r="W93" s="456" t="s">
        <v>9</v>
      </c>
      <c r="X93" s="456" t="s">
        <v>9</v>
      </c>
      <c r="Y93" s="456" t="s">
        <v>9</v>
      </c>
      <c r="Z93" s="451">
        <v>25</v>
      </c>
      <c r="AA93" s="456" t="s">
        <v>41</v>
      </c>
      <c r="AB93" s="453">
        <v>27</v>
      </c>
      <c r="AC93" s="453">
        <v>28</v>
      </c>
      <c r="AD93" s="452">
        <v>29</v>
      </c>
      <c r="AE93" s="452">
        <v>30</v>
      </c>
      <c r="AF93" s="456" t="s">
        <v>41</v>
      </c>
      <c r="AG93" s="448"/>
      <c r="AH93" s="906"/>
    </row>
    <row r="94" spans="1:34">
      <c r="A94" s="450" t="s">
        <v>18</v>
      </c>
      <c r="B94" s="451" t="s">
        <v>14</v>
      </c>
      <c r="C94" s="451" t="s">
        <v>14</v>
      </c>
      <c r="D94" s="452">
        <v>3</v>
      </c>
      <c r="E94" s="452">
        <v>4</v>
      </c>
      <c r="F94" s="452">
        <v>5</v>
      </c>
      <c r="G94" s="451">
        <v>6</v>
      </c>
      <c r="H94" s="453">
        <v>7</v>
      </c>
      <c r="I94" s="451">
        <v>8</v>
      </c>
      <c r="J94" s="452" t="s">
        <v>9</v>
      </c>
      <c r="K94" s="452">
        <v>10</v>
      </c>
      <c r="L94" s="452">
        <v>11</v>
      </c>
      <c r="M94" s="452">
        <v>12</v>
      </c>
      <c r="N94" s="453">
        <v>13</v>
      </c>
      <c r="O94" s="453">
        <v>14</v>
      </c>
      <c r="P94" s="452">
        <v>15</v>
      </c>
      <c r="Q94" s="452">
        <v>16</v>
      </c>
      <c r="R94" s="452">
        <v>17</v>
      </c>
      <c r="S94" s="452">
        <v>18</v>
      </c>
      <c r="T94" s="452" t="s">
        <v>9</v>
      </c>
      <c r="U94" s="453">
        <v>20</v>
      </c>
      <c r="V94" s="453">
        <v>21</v>
      </c>
      <c r="W94" s="456" t="s">
        <v>9</v>
      </c>
      <c r="X94" s="456" t="s">
        <v>9</v>
      </c>
      <c r="Y94" s="456" t="s">
        <v>41</v>
      </c>
      <c r="Z94" s="451">
        <v>25</v>
      </c>
      <c r="AA94" s="452" t="s">
        <v>9</v>
      </c>
      <c r="AB94" s="453">
        <v>27</v>
      </c>
      <c r="AC94" s="453">
        <v>28</v>
      </c>
      <c r="AD94" s="452" t="s">
        <v>9</v>
      </c>
      <c r="AE94" s="452" t="s">
        <v>9</v>
      </c>
      <c r="AF94" s="451" t="s">
        <v>14</v>
      </c>
      <c r="AG94" s="448"/>
      <c r="AH94" s="906"/>
    </row>
    <row r="95" spans="1:34">
      <c r="A95" s="450" t="s">
        <v>21</v>
      </c>
      <c r="B95" s="452">
        <v>1</v>
      </c>
      <c r="C95" s="452">
        <v>2</v>
      </c>
      <c r="D95" s="451" t="s">
        <v>14</v>
      </c>
      <c r="E95" s="451" t="s">
        <v>14</v>
      </c>
      <c r="F95" s="451" t="s">
        <v>14</v>
      </c>
      <c r="G95" s="451" t="s">
        <v>14</v>
      </c>
      <c r="H95" s="451" t="s">
        <v>14</v>
      </c>
      <c r="I95" s="451" t="s">
        <v>14</v>
      </c>
      <c r="J95" s="451" t="s">
        <v>14</v>
      </c>
      <c r="K95" s="452">
        <v>10</v>
      </c>
      <c r="L95" s="452">
        <v>11</v>
      </c>
      <c r="M95" s="452">
        <v>12</v>
      </c>
      <c r="N95" s="453">
        <v>13</v>
      </c>
      <c r="O95" s="453">
        <v>14</v>
      </c>
      <c r="P95" s="452">
        <v>15</v>
      </c>
      <c r="Q95" s="452">
        <v>16</v>
      </c>
      <c r="R95" s="452">
        <v>17</v>
      </c>
      <c r="S95" s="456" t="s">
        <v>9</v>
      </c>
      <c r="T95" s="452">
        <v>19</v>
      </c>
      <c r="U95" s="453">
        <v>20</v>
      </c>
      <c r="V95" s="453">
        <v>21</v>
      </c>
      <c r="W95" s="452">
        <v>22</v>
      </c>
      <c r="X95" s="452">
        <v>23</v>
      </c>
      <c r="Y95" s="452">
        <v>24</v>
      </c>
      <c r="Z95" s="451">
        <v>25</v>
      </c>
      <c r="AA95" s="452">
        <v>26</v>
      </c>
      <c r="AB95" s="453">
        <v>27</v>
      </c>
      <c r="AC95" s="453">
        <v>28</v>
      </c>
      <c r="AD95" s="452" t="s">
        <v>9</v>
      </c>
      <c r="AE95" s="452" t="s">
        <v>9</v>
      </c>
      <c r="AF95" s="456" t="s">
        <v>41</v>
      </c>
      <c r="AG95" s="448"/>
      <c r="AH95" s="906"/>
    </row>
    <row r="96" spans="1:34">
      <c r="A96" s="450" t="s">
        <v>62</v>
      </c>
      <c r="B96" s="452">
        <v>1</v>
      </c>
      <c r="C96" s="452">
        <v>2</v>
      </c>
      <c r="D96" s="452">
        <v>3</v>
      </c>
      <c r="E96" s="452">
        <v>4</v>
      </c>
      <c r="F96" s="452">
        <v>5</v>
      </c>
      <c r="G96" s="451">
        <v>6</v>
      </c>
      <c r="H96" s="453">
        <v>7</v>
      </c>
      <c r="I96" s="451">
        <v>8</v>
      </c>
      <c r="J96" s="452">
        <v>9</v>
      </c>
      <c r="K96" s="452">
        <v>10</v>
      </c>
      <c r="L96" s="452">
        <v>11</v>
      </c>
      <c r="M96" s="452">
        <v>12</v>
      </c>
      <c r="N96" s="453">
        <v>13</v>
      </c>
      <c r="O96" s="453">
        <v>14</v>
      </c>
      <c r="P96" s="452">
        <v>15</v>
      </c>
      <c r="Q96" s="452">
        <v>16</v>
      </c>
      <c r="R96" s="452">
        <v>17</v>
      </c>
      <c r="S96" s="452">
        <v>18</v>
      </c>
      <c r="T96" s="452">
        <v>19</v>
      </c>
      <c r="U96" s="453">
        <v>20</v>
      </c>
      <c r="V96" s="453">
        <v>21</v>
      </c>
      <c r="W96" s="452">
        <v>22</v>
      </c>
      <c r="X96" s="452">
        <v>23</v>
      </c>
      <c r="Y96" s="452">
        <v>24</v>
      </c>
      <c r="Z96" s="451">
        <v>25</v>
      </c>
      <c r="AA96" s="452">
        <v>26</v>
      </c>
      <c r="AB96" s="453">
        <v>27</v>
      </c>
      <c r="AC96" s="453">
        <v>28</v>
      </c>
      <c r="AD96" s="452">
        <v>29</v>
      </c>
      <c r="AE96" s="452">
        <v>30</v>
      </c>
      <c r="AF96" s="452">
        <v>31</v>
      </c>
      <c r="AG96" s="448"/>
      <c r="AH96" s="907"/>
    </row>
    <row r="97" spans="1:33">
      <c r="A97" s="444">
        <v>46023</v>
      </c>
      <c r="B97" s="897"/>
      <c r="C97" s="897"/>
      <c r="D97" s="897"/>
      <c r="E97" s="897"/>
      <c r="F97" s="897"/>
      <c r="G97" s="897"/>
      <c r="H97" s="897"/>
      <c r="I97" s="897"/>
      <c r="J97" s="897"/>
      <c r="K97" s="897"/>
      <c r="L97" s="897"/>
      <c r="M97" s="897"/>
      <c r="N97" s="897"/>
      <c r="O97" s="897"/>
      <c r="P97" s="897"/>
      <c r="Q97" s="897"/>
      <c r="R97" s="897"/>
      <c r="S97" s="897"/>
      <c r="T97" s="897"/>
      <c r="U97" s="897"/>
      <c r="V97" s="897"/>
      <c r="W97" s="897"/>
      <c r="X97" s="897"/>
      <c r="Y97" s="897"/>
      <c r="Z97" s="897"/>
      <c r="AA97" s="897"/>
      <c r="AB97" s="897"/>
      <c r="AC97" s="897"/>
      <c r="AD97" s="897"/>
      <c r="AE97" s="897"/>
      <c r="AF97" s="897"/>
      <c r="AG97" s="897"/>
    </row>
    <row r="98" spans="1:33">
      <c r="A98" s="446"/>
      <c r="B98" s="447" t="s">
        <v>2</v>
      </c>
      <c r="C98" s="447" t="s">
        <v>3</v>
      </c>
      <c r="D98" s="447" t="s">
        <v>4</v>
      </c>
      <c r="E98" s="447" t="s">
        <v>5</v>
      </c>
      <c r="F98" s="565" t="s">
        <v>6</v>
      </c>
      <c r="G98" s="447" t="s">
        <v>7</v>
      </c>
      <c r="H98" s="566" t="s">
        <v>1</v>
      </c>
      <c r="I98" s="447" t="s">
        <v>2</v>
      </c>
      <c r="J98" s="447" t="s">
        <v>3</v>
      </c>
      <c r="K98" s="447" t="s">
        <v>4</v>
      </c>
      <c r="L98" s="447" t="s">
        <v>5</v>
      </c>
      <c r="M98" s="447" t="s">
        <v>6</v>
      </c>
      <c r="N98" s="447" t="s">
        <v>7</v>
      </c>
      <c r="O98" s="447" t="s">
        <v>1</v>
      </c>
      <c r="P98" s="447" t="s">
        <v>2</v>
      </c>
      <c r="Q98" s="447" t="s">
        <v>3</v>
      </c>
      <c r="R98" s="447" t="s">
        <v>4</v>
      </c>
      <c r="S98" s="447" t="s">
        <v>5</v>
      </c>
      <c r="T98" s="447" t="s">
        <v>6</v>
      </c>
      <c r="U98" s="447" t="s">
        <v>7</v>
      </c>
      <c r="V98" s="447" t="s">
        <v>1</v>
      </c>
      <c r="W98" s="447" t="s">
        <v>2</v>
      </c>
      <c r="X98" s="447" t="s">
        <v>3</v>
      </c>
      <c r="Y98" s="447" t="s">
        <v>4</v>
      </c>
      <c r="Z98" s="447" t="s">
        <v>5</v>
      </c>
      <c r="AA98" s="447" t="s">
        <v>6</v>
      </c>
      <c r="AB98" s="447" t="s">
        <v>7</v>
      </c>
      <c r="AC98" s="447" t="s">
        <v>1</v>
      </c>
      <c r="AD98" s="447" t="s">
        <v>2</v>
      </c>
      <c r="AE98" s="447" t="s">
        <v>3</v>
      </c>
      <c r="AF98" s="447" t="s">
        <v>4</v>
      </c>
      <c r="AG98" s="448"/>
    </row>
    <row r="99" spans="1:33">
      <c r="A99" s="450" t="s">
        <v>61</v>
      </c>
      <c r="B99" s="451">
        <v>1</v>
      </c>
      <c r="C99" s="452" t="s">
        <v>9</v>
      </c>
      <c r="D99" s="567">
        <v>3</v>
      </c>
      <c r="E99" s="567">
        <v>4</v>
      </c>
      <c r="F99" s="452" t="s">
        <v>9</v>
      </c>
      <c r="G99" s="451">
        <v>6</v>
      </c>
      <c r="H99" s="452" t="s">
        <v>9</v>
      </c>
      <c r="I99" s="452" t="s">
        <v>9</v>
      </c>
      <c r="J99" s="452" t="s">
        <v>9</v>
      </c>
      <c r="K99" s="569">
        <v>10</v>
      </c>
      <c r="L99" s="567">
        <v>11</v>
      </c>
      <c r="M99" s="452" t="s">
        <v>9</v>
      </c>
      <c r="N99" s="452" t="s">
        <v>9</v>
      </c>
      <c r="O99" s="451" t="s">
        <v>14</v>
      </c>
      <c r="P99" s="451" t="s">
        <v>14</v>
      </c>
      <c r="Q99" s="451" t="s">
        <v>14</v>
      </c>
      <c r="R99" s="451" t="s">
        <v>14</v>
      </c>
      <c r="S99" s="451" t="s">
        <v>14</v>
      </c>
      <c r="T99" s="451" t="s">
        <v>14</v>
      </c>
      <c r="U99" s="451" t="s">
        <v>14</v>
      </c>
      <c r="V99" s="452">
        <v>21</v>
      </c>
      <c r="W99" s="452">
        <v>22</v>
      </c>
      <c r="X99" s="452">
        <v>23</v>
      </c>
      <c r="Y99" s="567">
        <v>24</v>
      </c>
      <c r="Z99" s="567">
        <v>25</v>
      </c>
      <c r="AA99" s="452">
        <v>26</v>
      </c>
      <c r="AB99" s="452">
        <v>27</v>
      </c>
      <c r="AC99" s="452">
        <v>28</v>
      </c>
      <c r="AD99" s="452">
        <v>29</v>
      </c>
      <c r="AE99" s="452">
        <v>30</v>
      </c>
      <c r="AF99" s="567">
        <v>31</v>
      </c>
      <c r="AG99" s="448"/>
    </row>
    <row r="100" spans="1:33">
      <c r="A100" s="450" t="s">
        <v>24</v>
      </c>
      <c r="B100" s="451">
        <v>1</v>
      </c>
      <c r="C100" s="452" t="s">
        <v>9</v>
      </c>
      <c r="D100" s="567">
        <v>3</v>
      </c>
      <c r="E100" s="567">
        <v>4</v>
      </c>
      <c r="F100" s="452" t="s">
        <v>9</v>
      </c>
      <c r="G100" s="451">
        <v>6</v>
      </c>
      <c r="H100" s="452" t="s">
        <v>9</v>
      </c>
      <c r="I100" s="452" t="s">
        <v>9</v>
      </c>
      <c r="J100" s="452" t="s">
        <v>9</v>
      </c>
      <c r="K100" s="569">
        <v>10</v>
      </c>
      <c r="L100" s="567">
        <v>11</v>
      </c>
      <c r="M100" s="452" t="s">
        <v>9</v>
      </c>
      <c r="N100" s="452">
        <v>13</v>
      </c>
      <c r="O100" s="452">
        <v>14</v>
      </c>
      <c r="P100" s="452">
        <v>15</v>
      </c>
      <c r="Q100" s="452">
        <v>16</v>
      </c>
      <c r="R100" s="567">
        <v>17</v>
      </c>
      <c r="S100" s="567">
        <v>18</v>
      </c>
      <c r="T100" s="452">
        <v>19</v>
      </c>
      <c r="U100" s="452">
        <v>20</v>
      </c>
      <c r="V100" s="451" t="s">
        <v>14</v>
      </c>
      <c r="W100" s="451" t="s">
        <v>14</v>
      </c>
      <c r="X100" s="451" t="s">
        <v>14</v>
      </c>
      <c r="Y100" s="451" t="s">
        <v>14</v>
      </c>
      <c r="Z100" s="451" t="s">
        <v>14</v>
      </c>
      <c r="AA100" s="451" t="s">
        <v>14</v>
      </c>
      <c r="AB100" s="451" t="s">
        <v>14</v>
      </c>
      <c r="AC100" s="452">
        <v>28</v>
      </c>
      <c r="AD100" s="452">
        <v>29</v>
      </c>
      <c r="AE100" s="452">
        <v>30</v>
      </c>
      <c r="AF100" s="567">
        <v>31</v>
      </c>
      <c r="AG100" s="448"/>
    </row>
    <row r="101" spans="1:33">
      <c r="A101" s="450" t="s">
        <v>15</v>
      </c>
      <c r="B101" s="451">
        <v>1</v>
      </c>
      <c r="C101" s="452">
        <v>2</v>
      </c>
      <c r="D101" s="567">
        <v>3</v>
      </c>
      <c r="E101" s="567">
        <v>4</v>
      </c>
      <c r="F101" s="452">
        <v>5</v>
      </c>
      <c r="G101" s="451">
        <v>6</v>
      </c>
      <c r="H101" s="451" t="s">
        <v>14</v>
      </c>
      <c r="I101" s="451" t="s">
        <v>14</v>
      </c>
      <c r="J101" s="451" t="s">
        <v>14</v>
      </c>
      <c r="K101" s="451" t="s">
        <v>14</v>
      </c>
      <c r="L101" s="451" t="s">
        <v>14</v>
      </c>
      <c r="M101" s="451" t="s">
        <v>14</v>
      </c>
      <c r="N101" s="451" t="s">
        <v>14</v>
      </c>
      <c r="O101" s="452">
        <v>14</v>
      </c>
      <c r="P101" s="452">
        <v>15</v>
      </c>
      <c r="Q101" s="452">
        <v>16</v>
      </c>
      <c r="R101" s="567">
        <v>17</v>
      </c>
      <c r="S101" s="567">
        <v>18</v>
      </c>
      <c r="T101" s="452">
        <v>19</v>
      </c>
      <c r="U101" s="452">
        <v>20</v>
      </c>
      <c r="V101" s="452">
        <v>21</v>
      </c>
      <c r="W101" s="452">
        <v>22</v>
      </c>
      <c r="X101" s="452">
        <v>23</v>
      </c>
      <c r="Y101" s="567">
        <v>24</v>
      </c>
      <c r="Z101" s="567">
        <v>25</v>
      </c>
      <c r="AA101" s="452">
        <v>26</v>
      </c>
      <c r="AB101" s="452">
        <v>27</v>
      </c>
      <c r="AC101" s="452">
        <v>28</v>
      </c>
      <c r="AD101" s="452" t="s">
        <v>9</v>
      </c>
      <c r="AE101" s="452" t="s">
        <v>9</v>
      </c>
      <c r="AF101" s="567">
        <v>31</v>
      </c>
      <c r="AG101" s="448"/>
    </row>
    <row r="102" spans="1:33">
      <c r="A102" s="450" t="s">
        <v>18</v>
      </c>
      <c r="B102" s="451" t="s">
        <v>14</v>
      </c>
      <c r="C102" s="451" t="s">
        <v>14</v>
      </c>
      <c r="D102" s="451" t="s">
        <v>14</v>
      </c>
      <c r="E102" s="451" t="s">
        <v>14</v>
      </c>
      <c r="F102" s="451" t="s">
        <v>14</v>
      </c>
      <c r="G102" s="451" t="s">
        <v>14</v>
      </c>
      <c r="H102" s="452">
        <v>7</v>
      </c>
      <c r="I102" s="568">
        <v>8</v>
      </c>
      <c r="J102" s="452">
        <v>9</v>
      </c>
      <c r="K102" s="569">
        <v>10</v>
      </c>
      <c r="L102" s="567">
        <v>11</v>
      </c>
      <c r="M102" s="452">
        <v>12</v>
      </c>
      <c r="N102" s="452">
        <v>13</v>
      </c>
      <c r="O102" s="452">
        <v>14</v>
      </c>
      <c r="P102" s="452">
        <v>15</v>
      </c>
      <c r="Q102" s="452">
        <v>16</v>
      </c>
      <c r="R102" s="567">
        <v>17</v>
      </c>
      <c r="S102" s="567">
        <v>18</v>
      </c>
      <c r="T102" s="452">
        <v>19</v>
      </c>
      <c r="U102" s="452">
        <v>20</v>
      </c>
      <c r="V102" s="452">
        <v>21</v>
      </c>
      <c r="W102" s="452">
        <v>22</v>
      </c>
      <c r="X102" s="452">
        <v>23</v>
      </c>
      <c r="Y102" s="567">
        <v>24</v>
      </c>
      <c r="Z102" s="567">
        <v>25</v>
      </c>
      <c r="AA102" s="452">
        <v>26</v>
      </c>
      <c r="AB102" s="452">
        <v>27</v>
      </c>
      <c r="AC102" s="452">
        <v>28</v>
      </c>
      <c r="AD102" s="452">
        <v>29</v>
      </c>
      <c r="AE102" s="452">
        <v>30</v>
      </c>
      <c r="AF102" s="567">
        <v>31</v>
      </c>
      <c r="AG102" s="448"/>
    </row>
    <row r="103" spans="1:33">
      <c r="A103" s="450" t="s">
        <v>21</v>
      </c>
      <c r="B103" s="451">
        <v>1</v>
      </c>
      <c r="C103" s="452" t="s">
        <v>9</v>
      </c>
      <c r="D103" s="567">
        <v>3</v>
      </c>
      <c r="E103" s="567">
        <v>4</v>
      </c>
      <c r="F103" s="452" t="s">
        <v>9</v>
      </c>
      <c r="G103" s="451">
        <v>6</v>
      </c>
      <c r="H103" s="452" t="s">
        <v>9</v>
      </c>
      <c r="I103" s="568">
        <v>8</v>
      </c>
      <c r="J103" s="452">
        <v>9</v>
      </c>
      <c r="K103" s="569">
        <v>10</v>
      </c>
      <c r="L103" s="567">
        <v>11</v>
      </c>
      <c r="M103" s="452">
        <v>12</v>
      </c>
      <c r="N103" s="452">
        <v>13</v>
      </c>
      <c r="O103" s="452">
        <v>14</v>
      </c>
      <c r="P103" s="452">
        <v>15</v>
      </c>
      <c r="Q103" s="452" t="s">
        <v>9</v>
      </c>
      <c r="R103" s="567">
        <v>17</v>
      </c>
      <c r="S103" s="567">
        <v>18</v>
      </c>
      <c r="T103" s="452">
        <v>19</v>
      </c>
      <c r="U103" s="452">
        <v>20</v>
      </c>
      <c r="V103" s="452">
        <v>21</v>
      </c>
      <c r="W103" s="452">
        <v>22</v>
      </c>
      <c r="X103" s="452" t="s">
        <v>9</v>
      </c>
      <c r="Y103" s="567">
        <v>24</v>
      </c>
      <c r="Z103" s="567">
        <v>25</v>
      </c>
      <c r="AA103" s="452">
        <v>26</v>
      </c>
      <c r="AB103" s="452">
        <v>27</v>
      </c>
      <c r="AC103" s="452">
        <v>28</v>
      </c>
      <c r="AD103" s="452">
        <v>29</v>
      </c>
      <c r="AE103" s="452" t="s">
        <v>9</v>
      </c>
      <c r="AF103" s="567">
        <v>31</v>
      </c>
      <c r="AG103" s="448"/>
    </row>
    <row r="104" spans="1:33">
      <c r="A104" s="450" t="s">
        <v>62</v>
      </c>
      <c r="B104" s="451">
        <v>1</v>
      </c>
      <c r="C104" s="452">
        <v>2</v>
      </c>
      <c r="D104" s="567">
        <v>3</v>
      </c>
      <c r="E104" s="567">
        <v>4</v>
      </c>
      <c r="F104" s="452">
        <v>5</v>
      </c>
      <c r="G104" s="451">
        <v>6</v>
      </c>
      <c r="H104" s="452">
        <v>7</v>
      </c>
      <c r="I104" s="568">
        <v>8</v>
      </c>
      <c r="J104" s="452">
        <v>9</v>
      </c>
      <c r="K104" s="569">
        <v>10</v>
      </c>
      <c r="L104" s="567">
        <v>11</v>
      </c>
      <c r="M104" s="452">
        <v>12</v>
      </c>
      <c r="N104" s="452">
        <v>13</v>
      </c>
      <c r="O104" s="452">
        <v>14</v>
      </c>
      <c r="P104" s="452">
        <v>15</v>
      </c>
      <c r="Q104" s="452">
        <v>16</v>
      </c>
      <c r="R104" s="567">
        <v>17</v>
      </c>
      <c r="S104" s="567">
        <v>18</v>
      </c>
      <c r="T104" s="452" t="s">
        <v>9</v>
      </c>
      <c r="U104" s="452" t="s">
        <v>9</v>
      </c>
      <c r="V104" s="452" t="s">
        <v>9</v>
      </c>
      <c r="W104" s="452" t="s">
        <v>9</v>
      </c>
      <c r="X104" s="452" t="s">
        <v>3</v>
      </c>
      <c r="Y104" s="567">
        <v>24</v>
      </c>
      <c r="Z104" s="567">
        <v>25</v>
      </c>
      <c r="AA104" s="452">
        <v>26</v>
      </c>
      <c r="AB104" s="452">
        <v>27</v>
      </c>
      <c r="AC104" s="452">
        <v>28</v>
      </c>
      <c r="AD104" s="452">
        <v>29</v>
      </c>
      <c r="AE104" s="452">
        <v>30</v>
      </c>
      <c r="AF104" s="567">
        <v>31</v>
      </c>
      <c r="AG104" s="448"/>
    </row>
    <row r="105" spans="1:33">
      <c r="A105" s="559"/>
      <c r="B105" s="562"/>
      <c r="C105" s="563"/>
      <c r="D105" s="564"/>
      <c r="E105" s="559"/>
      <c r="F105" s="559"/>
      <c r="G105" s="559"/>
      <c r="H105" s="559"/>
      <c r="I105" s="560"/>
      <c r="K105" s="561"/>
      <c r="L105" s="561"/>
      <c r="M105" s="559"/>
      <c r="N105" s="559"/>
      <c r="O105" s="559"/>
      <c r="P105" s="559"/>
      <c r="Q105" s="559"/>
    </row>
    <row r="106" spans="1:33">
      <c r="A106" s="559"/>
      <c r="B106" s="562"/>
      <c r="C106" s="563"/>
      <c r="D106" s="564"/>
      <c r="E106" s="559"/>
      <c r="F106" s="559"/>
      <c r="G106" s="559"/>
      <c r="H106" s="559"/>
      <c r="I106" s="560"/>
      <c r="K106" s="561"/>
      <c r="L106" s="561"/>
      <c r="M106" s="559"/>
      <c r="N106" s="559"/>
      <c r="O106" s="559"/>
      <c r="P106" s="559"/>
      <c r="Q106" s="559"/>
    </row>
    <row r="107" spans="1:33">
      <c r="A107" s="559"/>
      <c r="B107" s="562"/>
      <c r="C107" s="563"/>
      <c r="D107" s="564"/>
      <c r="E107" s="559"/>
      <c r="F107" s="559"/>
      <c r="G107" s="559"/>
      <c r="H107" s="559"/>
      <c r="I107" s="560"/>
      <c r="K107" s="561"/>
      <c r="L107" s="561"/>
      <c r="M107" s="559"/>
      <c r="N107" s="559"/>
      <c r="O107" s="559"/>
      <c r="P107" s="559"/>
      <c r="Q107" s="559"/>
    </row>
    <row r="108" spans="1:33">
      <c r="A108" s="559"/>
      <c r="B108" s="562"/>
      <c r="C108" s="563"/>
      <c r="D108" s="564"/>
      <c r="E108" s="559"/>
      <c r="F108" s="559"/>
      <c r="G108" s="559"/>
      <c r="H108" s="559"/>
      <c r="I108" s="560"/>
      <c r="K108" s="561"/>
      <c r="L108" s="561"/>
      <c r="M108" s="559"/>
      <c r="N108" s="559"/>
      <c r="O108" s="559"/>
      <c r="P108" s="559"/>
      <c r="Q108" s="559"/>
    </row>
    <row r="109" spans="1:33">
      <c r="A109" s="558" t="s">
        <v>79</v>
      </c>
      <c r="B109" s="898" t="s">
        <v>68</v>
      </c>
      <c r="C109" s="899"/>
      <c r="D109" s="900"/>
      <c r="E109" s="559"/>
      <c r="F109" s="559"/>
      <c r="G109" s="559"/>
      <c r="H109" s="559"/>
      <c r="I109" s="560"/>
      <c r="K109" s="561"/>
      <c r="L109" s="561"/>
      <c r="M109" s="559"/>
      <c r="N109" s="559"/>
      <c r="O109" s="559"/>
      <c r="P109" s="559"/>
      <c r="Q109" s="559"/>
    </row>
    <row r="110" spans="1:33">
      <c r="A110" s="450" t="s">
        <v>61</v>
      </c>
      <c r="B110" s="458">
        <v>3</v>
      </c>
      <c r="C110" s="901" t="s">
        <v>80</v>
      </c>
      <c r="D110" s="901"/>
      <c r="E110" s="901"/>
      <c r="F110" s="901"/>
      <c r="G110" s="901"/>
      <c r="H110" s="901"/>
      <c r="I110" s="901"/>
      <c r="J110" s="901"/>
      <c r="K110" s="901"/>
      <c r="L110" s="901"/>
      <c r="M110" s="901"/>
      <c r="N110" s="901"/>
      <c r="O110" s="901"/>
      <c r="P110" s="901"/>
      <c r="Q110" s="901"/>
    </row>
    <row r="111" spans="1:33">
      <c r="A111" s="450" t="s">
        <v>24</v>
      </c>
      <c r="B111" s="458">
        <v>2</v>
      </c>
      <c r="C111" s="901" t="s">
        <v>81</v>
      </c>
      <c r="D111" s="901"/>
      <c r="E111" s="901"/>
      <c r="F111" s="901"/>
      <c r="G111" s="901"/>
      <c r="H111" s="901"/>
      <c r="I111" s="901"/>
      <c r="J111" s="901"/>
      <c r="K111" s="901"/>
      <c r="L111" s="901"/>
      <c r="M111" s="901"/>
      <c r="N111" s="901"/>
      <c r="O111" s="901"/>
      <c r="P111" s="901"/>
      <c r="Q111" s="901"/>
    </row>
    <row r="112" spans="1:33">
      <c r="A112" s="450" t="s">
        <v>15</v>
      </c>
      <c r="B112" s="458">
        <v>2</v>
      </c>
      <c r="C112" s="901" t="s">
        <v>82</v>
      </c>
      <c r="D112" s="901"/>
      <c r="E112" s="901"/>
      <c r="F112" s="901"/>
      <c r="G112" s="901"/>
      <c r="H112" s="901"/>
      <c r="I112" s="901"/>
      <c r="J112" s="901"/>
      <c r="K112" s="901"/>
      <c r="L112" s="901"/>
      <c r="M112" s="901"/>
      <c r="N112" s="901"/>
      <c r="O112" s="901"/>
      <c r="P112" s="901"/>
      <c r="Q112" s="901"/>
    </row>
    <row r="113" spans="1:17">
      <c r="A113" s="450" t="s">
        <v>18</v>
      </c>
      <c r="B113" s="458">
        <v>2</v>
      </c>
      <c r="C113" s="901" t="s">
        <v>72</v>
      </c>
      <c r="D113" s="901"/>
      <c r="E113" s="901"/>
      <c r="F113" s="901"/>
      <c r="G113" s="901"/>
      <c r="H113" s="901"/>
      <c r="I113" s="901"/>
      <c r="J113" s="901"/>
      <c r="K113" s="901"/>
      <c r="L113" s="901"/>
      <c r="M113" s="901"/>
      <c r="N113" s="901"/>
      <c r="O113" s="901"/>
      <c r="P113" s="901"/>
      <c r="Q113" s="901"/>
    </row>
    <row r="114" spans="1:17">
      <c r="A114" s="450" t="s">
        <v>21</v>
      </c>
      <c r="B114" s="458">
        <v>2</v>
      </c>
      <c r="C114" s="901" t="s">
        <v>83</v>
      </c>
      <c r="D114" s="901"/>
      <c r="E114" s="901"/>
      <c r="F114" s="901"/>
      <c r="G114" s="901"/>
      <c r="H114" s="901"/>
      <c r="I114" s="901"/>
      <c r="J114" s="901"/>
      <c r="K114" s="901"/>
      <c r="L114" s="901"/>
      <c r="M114" s="901"/>
      <c r="N114" s="901"/>
      <c r="O114" s="901"/>
      <c r="P114" s="901"/>
      <c r="Q114" s="901"/>
    </row>
    <row r="115" spans="1:17">
      <c r="A115" s="450" t="s">
        <v>62</v>
      </c>
      <c r="B115" s="458">
        <v>2</v>
      </c>
      <c r="C115" s="901" t="s">
        <v>70</v>
      </c>
      <c r="D115" s="901"/>
      <c r="E115" s="901"/>
      <c r="F115" s="901"/>
      <c r="G115" s="901"/>
      <c r="H115" s="901"/>
      <c r="I115" s="901"/>
      <c r="J115" s="901"/>
      <c r="K115" s="901"/>
      <c r="L115" s="901"/>
      <c r="M115" s="901"/>
      <c r="N115" s="901"/>
      <c r="O115" s="901"/>
      <c r="P115" s="901"/>
      <c r="Q115" s="901"/>
    </row>
    <row r="117" spans="1:17">
      <c r="A117" s="558" t="s">
        <v>67</v>
      </c>
    </row>
    <row r="118" spans="1:17">
      <c r="A118" s="450" t="s">
        <v>61</v>
      </c>
    </row>
    <row r="119" spans="1:17">
      <c r="A119" s="450" t="s">
        <v>24</v>
      </c>
    </row>
    <row r="120" spans="1:17">
      <c r="A120" s="450" t="s">
        <v>15</v>
      </c>
    </row>
    <row r="121" spans="1:17">
      <c r="A121" s="450" t="s">
        <v>18</v>
      </c>
    </row>
    <row r="122" spans="1:17">
      <c r="A122" s="450" t="s">
        <v>21</v>
      </c>
    </row>
    <row r="123" spans="1:17">
      <c r="A123" s="450" t="s">
        <v>62</v>
      </c>
    </row>
  </sheetData>
  <mergeCells count="21">
    <mergeCell ref="B89:AG89"/>
    <mergeCell ref="B1:AG1"/>
    <mergeCell ref="B9:AG9"/>
    <mergeCell ref="B17:AG17"/>
    <mergeCell ref="B25:AG25"/>
    <mergeCell ref="B33:AG33"/>
    <mergeCell ref="B41:AG41"/>
    <mergeCell ref="B49:AG49"/>
    <mergeCell ref="B57:AG57"/>
    <mergeCell ref="B65:AG65"/>
    <mergeCell ref="B73:AG73"/>
    <mergeCell ref="B81:AG81"/>
    <mergeCell ref="AH90:AH96"/>
    <mergeCell ref="C114:Q114"/>
    <mergeCell ref="C115:Q115"/>
    <mergeCell ref="B97:AG97"/>
    <mergeCell ref="B109:D109"/>
    <mergeCell ref="C110:Q110"/>
    <mergeCell ref="C111:Q111"/>
    <mergeCell ref="C112:Q112"/>
    <mergeCell ref="C113:Q113"/>
  </mergeCells>
  <conditionalFormatting sqref="A109:A115">
    <cfRule type="cellIs" dxfId="461" priority="1060" operator="equal">
      <formula>"M"</formula>
    </cfRule>
    <cfRule type="cellIs" dxfId="460" priority="1061" operator="equal">
      <formula>"G"</formula>
    </cfRule>
    <cfRule type="cellIs" dxfId="459" priority="1062" operator="equal">
      <formula>"V"</formula>
    </cfRule>
  </conditionalFormatting>
  <conditionalFormatting sqref="A117:A123">
    <cfRule type="cellIs" dxfId="458" priority="124" operator="equal">
      <formula>"M"</formula>
    </cfRule>
    <cfRule type="cellIs" dxfId="457" priority="125" operator="equal">
      <formula>"G"</formula>
    </cfRule>
    <cfRule type="cellIs" dxfId="456" priority="126" operator="equal">
      <formula>"V"</formula>
    </cfRule>
  </conditionalFormatting>
  <conditionalFormatting sqref="A3:G6">
    <cfRule type="cellIs" dxfId="455" priority="1282" operator="equal">
      <formula>"M"</formula>
    </cfRule>
    <cfRule type="cellIs" dxfId="454" priority="1283" operator="equal">
      <formula>"G"</formula>
    </cfRule>
    <cfRule type="cellIs" dxfId="453" priority="1284" operator="equal">
      <formula>"V"</formula>
    </cfRule>
  </conditionalFormatting>
  <conditionalFormatting sqref="A19:G21">
    <cfRule type="cellIs" dxfId="452" priority="1249" operator="equal">
      <formula>"M"</formula>
    </cfRule>
    <cfRule type="cellIs" dxfId="451" priority="1250" operator="equal">
      <formula>"G"</formula>
    </cfRule>
    <cfRule type="cellIs" dxfId="450" priority="1251" operator="equal">
      <formula>"V"</formula>
    </cfRule>
  </conditionalFormatting>
  <conditionalFormatting sqref="A12:I16">
    <cfRule type="cellIs" dxfId="449" priority="1261" operator="equal">
      <formula>"M"</formula>
    </cfRule>
    <cfRule type="cellIs" dxfId="448" priority="1262" operator="equal">
      <formula>"G"</formula>
    </cfRule>
    <cfRule type="cellIs" dxfId="447" priority="1263" operator="equal">
      <formula>"V"</formula>
    </cfRule>
  </conditionalFormatting>
  <conditionalFormatting sqref="A67:U71">
    <cfRule type="cellIs" dxfId="446" priority="250" operator="equal">
      <formula>"M"</formula>
    </cfRule>
    <cfRule type="cellIs" dxfId="445" priority="251" operator="equal">
      <formula>"G"</formula>
    </cfRule>
    <cfRule type="cellIs" dxfId="444" priority="252" operator="equal">
      <formula>"V"</formula>
    </cfRule>
  </conditionalFormatting>
  <conditionalFormatting sqref="A75:U75">
    <cfRule type="cellIs" dxfId="443" priority="1102" operator="equal">
      <formula>"M"</formula>
    </cfRule>
    <cfRule type="cellIs" dxfId="442" priority="1103" operator="equal">
      <formula>"G"</formula>
    </cfRule>
    <cfRule type="cellIs" dxfId="441" priority="1104" operator="equal">
      <formula>"V"</formula>
    </cfRule>
  </conditionalFormatting>
  <conditionalFormatting sqref="A91:U91">
    <cfRule type="cellIs" dxfId="440" priority="1117" operator="equal">
      <formula>"M"</formula>
    </cfRule>
    <cfRule type="cellIs" dxfId="439" priority="1118" operator="equal">
      <formula>"G"</formula>
    </cfRule>
    <cfRule type="cellIs" dxfId="438" priority="1119" operator="equal">
      <formula>"V"</formula>
    </cfRule>
  </conditionalFormatting>
  <conditionalFormatting sqref="A99:U103">
    <cfRule type="cellIs" dxfId="437" priority="13" operator="equal">
      <formula>"M"</formula>
    </cfRule>
    <cfRule type="cellIs" dxfId="436" priority="14" operator="equal">
      <formula>"G"</formula>
    </cfRule>
    <cfRule type="cellIs" dxfId="435" priority="15" operator="equal">
      <formula>"V"</formula>
    </cfRule>
  </conditionalFormatting>
  <conditionalFormatting sqref="A43:V43">
    <cfRule type="cellIs" dxfId="434" priority="145" operator="equal">
      <formula>"M"</formula>
    </cfRule>
    <cfRule type="cellIs" dxfId="433" priority="146" operator="equal">
      <formula>"G"</formula>
    </cfRule>
    <cfRule type="cellIs" dxfId="432" priority="147" operator="equal">
      <formula>"V"</formula>
    </cfRule>
  </conditionalFormatting>
  <conditionalFormatting sqref="A22:AC24">
    <cfRule type="cellIs" dxfId="431" priority="79" operator="equal">
      <formula>"M"</formula>
    </cfRule>
    <cfRule type="cellIs" dxfId="430" priority="80" operator="equal">
      <formula>"G"</formula>
    </cfRule>
    <cfRule type="cellIs" dxfId="429" priority="81" operator="equal">
      <formula>"V"</formula>
    </cfRule>
  </conditionalFormatting>
  <conditionalFormatting sqref="A51:AC52">
    <cfRule type="cellIs" dxfId="428" priority="130" operator="equal">
      <formula>"M"</formula>
    </cfRule>
    <cfRule type="cellIs" dxfId="427" priority="131" operator="equal">
      <formula>"G"</formula>
    </cfRule>
    <cfRule type="cellIs" dxfId="426" priority="132" operator="equal">
      <formula>"V"</formula>
    </cfRule>
  </conditionalFormatting>
  <conditionalFormatting sqref="A72:AC72">
    <cfRule type="cellIs" dxfId="425" priority="247" operator="equal">
      <formula>"M"</formula>
    </cfRule>
    <cfRule type="cellIs" dxfId="424" priority="248" operator="equal">
      <formula>"G"</formula>
    </cfRule>
    <cfRule type="cellIs" dxfId="423" priority="249" operator="equal">
      <formula>"V"</formula>
    </cfRule>
  </conditionalFormatting>
  <conditionalFormatting sqref="A11:AD11">
    <cfRule type="cellIs" dxfId="422" priority="1192" operator="equal">
      <formula>"M"</formula>
    </cfRule>
    <cfRule type="cellIs" dxfId="421" priority="1193" operator="equal">
      <formula>"G"</formula>
    </cfRule>
    <cfRule type="cellIs" dxfId="420" priority="1194" operator="equal">
      <formula>"V"</formula>
    </cfRule>
  </conditionalFormatting>
  <conditionalFormatting sqref="A74:AD74">
    <cfRule type="cellIs" dxfId="419" priority="1093" operator="equal">
      <formula>"M"</formula>
    </cfRule>
    <cfRule type="cellIs" dxfId="418" priority="1094" operator="equal">
      <formula>"G"</formula>
    </cfRule>
    <cfRule type="cellIs" dxfId="417" priority="1095" operator="equal">
      <formula>"V"</formula>
    </cfRule>
  </conditionalFormatting>
  <conditionalFormatting sqref="A53:AE53">
    <cfRule type="cellIs" dxfId="416" priority="283" operator="equal">
      <formula>"M"</formula>
    </cfRule>
    <cfRule type="cellIs" dxfId="415" priority="284" operator="equal">
      <formula>"G"</formula>
    </cfRule>
    <cfRule type="cellIs" dxfId="414" priority="285" operator="equal">
      <formula>"V"</formula>
    </cfRule>
  </conditionalFormatting>
  <conditionalFormatting sqref="A42:AF42">
    <cfRule type="cellIs" dxfId="413" priority="1162" operator="equal">
      <formula>"M"</formula>
    </cfRule>
    <cfRule type="cellIs" dxfId="412" priority="1163" operator="equal">
      <formula>"G"</formula>
    </cfRule>
    <cfRule type="cellIs" dxfId="411" priority="1164" operator="equal">
      <formula>"V"</formula>
    </cfRule>
  </conditionalFormatting>
  <conditionalFormatting sqref="A44:AF48">
    <cfRule type="cellIs" dxfId="410" priority="310" operator="equal">
      <formula>"M"</formula>
    </cfRule>
    <cfRule type="cellIs" dxfId="409" priority="311" operator="equal">
      <formula>"G"</formula>
    </cfRule>
    <cfRule type="cellIs" dxfId="408" priority="312" operator="equal">
      <formula>"V"</formula>
    </cfRule>
  </conditionalFormatting>
  <conditionalFormatting sqref="A50:AF50">
    <cfRule type="cellIs" dxfId="407" priority="1138" operator="equal">
      <formula>"M"</formula>
    </cfRule>
    <cfRule type="cellIs" dxfId="406" priority="1139" operator="equal">
      <formula>"G"</formula>
    </cfRule>
    <cfRule type="cellIs" dxfId="405" priority="1140" operator="equal">
      <formula>"V"</formula>
    </cfRule>
  </conditionalFormatting>
  <conditionalFormatting sqref="A54:AF56">
    <cfRule type="cellIs" dxfId="404" priority="154" operator="equal">
      <formula>"M"</formula>
    </cfRule>
    <cfRule type="cellIs" dxfId="403" priority="155" operator="equal">
      <formula>"G"</formula>
    </cfRule>
    <cfRule type="cellIs" dxfId="402" priority="156" operator="equal">
      <formula>"V"</formula>
    </cfRule>
  </conditionalFormatting>
  <conditionalFormatting sqref="A98:AF98">
    <cfRule type="cellIs" dxfId="401" priority="364" operator="equal">
      <formula>"M"</formula>
    </cfRule>
    <cfRule type="cellIs" dxfId="400" priority="365" operator="equal">
      <formula>"G"</formula>
    </cfRule>
    <cfRule type="cellIs" dxfId="399" priority="366" operator="equal">
      <formula>"V"</formula>
    </cfRule>
  </conditionalFormatting>
  <conditionalFormatting sqref="A1:AG2">
    <cfRule type="cellIs" dxfId="398" priority="1315" operator="equal">
      <formula>"M"</formula>
    </cfRule>
    <cfRule type="cellIs" dxfId="397" priority="1316" operator="equal">
      <formula>"G"</formula>
    </cfRule>
    <cfRule type="cellIs" dxfId="396" priority="1317" operator="equal">
      <formula>"V"</formula>
    </cfRule>
  </conditionalFormatting>
  <conditionalFormatting sqref="A7:AG10">
    <cfRule type="cellIs" dxfId="395" priority="1195" operator="equal">
      <formula>"M"</formula>
    </cfRule>
    <cfRule type="cellIs" dxfId="394" priority="1196" operator="equal">
      <formula>"G"</formula>
    </cfRule>
    <cfRule type="cellIs" dxfId="393" priority="1197" operator="equal">
      <formula>"V"</formula>
    </cfRule>
  </conditionalFormatting>
  <conditionalFormatting sqref="A17:AG18">
    <cfRule type="cellIs" dxfId="392" priority="1252" operator="equal">
      <formula>"M"</formula>
    </cfRule>
    <cfRule type="cellIs" dxfId="391" priority="1253" operator="equal">
      <formula>"G"</formula>
    </cfRule>
    <cfRule type="cellIs" dxfId="390" priority="1254" operator="equal">
      <formula>"V"</formula>
    </cfRule>
  </conditionalFormatting>
  <conditionalFormatting sqref="A25:AG33">
    <cfRule type="cellIs" dxfId="389" priority="1183" operator="equal">
      <formula>"M"</formula>
    </cfRule>
    <cfRule type="cellIs" dxfId="388" priority="1184" operator="equal">
      <formula>"G"</formula>
    </cfRule>
    <cfRule type="cellIs" dxfId="387" priority="1185" operator="equal">
      <formula>"V"</formula>
    </cfRule>
  </conditionalFormatting>
  <conditionalFormatting sqref="A35:AG41">
    <cfRule type="cellIs" dxfId="386" priority="160" operator="equal">
      <formula>"M"</formula>
    </cfRule>
    <cfRule type="cellIs" dxfId="385" priority="161" operator="equal">
      <formula>"G"</formula>
    </cfRule>
    <cfRule type="cellIs" dxfId="384" priority="162" operator="equal">
      <formula>"V"</formula>
    </cfRule>
  </conditionalFormatting>
  <conditionalFormatting sqref="A49:AG49">
    <cfRule type="cellIs" dxfId="383" priority="1159" operator="equal">
      <formula>"M"</formula>
    </cfRule>
    <cfRule type="cellIs" dxfId="382" priority="1160" operator="equal">
      <formula>"G"</formula>
    </cfRule>
    <cfRule type="cellIs" dxfId="381" priority="1161" operator="equal">
      <formula>"V"</formula>
    </cfRule>
  </conditionalFormatting>
  <conditionalFormatting sqref="A57:AG66">
    <cfRule type="cellIs" dxfId="380" priority="256" operator="equal">
      <formula>"M"</formula>
    </cfRule>
    <cfRule type="cellIs" dxfId="379" priority="257" operator="equal">
      <formula>"G"</formula>
    </cfRule>
    <cfRule type="cellIs" dxfId="378" priority="258" operator="equal">
      <formula>"V"</formula>
    </cfRule>
  </conditionalFormatting>
  <conditionalFormatting sqref="A73:AG73">
    <cfRule type="cellIs" dxfId="377" priority="1105" operator="equal">
      <formula>"M"</formula>
    </cfRule>
    <cfRule type="cellIs" dxfId="376" priority="1106" operator="equal">
      <formula>"G"</formula>
    </cfRule>
    <cfRule type="cellIs" dxfId="375" priority="1107" operator="equal">
      <formula>"V"</formula>
    </cfRule>
  </conditionalFormatting>
  <conditionalFormatting sqref="A76:AG90">
    <cfRule type="cellIs" dxfId="374" priority="40" operator="equal">
      <formula>"M"</formula>
    </cfRule>
    <cfRule type="cellIs" dxfId="373" priority="41" operator="equal">
      <formula>"G"</formula>
    </cfRule>
    <cfRule type="cellIs" dxfId="372" priority="42" operator="equal">
      <formula>"V"</formula>
    </cfRule>
  </conditionalFormatting>
  <conditionalFormatting sqref="A92:AG97">
    <cfRule type="cellIs" dxfId="371" priority="31" operator="equal">
      <formula>"M"</formula>
    </cfRule>
    <cfRule type="cellIs" dxfId="370" priority="32" operator="equal">
      <formula>"G"</formula>
    </cfRule>
    <cfRule type="cellIs" dxfId="369" priority="33" operator="equal">
      <formula>"V"</formula>
    </cfRule>
  </conditionalFormatting>
  <conditionalFormatting sqref="A104:AG104">
    <cfRule type="cellIs" dxfId="368" priority="358" operator="equal">
      <formula>"M"</formula>
    </cfRule>
    <cfRule type="cellIs" dxfId="367" priority="359" operator="equal">
      <formula>"G"</formula>
    </cfRule>
    <cfRule type="cellIs" dxfId="366" priority="360" operator="equal">
      <formula>"V"</formula>
    </cfRule>
  </conditionalFormatting>
  <conditionalFormatting sqref="A34:AQ34">
    <cfRule type="cellIs" dxfId="365" priority="1180" operator="equal">
      <formula>"M"</formula>
    </cfRule>
    <cfRule type="cellIs" dxfId="364" priority="1181" operator="equal">
      <formula>"G"</formula>
    </cfRule>
    <cfRule type="cellIs" dxfId="363" priority="1182" operator="equal">
      <formula>"V"</formula>
    </cfRule>
  </conditionalFormatting>
  <conditionalFormatting sqref="D5:F5">
    <cfRule type="cellIs" dxfId="362" priority="1297" operator="equal">
      <formula>"M"</formula>
    </cfRule>
    <cfRule type="cellIs" dxfId="361" priority="1298" operator="equal">
      <formula>"G"</formula>
    </cfRule>
    <cfRule type="cellIs" dxfId="360" priority="1299" operator="equal">
      <formula>"V"</formula>
    </cfRule>
  </conditionalFormatting>
  <conditionalFormatting sqref="D20:F21">
    <cfRule type="cellIs" dxfId="359" priority="1228" operator="equal">
      <formula>"M"</formula>
    </cfRule>
    <cfRule type="cellIs" dxfId="358" priority="1229" operator="equal">
      <formula>"G"</formula>
    </cfRule>
    <cfRule type="cellIs" dxfId="357" priority="1230" operator="equal">
      <formula>"V"</formula>
    </cfRule>
  </conditionalFormatting>
  <conditionalFormatting sqref="G26:H26">
    <cfRule type="cellIs" dxfId="356" priority="1204" operator="equal">
      <formula>"M"</formula>
    </cfRule>
    <cfRule type="cellIs" dxfId="355" priority="1205" operator="equal">
      <formula>"G"</formula>
    </cfRule>
    <cfRule type="cellIs" dxfId="354" priority="1206" operator="equal">
      <formula>"V"</formula>
    </cfRule>
  </conditionalFormatting>
  <conditionalFormatting sqref="H5:I6">
    <cfRule type="cellIs" dxfId="353" priority="1291" operator="equal">
      <formula>"M"</formula>
    </cfRule>
    <cfRule type="cellIs" dxfId="352" priority="1292" operator="equal">
      <formula>"G"</formula>
    </cfRule>
    <cfRule type="cellIs" dxfId="351" priority="1293" operator="equal">
      <formula>"V"</formula>
    </cfRule>
  </conditionalFormatting>
  <conditionalFormatting sqref="H4:O4">
    <cfRule type="cellIs" dxfId="350" priority="1288" operator="equal">
      <formula>"M"</formula>
    </cfRule>
    <cfRule type="cellIs" dxfId="349" priority="1289" operator="equal">
      <formula>"G"</formula>
    </cfRule>
    <cfRule type="cellIs" dxfId="348" priority="1290" operator="equal">
      <formula>"V"</formula>
    </cfRule>
  </conditionalFormatting>
  <conditionalFormatting sqref="H19:U19">
    <cfRule type="cellIs" dxfId="347" priority="1246" operator="equal">
      <formula>"M"</formula>
    </cfRule>
    <cfRule type="cellIs" dxfId="346" priority="1247" operator="equal">
      <formula>"G"</formula>
    </cfRule>
    <cfRule type="cellIs" dxfId="345" priority="1248" operator="equal">
      <formula>"V"</formula>
    </cfRule>
  </conditionalFormatting>
  <conditionalFormatting sqref="H20:AC21">
    <cfRule type="cellIs" dxfId="344" priority="1081" operator="equal">
      <formula>"M"</formula>
    </cfRule>
    <cfRule type="cellIs" dxfId="343" priority="1082" operator="equal">
      <formula>"G"</formula>
    </cfRule>
    <cfRule type="cellIs" dxfId="342" priority="1083" operator="equal">
      <formula>"V"</formula>
    </cfRule>
  </conditionalFormatting>
  <conditionalFormatting sqref="H3:AG3">
    <cfRule type="cellIs" dxfId="341" priority="1270" operator="equal">
      <formula>"M"</formula>
    </cfRule>
    <cfRule type="cellIs" dxfId="340" priority="1271" operator="equal">
      <formula>"G"</formula>
    </cfRule>
    <cfRule type="cellIs" dxfId="339" priority="1272" operator="equal">
      <formula>"V"</formula>
    </cfRule>
  </conditionalFormatting>
  <conditionalFormatting sqref="I5:O5">
    <cfRule type="cellIs" dxfId="338" priority="1279" operator="equal">
      <formula>"M"</formula>
    </cfRule>
    <cfRule type="cellIs" dxfId="337" priority="1280" operator="equal">
      <formula>"G"</formula>
    </cfRule>
    <cfRule type="cellIs" dxfId="336" priority="1281" operator="equal">
      <formula>"V"</formula>
    </cfRule>
  </conditionalFormatting>
  <conditionalFormatting sqref="I13:U13">
    <cfRule type="cellIs" dxfId="335" priority="1213" operator="equal">
      <formula>"M"</formula>
    </cfRule>
    <cfRule type="cellIs" dxfId="334" priority="1214" operator="equal">
      <formula>"G"</formula>
    </cfRule>
    <cfRule type="cellIs" dxfId="333" priority="1215" operator="equal">
      <formula>"V"</formula>
    </cfRule>
  </conditionalFormatting>
  <conditionalFormatting sqref="I12:AC12">
    <cfRule type="cellIs" dxfId="332" priority="1216" operator="equal">
      <formula>"M"</formula>
    </cfRule>
    <cfRule type="cellIs" dxfId="331" priority="1217" operator="equal">
      <formula>"G"</formula>
    </cfRule>
    <cfRule type="cellIs" dxfId="330" priority="1218" operator="equal">
      <formula>"V"</formula>
    </cfRule>
  </conditionalFormatting>
  <conditionalFormatting sqref="I14:AC16">
    <cfRule type="cellIs" dxfId="329" priority="82" operator="equal">
      <formula>"M"</formula>
    </cfRule>
    <cfRule type="cellIs" dxfId="328" priority="83" operator="equal">
      <formula>"G"</formula>
    </cfRule>
    <cfRule type="cellIs" dxfId="327" priority="84" operator="equal">
      <formula>"V"</formula>
    </cfRule>
  </conditionalFormatting>
  <conditionalFormatting sqref="I6:AG6">
    <cfRule type="cellIs" dxfId="326" priority="1285" operator="equal">
      <formula>"M"</formula>
    </cfRule>
    <cfRule type="cellIs" dxfId="325" priority="1286" operator="equal">
      <formula>"G"</formula>
    </cfRule>
    <cfRule type="cellIs" dxfId="324" priority="1287" operator="equal">
      <formula>"V"</formula>
    </cfRule>
  </conditionalFormatting>
  <conditionalFormatting sqref="J18:K18">
    <cfRule type="cellIs" dxfId="323" priority="1237" operator="equal">
      <formula>"M"</formula>
    </cfRule>
    <cfRule type="cellIs" dxfId="322" priority="1238" operator="equal">
      <formula>"G"</formula>
    </cfRule>
    <cfRule type="cellIs" dxfId="321" priority="1239" operator="equal">
      <formula>"V"</formula>
    </cfRule>
  </conditionalFormatting>
  <conditionalFormatting sqref="J26:K26">
    <cfRule type="cellIs" dxfId="320" priority="1210" operator="equal">
      <formula>"M"</formula>
    </cfRule>
    <cfRule type="cellIs" dxfId="319" priority="1211" operator="equal">
      <formula>"G"</formula>
    </cfRule>
    <cfRule type="cellIs" dxfId="318" priority="1212" operator="equal">
      <formula>"V"</formula>
    </cfRule>
  </conditionalFormatting>
  <conditionalFormatting sqref="M18:N18">
    <cfRule type="cellIs" dxfId="317" priority="1243" operator="equal">
      <formula>"M"</formula>
    </cfRule>
    <cfRule type="cellIs" dxfId="316" priority="1244" operator="equal">
      <formula>"G"</formula>
    </cfRule>
    <cfRule type="cellIs" dxfId="315" priority="1245" operator="equal">
      <formula>"V"</formula>
    </cfRule>
  </conditionalFormatting>
  <conditionalFormatting sqref="M26:N26">
    <cfRule type="cellIs" dxfId="314" priority="1207" operator="equal">
      <formula>"M"</formula>
    </cfRule>
    <cfRule type="cellIs" dxfId="313" priority="1208" operator="equal">
      <formula>"G"</formula>
    </cfRule>
    <cfRule type="cellIs" dxfId="312" priority="1209" operator="equal">
      <formula>"V"</formula>
    </cfRule>
  </conditionalFormatting>
  <conditionalFormatting sqref="P18:Q18">
    <cfRule type="cellIs" dxfId="311" priority="1240" operator="equal">
      <formula>"M"</formula>
    </cfRule>
    <cfRule type="cellIs" dxfId="310" priority="1241" operator="equal">
      <formula>"G"</formula>
    </cfRule>
    <cfRule type="cellIs" dxfId="309" priority="1242" operator="equal">
      <formula>"V"</formula>
    </cfRule>
  </conditionalFormatting>
  <conditionalFormatting sqref="P26:U26">
    <cfRule type="cellIs" dxfId="308" priority="1201" operator="equal">
      <formula>"M"</formula>
    </cfRule>
    <cfRule type="cellIs" dxfId="307" priority="1202" operator="equal">
      <formula>"G"</formula>
    </cfRule>
    <cfRule type="cellIs" dxfId="306" priority="1203" operator="equal">
      <formula>"V"</formula>
    </cfRule>
  </conditionalFormatting>
  <conditionalFormatting sqref="P4:V5">
    <cfRule type="cellIs" dxfId="305" priority="1276" operator="equal">
      <formula>"M"</formula>
    </cfRule>
    <cfRule type="cellIs" dxfId="304" priority="1277" operator="equal">
      <formula>"G"</formula>
    </cfRule>
    <cfRule type="cellIs" dxfId="303" priority="1278" operator="equal">
      <formula>"V"</formula>
    </cfRule>
  </conditionalFormatting>
  <conditionalFormatting sqref="S5:T6">
    <cfRule type="cellIs" dxfId="302" priority="1294" operator="equal">
      <formula>"M"</formula>
    </cfRule>
    <cfRule type="cellIs" dxfId="301" priority="1295" operator="equal">
      <formula>"G"</formula>
    </cfRule>
    <cfRule type="cellIs" dxfId="300" priority="1296" operator="equal">
      <formula>"V"</formula>
    </cfRule>
  </conditionalFormatting>
  <conditionalFormatting sqref="S18:U18">
    <cfRule type="cellIs" dxfId="299" priority="1234" operator="equal">
      <formula>"M"</formula>
    </cfRule>
    <cfRule type="cellIs" dxfId="298" priority="1235" operator="equal">
      <formula>"G"</formula>
    </cfRule>
    <cfRule type="cellIs" dxfId="297" priority="1236" operator="equal">
      <formula>"V"</formula>
    </cfRule>
  </conditionalFormatting>
  <conditionalFormatting sqref="T2:U2">
    <cfRule type="cellIs" dxfId="296" priority="1303" operator="equal">
      <formula>"M"</formula>
    </cfRule>
    <cfRule type="cellIs" dxfId="295" priority="1304" operator="equal">
      <formula>"G"</formula>
    </cfRule>
    <cfRule type="cellIs" dxfId="294" priority="1305" operator="equal">
      <formula>"V"</formula>
    </cfRule>
  </conditionalFormatting>
  <conditionalFormatting sqref="V13:V16">
    <cfRule type="cellIs" dxfId="293" priority="1255" operator="equal">
      <formula>"M"</formula>
    </cfRule>
    <cfRule type="cellIs" dxfId="292" priority="1256" operator="equal">
      <formula>"G"</formula>
    </cfRule>
    <cfRule type="cellIs" dxfId="291" priority="1257" operator="equal">
      <formula>"V"</formula>
    </cfRule>
  </conditionalFormatting>
  <conditionalFormatting sqref="V19:V20">
    <cfRule type="cellIs" dxfId="290" priority="1222" operator="equal">
      <formula>"M"</formula>
    </cfRule>
    <cfRule type="cellIs" dxfId="289" priority="1223" operator="equal">
      <formula>"G"</formula>
    </cfRule>
    <cfRule type="cellIs" dxfId="288" priority="1224" operator="equal">
      <formula>"V"</formula>
    </cfRule>
  </conditionalFormatting>
  <conditionalFormatting sqref="V66:V71">
    <cfRule type="cellIs" dxfId="287" priority="1132" operator="equal">
      <formula>"M"</formula>
    </cfRule>
    <cfRule type="cellIs" dxfId="286" priority="1133" operator="equal">
      <formula>"G"</formula>
    </cfRule>
    <cfRule type="cellIs" dxfId="285" priority="1134" operator="equal">
      <formula>"V"</formula>
    </cfRule>
  </conditionalFormatting>
  <conditionalFormatting sqref="V74:V75">
    <cfRule type="cellIs" dxfId="284" priority="1096" operator="equal">
      <formula>"M"</formula>
    </cfRule>
    <cfRule type="cellIs" dxfId="283" priority="1097" operator="equal">
      <formula>"G"</formula>
    </cfRule>
    <cfRule type="cellIs" dxfId="282" priority="1098" operator="equal">
      <formula>"V"</formula>
    </cfRule>
  </conditionalFormatting>
  <conditionalFormatting sqref="V90:V91">
    <cfRule type="cellIs" dxfId="281" priority="1111" operator="equal">
      <formula>"M"</formula>
    </cfRule>
    <cfRule type="cellIs" dxfId="280" priority="1112" operator="equal">
      <formula>"G"</formula>
    </cfRule>
    <cfRule type="cellIs" dxfId="279" priority="1113" operator="equal">
      <formula>"V"</formula>
    </cfRule>
  </conditionalFormatting>
  <conditionalFormatting sqref="V98:V99 V101:V103">
    <cfRule type="cellIs" dxfId="278" priority="799" operator="equal">
      <formula>"M"</formula>
    </cfRule>
    <cfRule type="cellIs" dxfId="277" priority="800" operator="equal">
      <formula>"G"</formula>
    </cfRule>
    <cfRule type="cellIs" dxfId="276" priority="801" operator="equal">
      <formula>"V"</formula>
    </cfRule>
  </conditionalFormatting>
  <conditionalFormatting sqref="V100:AC100">
    <cfRule type="cellIs" dxfId="275" priority="7" operator="equal">
      <formula>"M"</formula>
    </cfRule>
    <cfRule type="cellIs" dxfId="274" priority="8" operator="equal">
      <formula>"G"</formula>
    </cfRule>
    <cfRule type="cellIs" dxfId="273" priority="9" operator="equal">
      <formula>"V"</formula>
    </cfRule>
  </conditionalFormatting>
  <conditionalFormatting sqref="V5:AG5">
    <cfRule type="cellIs" dxfId="272" priority="1273" operator="equal">
      <formula>"M"</formula>
    </cfRule>
    <cfRule type="cellIs" dxfId="271" priority="1274" operator="equal">
      <formula>"G"</formula>
    </cfRule>
    <cfRule type="cellIs" dxfId="270" priority="1275" operator="equal">
      <formula>"V"</formula>
    </cfRule>
  </conditionalFormatting>
  <conditionalFormatting sqref="W42:W43">
    <cfRule type="cellIs" dxfId="269" priority="1174" operator="equal">
      <formula>"M"</formula>
    </cfRule>
    <cfRule type="cellIs" dxfId="268" priority="1175" operator="equal">
      <formula>"G"</formula>
    </cfRule>
    <cfRule type="cellIs" dxfId="267" priority="1176" operator="equal">
      <formula>"V"</formula>
    </cfRule>
  </conditionalFormatting>
  <conditionalFormatting sqref="W2:X2">
    <cfRule type="cellIs" dxfId="266" priority="1312" operator="equal">
      <formula>"M"</formula>
    </cfRule>
    <cfRule type="cellIs" dxfId="265" priority="1313" operator="equal">
      <formula>"G"</formula>
    </cfRule>
    <cfRule type="cellIs" dxfId="264" priority="1314" operator="equal">
      <formula>"V"</formula>
    </cfRule>
  </conditionalFormatting>
  <conditionalFormatting sqref="W18:X18">
    <cfRule type="cellIs" dxfId="263" priority="1231" operator="equal">
      <formula>"M"</formula>
    </cfRule>
    <cfRule type="cellIs" dxfId="262" priority="1232" operator="equal">
      <formula>"G"</formula>
    </cfRule>
    <cfRule type="cellIs" dxfId="261" priority="1233" operator="equal">
      <formula>"V"</formula>
    </cfRule>
  </conditionalFormatting>
  <conditionalFormatting sqref="W13:AC13">
    <cfRule type="cellIs" dxfId="260" priority="1258" operator="equal">
      <formula>"M"</formula>
    </cfRule>
    <cfRule type="cellIs" dxfId="259" priority="1259" operator="equal">
      <formula>"G"</formula>
    </cfRule>
    <cfRule type="cellIs" dxfId="258" priority="1260" operator="equal">
      <formula>"V"</formula>
    </cfRule>
  </conditionalFormatting>
  <conditionalFormatting sqref="W19:AC19">
    <cfRule type="cellIs" dxfId="257" priority="1225" operator="equal">
      <formula>"M"</formula>
    </cfRule>
    <cfRule type="cellIs" dxfId="256" priority="1226" operator="equal">
      <formula>"G"</formula>
    </cfRule>
    <cfRule type="cellIs" dxfId="255" priority="1227" operator="equal">
      <formula>"V"</formula>
    </cfRule>
  </conditionalFormatting>
  <conditionalFormatting sqref="W68:AC71">
    <cfRule type="cellIs" dxfId="254" priority="1144" operator="equal">
      <formula>"M"</formula>
    </cfRule>
    <cfRule type="cellIs" dxfId="253" priority="1145" operator="equal">
      <formula>"G"</formula>
    </cfRule>
    <cfRule type="cellIs" dxfId="252" priority="1146" operator="equal">
      <formula>"V"</formula>
    </cfRule>
  </conditionalFormatting>
  <conditionalFormatting sqref="W75:AC75">
    <cfRule type="cellIs" dxfId="251" priority="1099" operator="equal">
      <formula>"M"</formula>
    </cfRule>
    <cfRule type="cellIs" dxfId="250" priority="1100" operator="equal">
      <formula>"G"</formula>
    </cfRule>
    <cfRule type="cellIs" dxfId="249" priority="1101" operator="equal">
      <formula>"V"</formula>
    </cfRule>
  </conditionalFormatting>
  <conditionalFormatting sqref="W99:AC99 W101:AC102">
    <cfRule type="cellIs" dxfId="248" priority="1000" operator="equal">
      <formula>"M"</formula>
    </cfRule>
    <cfRule type="cellIs" dxfId="247" priority="1001" operator="equal">
      <formula>"G"</formula>
    </cfRule>
    <cfRule type="cellIs" dxfId="246" priority="1002" operator="equal">
      <formula>"V"</formula>
    </cfRule>
  </conditionalFormatting>
  <conditionalFormatting sqref="W26:AE26">
    <cfRule type="cellIs" dxfId="245" priority="1198" operator="equal">
      <formula>"M"</formula>
    </cfRule>
    <cfRule type="cellIs" dxfId="244" priority="1199" operator="equal">
      <formula>"G"</formula>
    </cfRule>
    <cfRule type="cellIs" dxfId="243" priority="1200" operator="equal">
      <formula>"V"</formula>
    </cfRule>
  </conditionalFormatting>
  <conditionalFormatting sqref="W4:AG4">
    <cfRule type="cellIs" dxfId="242" priority="1267" operator="equal">
      <formula>"M"</formula>
    </cfRule>
    <cfRule type="cellIs" dxfId="241" priority="1268" operator="equal">
      <formula>"G"</formula>
    </cfRule>
    <cfRule type="cellIs" dxfId="240" priority="1269" operator="equal">
      <formula>"V"</formula>
    </cfRule>
  </conditionalFormatting>
  <conditionalFormatting sqref="W67:AG67">
    <cfRule type="cellIs" dxfId="239" priority="94" operator="equal">
      <formula>"M"</formula>
    </cfRule>
    <cfRule type="cellIs" dxfId="238" priority="95" operator="equal">
      <formula>"G"</formula>
    </cfRule>
    <cfRule type="cellIs" dxfId="237" priority="96" operator="equal">
      <formula>"V"</formula>
    </cfRule>
  </conditionalFormatting>
  <conditionalFormatting sqref="W91:AG91">
    <cfRule type="cellIs" dxfId="236" priority="190" operator="equal">
      <formula>"M"</formula>
    </cfRule>
    <cfRule type="cellIs" dxfId="235" priority="191" operator="equal">
      <formula>"G"</formula>
    </cfRule>
    <cfRule type="cellIs" dxfId="234" priority="192" operator="equal">
      <formula>"V"</formula>
    </cfRule>
  </conditionalFormatting>
  <conditionalFormatting sqref="W103:AG103">
    <cfRule type="cellIs" dxfId="233" priority="10" operator="equal">
      <formula>"M"</formula>
    </cfRule>
    <cfRule type="cellIs" dxfId="232" priority="11" operator="equal">
      <formula>"G"</formula>
    </cfRule>
    <cfRule type="cellIs" dxfId="231" priority="12" operator="equal">
      <formula>"V"</formula>
    </cfRule>
  </conditionalFormatting>
  <conditionalFormatting sqref="X43:AF43">
    <cfRule type="cellIs" dxfId="230" priority="319" operator="equal">
      <formula>"M"</formula>
    </cfRule>
    <cfRule type="cellIs" dxfId="229" priority="320" operator="equal">
      <formula>"G"</formula>
    </cfRule>
    <cfRule type="cellIs" dxfId="228" priority="321" operator="equal">
      <formula>"V"</formula>
    </cfRule>
  </conditionalFormatting>
  <conditionalFormatting sqref="Z2:AA2">
    <cfRule type="cellIs" dxfId="227" priority="1306" operator="equal">
      <formula>"M"</formula>
    </cfRule>
    <cfRule type="cellIs" dxfId="226" priority="1307" operator="equal">
      <formula>"G"</formula>
    </cfRule>
    <cfRule type="cellIs" dxfId="225" priority="1308" operator="equal">
      <formula>"V"</formula>
    </cfRule>
  </conditionalFormatting>
  <conditionalFormatting sqref="Z18:AE18">
    <cfRule type="cellIs" dxfId="224" priority="1219" operator="equal">
      <formula>"M"</formula>
    </cfRule>
    <cfRule type="cellIs" dxfId="223" priority="1220" operator="equal">
      <formula>"G"</formula>
    </cfRule>
    <cfRule type="cellIs" dxfId="222" priority="1221" operator="equal">
      <formula>"V"</formula>
    </cfRule>
  </conditionalFormatting>
  <conditionalFormatting sqref="AC2:AD3">
    <cfRule type="cellIs" dxfId="221" priority="1309" operator="equal">
      <formula>"M"</formula>
    </cfRule>
    <cfRule type="cellIs" dxfId="220" priority="1310" operator="equal">
      <formula>"G"</formula>
    </cfRule>
    <cfRule type="cellIs" dxfId="219" priority="1311" operator="equal">
      <formula>"V"</formula>
    </cfRule>
  </conditionalFormatting>
  <conditionalFormatting sqref="AD2:AE2">
    <cfRule type="cellIs" dxfId="218" priority="1300" operator="equal">
      <formula>"M"</formula>
    </cfRule>
    <cfRule type="cellIs" dxfId="217" priority="1301" operator="equal">
      <formula>"G"</formula>
    </cfRule>
    <cfRule type="cellIs" dxfId="216" priority="1302" operator="equal">
      <formula>"V"</formula>
    </cfRule>
  </conditionalFormatting>
  <conditionalFormatting sqref="AD50:AE52">
    <cfRule type="cellIs" dxfId="215" priority="1141" operator="equal">
      <formula>"M"</formula>
    </cfRule>
    <cfRule type="cellIs" dxfId="214" priority="1142" operator="equal">
      <formula>"G"</formula>
    </cfRule>
    <cfRule type="cellIs" dxfId="213" priority="1143" operator="equal">
      <formula>"V"</formula>
    </cfRule>
  </conditionalFormatting>
  <conditionalFormatting sqref="AD11:AG16">
    <cfRule type="cellIs" dxfId="212" priority="1264" operator="equal">
      <formula>"M"</formula>
    </cfRule>
    <cfRule type="cellIs" dxfId="211" priority="1265" operator="equal">
      <formula>"G"</formula>
    </cfRule>
    <cfRule type="cellIs" dxfId="210" priority="1266" operator="equal">
      <formula>"V"</formula>
    </cfRule>
  </conditionalFormatting>
  <conditionalFormatting sqref="AD19:AG24">
    <cfRule type="cellIs" dxfId="209" priority="1078" operator="equal">
      <formula>"M"</formula>
    </cfRule>
    <cfRule type="cellIs" dxfId="208" priority="1079" operator="equal">
      <formula>"G"</formula>
    </cfRule>
    <cfRule type="cellIs" dxfId="207" priority="1080" operator="equal">
      <formula>"V"</formula>
    </cfRule>
  </conditionalFormatting>
  <conditionalFormatting sqref="AD68:AG72">
    <cfRule type="cellIs" dxfId="206" priority="1129" operator="equal">
      <formula>"M"</formula>
    </cfRule>
    <cfRule type="cellIs" dxfId="205" priority="1130" operator="equal">
      <formula>"G"</formula>
    </cfRule>
    <cfRule type="cellIs" dxfId="204" priority="1131" operator="equal">
      <formula>"V"</formula>
    </cfRule>
  </conditionalFormatting>
  <conditionalFormatting sqref="AD74:AG75">
    <cfRule type="cellIs" dxfId="203" priority="1090" operator="equal">
      <formula>"M"</formula>
    </cfRule>
    <cfRule type="cellIs" dxfId="202" priority="1091" operator="equal">
      <formula>"G"</formula>
    </cfRule>
    <cfRule type="cellIs" dxfId="201" priority="1092" operator="equal">
      <formula>"V"</formula>
    </cfRule>
  </conditionalFormatting>
  <conditionalFormatting sqref="AD98:AG102">
    <cfRule type="cellIs" dxfId="200" priority="1" operator="equal">
      <formula>"M"</formula>
    </cfRule>
    <cfRule type="cellIs" dxfId="199" priority="2" operator="equal">
      <formula>"G"</formula>
    </cfRule>
    <cfRule type="cellIs" dxfId="198" priority="3" operator="equal">
      <formula>"V"</formula>
    </cfRule>
  </conditionalFormatting>
  <conditionalFormatting sqref="AE58">
    <cfRule type="cellIs" dxfId="197" priority="1135" operator="equal">
      <formula>"M"</formula>
    </cfRule>
    <cfRule type="cellIs" dxfId="196" priority="1136" operator="equal">
      <formula>"G"</formula>
    </cfRule>
    <cfRule type="cellIs" dxfId="195" priority="1137" operator="equal">
      <formula>"V"</formula>
    </cfRule>
  </conditionalFormatting>
  <conditionalFormatting sqref="AF51:AF53">
    <cfRule type="cellIs" dxfId="194" priority="1153" operator="equal">
      <formula>"M"</formula>
    </cfRule>
    <cfRule type="cellIs" dxfId="193" priority="1154" operator="equal">
      <formula>"G"</formula>
    </cfRule>
    <cfRule type="cellIs" dxfId="192" priority="1155" operator="equal">
      <formula>"V"</formula>
    </cfRule>
  </conditionalFormatting>
  <conditionalFormatting sqref="AG42:AG48">
    <cfRule type="cellIs" dxfId="191" priority="1171" operator="equal">
      <formula>"M"</formula>
    </cfRule>
    <cfRule type="cellIs" dxfId="190" priority="1172" operator="equal">
      <formula>"G"</formula>
    </cfRule>
    <cfRule type="cellIs" dxfId="189" priority="1173" operator="equal">
      <formula>"V"</formula>
    </cfRule>
  </conditionalFormatting>
  <conditionalFormatting sqref="AG50:AG56">
    <cfRule type="cellIs" dxfId="188" priority="1156" operator="equal">
      <formula>"M"</formula>
    </cfRule>
    <cfRule type="cellIs" dxfId="187" priority="1157" operator="equal">
      <formula>"G"</formula>
    </cfRule>
    <cfRule type="cellIs" dxfId="186" priority="1158" operator="equal">
      <formula>"V"</formula>
    </cfRule>
  </conditionalFormatting>
  <hyperlinks>
    <hyperlink ref="AH1" r:id="rId1" xr:uid="{AA17103E-6722-4E96-8953-4D69850ADD82}"/>
    <hyperlink ref="AH3" r:id="rId2" display="Fichero de vacaciones oficial 2025 - Bueno" xr:uid="{B58F4148-9E9A-46EE-A52A-369249AD36CC}"/>
    <hyperlink ref="AH41" r:id="rId3" display="Fichero de vacaciones oficial 2025 - Bueno" xr:uid="{E65D0AB1-721B-4362-BEEF-96DB35F3913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0B4B-18CB-43CF-B69E-4E31244A2921}">
  <dimension ref="A1:AH29"/>
  <sheetViews>
    <sheetView workbookViewId="0">
      <selection activeCell="L17" sqref="L17"/>
    </sheetView>
  </sheetViews>
  <sheetFormatPr defaultColWidth="9.140625" defaultRowHeight="15"/>
  <cols>
    <col min="2" max="2" width="26" bestFit="1" customWidth="1"/>
    <col min="3" max="4" width="9.140625" bestFit="1" customWidth="1"/>
  </cols>
  <sheetData>
    <row r="1" spans="1:34">
      <c r="D1" s="37" t="s">
        <v>84</v>
      </c>
      <c r="E1" s="37" t="s">
        <v>85</v>
      </c>
      <c r="F1" s="37" t="s">
        <v>86</v>
      </c>
      <c r="G1" s="37" t="s">
        <v>87</v>
      </c>
      <c r="H1" s="37" t="s">
        <v>88</v>
      </c>
      <c r="I1" s="37" t="s">
        <v>89</v>
      </c>
      <c r="J1" s="37" t="s">
        <v>90</v>
      </c>
      <c r="K1" s="37" t="s">
        <v>84</v>
      </c>
      <c r="L1" s="37" t="s">
        <v>85</v>
      </c>
      <c r="M1" s="37" t="s">
        <v>86</v>
      </c>
      <c r="N1" s="37" t="s">
        <v>87</v>
      </c>
      <c r="O1" s="37" t="s">
        <v>88</v>
      </c>
    </row>
    <row r="2" spans="1:34">
      <c r="A2" s="130"/>
      <c r="B2" s="794" t="s">
        <v>30</v>
      </c>
      <c r="C2" s="794" t="s">
        <v>32</v>
      </c>
      <c r="D2" s="795">
        <v>20</v>
      </c>
      <c r="E2" s="795">
        <v>21</v>
      </c>
      <c r="F2" s="795">
        <v>22</v>
      </c>
      <c r="G2" s="795">
        <v>23</v>
      </c>
      <c r="H2" s="795">
        <v>24</v>
      </c>
      <c r="I2" s="795">
        <v>25</v>
      </c>
      <c r="J2" s="795">
        <v>26</v>
      </c>
      <c r="K2" s="795">
        <v>27</v>
      </c>
      <c r="L2" s="795">
        <v>28</v>
      </c>
      <c r="M2" s="795">
        <v>29</v>
      </c>
      <c r="N2" s="795">
        <v>30</v>
      </c>
      <c r="O2" s="796">
        <v>31</v>
      </c>
      <c r="P2" s="91"/>
      <c r="AA2" s="91"/>
      <c r="AB2" s="91"/>
      <c r="AC2" s="91"/>
      <c r="AD2" s="91"/>
      <c r="AE2" s="91"/>
      <c r="AF2" s="91"/>
      <c r="AG2" s="91"/>
      <c r="AH2" s="91"/>
    </row>
    <row r="3" spans="1:34">
      <c r="A3" s="130"/>
      <c r="B3" s="791" t="s">
        <v>91</v>
      </c>
      <c r="C3" s="791" t="s">
        <v>92</v>
      </c>
      <c r="D3" s="793" t="s">
        <v>93</v>
      </c>
      <c r="E3" s="793" t="s">
        <v>93</v>
      </c>
      <c r="F3" s="792">
        <v>1</v>
      </c>
      <c r="G3" s="792">
        <v>1</v>
      </c>
      <c r="H3" s="792">
        <v>0</v>
      </c>
      <c r="I3" s="792" t="s">
        <v>93</v>
      </c>
      <c r="J3" s="793">
        <v>0</v>
      </c>
      <c r="K3" s="793" t="s">
        <v>93</v>
      </c>
      <c r="L3" s="793" t="s">
        <v>93</v>
      </c>
      <c r="M3" s="792">
        <v>1</v>
      </c>
      <c r="N3" s="793">
        <v>0</v>
      </c>
      <c r="O3" s="792" t="s">
        <v>9</v>
      </c>
      <c r="P3" s="793"/>
      <c r="AA3" s="91"/>
      <c r="AB3" s="91"/>
      <c r="AC3" s="91"/>
      <c r="AD3" s="91"/>
      <c r="AE3" s="91"/>
      <c r="AF3" s="91"/>
      <c r="AG3" s="91"/>
      <c r="AH3" s="91"/>
    </row>
    <row r="4" spans="1:34">
      <c r="A4" s="130"/>
      <c r="B4" s="791" t="s">
        <v>94</v>
      </c>
      <c r="C4" s="791" t="s">
        <v>92</v>
      </c>
      <c r="D4" s="793" t="s">
        <v>93</v>
      </c>
      <c r="E4" s="793" t="s">
        <v>93</v>
      </c>
      <c r="F4" s="792" t="s">
        <v>9</v>
      </c>
      <c r="G4" s="792" t="s">
        <v>9</v>
      </c>
      <c r="H4" s="792" t="s">
        <v>66</v>
      </c>
      <c r="I4" s="792" t="s">
        <v>93</v>
      </c>
      <c r="J4" s="792" t="s">
        <v>9</v>
      </c>
      <c r="K4" s="793" t="s">
        <v>93</v>
      </c>
      <c r="L4" s="793" t="s">
        <v>93</v>
      </c>
      <c r="M4" s="792" t="s">
        <v>9</v>
      </c>
      <c r="N4" s="792" t="s">
        <v>9</v>
      </c>
      <c r="O4" s="792">
        <v>0</v>
      </c>
      <c r="P4" s="793"/>
      <c r="AA4" s="91"/>
      <c r="AB4" s="91"/>
      <c r="AC4" s="91"/>
      <c r="AD4" s="91"/>
      <c r="AE4" s="91"/>
      <c r="AF4" s="91"/>
      <c r="AG4" s="91"/>
      <c r="AH4" s="91"/>
    </row>
    <row r="5" spans="1:34">
      <c r="A5" s="130"/>
      <c r="B5" s="791" t="s">
        <v>95</v>
      </c>
      <c r="C5" s="791" t="s">
        <v>92</v>
      </c>
      <c r="D5" s="793" t="s">
        <v>93</v>
      </c>
      <c r="E5" s="793" t="s">
        <v>93</v>
      </c>
      <c r="F5" s="792" t="s">
        <v>9</v>
      </c>
      <c r="G5" s="792" t="s">
        <v>9</v>
      </c>
      <c r="H5" s="792" t="s">
        <v>9</v>
      </c>
      <c r="I5" s="792" t="s">
        <v>93</v>
      </c>
      <c r="J5" s="793" t="s">
        <v>66</v>
      </c>
      <c r="K5" s="793" t="s">
        <v>93</v>
      </c>
      <c r="L5" s="793" t="s">
        <v>93</v>
      </c>
      <c r="M5" s="792">
        <v>1</v>
      </c>
      <c r="N5" s="793">
        <v>0</v>
      </c>
      <c r="O5" s="792" t="s">
        <v>66</v>
      </c>
      <c r="P5" s="793"/>
      <c r="AA5" s="91"/>
      <c r="AB5" s="91"/>
      <c r="AC5" s="91"/>
      <c r="AD5" s="91"/>
      <c r="AE5" s="91"/>
      <c r="AF5" s="91"/>
      <c r="AG5" s="91"/>
      <c r="AH5" s="91"/>
    </row>
    <row r="6" spans="1:34">
      <c r="A6" s="130"/>
      <c r="B6" s="791" t="s">
        <v>96</v>
      </c>
      <c r="C6" s="791" t="s">
        <v>92</v>
      </c>
      <c r="D6" s="793" t="s">
        <v>93</v>
      </c>
      <c r="E6" s="793" t="s">
        <v>93</v>
      </c>
      <c r="F6" s="793">
        <v>0</v>
      </c>
      <c r="G6" s="793">
        <v>0</v>
      </c>
      <c r="H6" s="793">
        <v>1</v>
      </c>
      <c r="I6" s="792" t="s">
        <v>93</v>
      </c>
      <c r="J6" s="793">
        <v>1</v>
      </c>
      <c r="K6" s="793" t="s">
        <v>93</v>
      </c>
      <c r="L6" s="793" t="s">
        <v>93</v>
      </c>
      <c r="M6" s="792">
        <v>0</v>
      </c>
      <c r="N6" s="793">
        <v>1</v>
      </c>
      <c r="O6" s="792">
        <v>1</v>
      </c>
      <c r="P6" s="793"/>
      <c r="AA6" s="279"/>
      <c r="AB6" s="279"/>
      <c r="AC6" s="279"/>
      <c r="AD6" s="279"/>
      <c r="AE6" s="279"/>
      <c r="AF6" s="279"/>
      <c r="AG6" s="279"/>
      <c r="AH6" s="279"/>
    </row>
    <row r="7" spans="1:34">
      <c r="A7" s="130"/>
      <c r="B7" s="791" t="s">
        <v>97</v>
      </c>
      <c r="C7" s="791" t="s">
        <v>92</v>
      </c>
      <c r="D7" s="793" t="s">
        <v>93</v>
      </c>
      <c r="E7" s="793" t="s">
        <v>93</v>
      </c>
      <c r="F7" s="792">
        <v>0</v>
      </c>
      <c r="G7" s="792">
        <v>1</v>
      </c>
      <c r="H7" s="792">
        <v>0</v>
      </c>
      <c r="I7" s="792" t="s">
        <v>93</v>
      </c>
      <c r="J7" s="793">
        <v>1</v>
      </c>
      <c r="K7" s="793" t="s">
        <v>93</v>
      </c>
      <c r="L7" s="793" t="s">
        <v>93</v>
      </c>
      <c r="M7" s="792">
        <v>0</v>
      </c>
      <c r="N7" s="793">
        <v>1</v>
      </c>
      <c r="O7" s="792" t="s">
        <v>66</v>
      </c>
      <c r="P7" s="793"/>
      <c r="AA7" s="130"/>
      <c r="AB7" s="130"/>
      <c r="AC7" s="130"/>
      <c r="AD7" s="130"/>
      <c r="AE7" s="130"/>
      <c r="AF7" s="130"/>
      <c r="AG7" s="130"/>
      <c r="AH7" s="130"/>
    </row>
    <row r="8" spans="1:34">
      <c r="A8" s="130"/>
      <c r="B8" s="791" t="s">
        <v>98</v>
      </c>
      <c r="C8" s="791" t="s">
        <v>92</v>
      </c>
      <c r="D8" s="793" t="s">
        <v>93</v>
      </c>
      <c r="E8" s="793" t="s">
        <v>93</v>
      </c>
      <c r="F8" s="792" t="s">
        <v>9</v>
      </c>
      <c r="G8" s="792" t="s">
        <v>9</v>
      </c>
      <c r="H8" s="792" t="s">
        <v>9</v>
      </c>
      <c r="I8" s="792" t="s">
        <v>93</v>
      </c>
      <c r="J8" s="793" t="s">
        <v>66</v>
      </c>
      <c r="K8" s="793" t="s">
        <v>93</v>
      </c>
      <c r="L8" s="793" t="s">
        <v>93</v>
      </c>
      <c r="M8" s="792" t="s">
        <v>9</v>
      </c>
      <c r="N8" s="793" t="s">
        <v>9</v>
      </c>
      <c r="O8" s="792">
        <v>1</v>
      </c>
      <c r="P8" s="793"/>
      <c r="AA8" s="91"/>
      <c r="AB8" s="91"/>
      <c r="AC8" s="91"/>
      <c r="AD8" s="91"/>
      <c r="AE8" s="91"/>
      <c r="AF8" s="91"/>
      <c r="AG8" s="91"/>
      <c r="AH8" s="91"/>
    </row>
    <row r="9" spans="1:34">
      <c r="A9" s="130"/>
      <c r="B9" s="791" t="s">
        <v>99</v>
      </c>
      <c r="C9" s="791" t="s">
        <v>92</v>
      </c>
      <c r="D9" s="793" t="s">
        <v>93</v>
      </c>
      <c r="E9" s="793" t="s">
        <v>93</v>
      </c>
      <c r="F9" s="792">
        <v>0</v>
      </c>
      <c r="G9" s="792">
        <v>1</v>
      </c>
      <c r="H9" s="792">
        <v>1</v>
      </c>
      <c r="I9" s="792" t="s">
        <v>93</v>
      </c>
      <c r="J9" s="793">
        <v>0</v>
      </c>
      <c r="K9" s="793" t="s">
        <v>93</v>
      </c>
      <c r="L9" s="793" t="s">
        <v>93</v>
      </c>
      <c r="M9" s="793" t="s">
        <v>9</v>
      </c>
      <c r="N9" s="793" t="s">
        <v>9</v>
      </c>
      <c r="O9" s="793" t="s">
        <v>66</v>
      </c>
      <c r="P9" s="793"/>
      <c r="AA9" s="91"/>
      <c r="AB9" s="91"/>
      <c r="AC9" s="91"/>
      <c r="AD9" s="91"/>
      <c r="AE9" s="91"/>
      <c r="AF9" s="91"/>
      <c r="AG9" s="91"/>
      <c r="AH9" s="91"/>
    </row>
    <row r="10" spans="1:34">
      <c r="A10" s="130"/>
      <c r="B10" s="791" t="s">
        <v>100</v>
      </c>
      <c r="C10" s="791" t="s">
        <v>92</v>
      </c>
      <c r="D10" s="793" t="s">
        <v>93</v>
      </c>
      <c r="E10" s="793" t="s">
        <v>93</v>
      </c>
      <c r="F10" s="793">
        <v>1</v>
      </c>
      <c r="G10" s="793" t="s">
        <v>9</v>
      </c>
      <c r="H10" s="793" t="s">
        <v>9</v>
      </c>
      <c r="I10" s="792" t="s">
        <v>93</v>
      </c>
      <c r="J10" s="793" t="s">
        <v>9</v>
      </c>
      <c r="K10" s="793" t="s">
        <v>93</v>
      </c>
      <c r="L10" s="793" t="s">
        <v>93</v>
      </c>
      <c r="M10" s="793" t="s">
        <v>9</v>
      </c>
      <c r="N10" s="793" t="s">
        <v>9</v>
      </c>
      <c r="O10" s="793" t="s">
        <v>66</v>
      </c>
      <c r="P10" s="793"/>
      <c r="AA10" s="91"/>
      <c r="AB10" s="91"/>
      <c r="AC10" s="91"/>
      <c r="AD10" s="91"/>
      <c r="AE10" s="91"/>
      <c r="AF10" s="91"/>
      <c r="AG10" s="91"/>
      <c r="AH10" s="91"/>
    </row>
    <row r="11" spans="1:34">
      <c r="A11" s="130"/>
      <c r="B11" s="791" t="s">
        <v>101</v>
      </c>
      <c r="C11" s="791" t="s">
        <v>92</v>
      </c>
      <c r="D11" s="793" t="s">
        <v>93</v>
      </c>
      <c r="E11" s="793" t="s">
        <v>93</v>
      </c>
      <c r="F11" s="792" t="s">
        <v>66</v>
      </c>
      <c r="G11" s="792" t="s">
        <v>66</v>
      </c>
      <c r="H11" s="792" t="s">
        <v>9</v>
      </c>
      <c r="I11" s="792" t="s">
        <v>93</v>
      </c>
      <c r="J11" s="792" t="s">
        <v>9</v>
      </c>
      <c r="K11" s="793" t="s">
        <v>93</v>
      </c>
      <c r="L11" s="793" t="s">
        <v>93</v>
      </c>
      <c r="M11" s="792" t="s">
        <v>9</v>
      </c>
      <c r="N11" s="792" t="s">
        <v>9</v>
      </c>
      <c r="O11" s="792" t="s">
        <v>9</v>
      </c>
      <c r="P11" s="793"/>
      <c r="AA11" s="91"/>
      <c r="AB11" s="91"/>
      <c r="AC11" s="91"/>
      <c r="AD11" s="91"/>
      <c r="AE11" s="91"/>
      <c r="AF11" s="91"/>
      <c r="AG11" s="91"/>
      <c r="AH11" s="91"/>
    </row>
    <row r="12" spans="1:34">
      <c r="B12" s="908" t="s">
        <v>102</v>
      </c>
      <c r="C12" s="908"/>
      <c r="D12" s="793"/>
      <c r="E12" s="793"/>
      <c r="F12" s="792">
        <f>SUM(F3:F11)</f>
        <v>2</v>
      </c>
      <c r="G12" s="792">
        <f>SUM(G3:G11)</f>
        <v>3</v>
      </c>
      <c r="H12" s="792">
        <f>SUM(H3:H11)</f>
        <v>2</v>
      </c>
      <c r="I12" s="792"/>
      <c r="J12" s="792">
        <f>SUM(J3:J11)</f>
        <v>2</v>
      </c>
      <c r="K12" s="792"/>
      <c r="L12" s="792"/>
      <c r="M12" s="792">
        <f>SUM(M3:M11)</f>
        <v>2</v>
      </c>
      <c r="N12" s="792">
        <f>SUM(N3:N11)</f>
        <v>2</v>
      </c>
      <c r="O12" s="792">
        <f>SUM(O3:O11)</f>
        <v>2</v>
      </c>
      <c r="P12" s="798"/>
    </row>
    <row r="13" spans="1:34">
      <c r="B13" s="797"/>
      <c r="C13" s="797"/>
      <c r="D13" s="798"/>
      <c r="E13" s="798"/>
      <c r="F13" s="799"/>
      <c r="G13" s="799"/>
      <c r="H13" s="799"/>
      <c r="I13" s="799"/>
      <c r="J13" s="799"/>
      <c r="K13" s="798"/>
      <c r="L13" s="798"/>
      <c r="M13" s="799"/>
      <c r="N13" s="798"/>
      <c r="O13" s="798"/>
      <c r="P13" s="798"/>
    </row>
    <row r="14" spans="1:34">
      <c r="D14" s="37" t="s">
        <v>28</v>
      </c>
      <c r="E14" s="37" t="s">
        <v>9</v>
      </c>
      <c r="F14" s="37" t="s">
        <v>84</v>
      </c>
      <c r="G14" s="37" t="s">
        <v>85</v>
      </c>
      <c r="H14" s="37" t="s">
        <v>86</v>
      </c>
      <c r="I14" s="37" t="s">
        <v>87</v>
      </c>
      <c r="J14" s="37" t="s">
        <v>88</v>
      </c>
      <c r="K14" s="37" t="s">
        <v>28</v>
      </c>
      <c r="L14" s="37" t="s">
        <v>9</v>
      </c>
      <c r="M14" s="37" t="s">
        <v>84</v>
      </c>
      <c r="N14" s="37" t="s">
        <v>85</v>
      </c>
      <c r="AA14" s="279"/>
      <c r="AB14" s="279"/>
      <c r="AC14" s="279"/>
      <c r="AD14" s="279"/>
      <c r="AE14" s="279"/>
      <c r="AF14" s="279"/>
      <c r="AG14" s="279"/>
      <c r="AH14" s="279"/>
    </row>
    <row r="15" spans="1:34">
      <c r="B15" s="782" t="s">
        <v>30</v>
      </c>
      <c r="C15" s="782" t="s">
        <v>32</v>
      </c>
      <c r="D15" s="803">
        <v>1</v>
      </c>
      <c r="E15" s="803">
        <v>2</v>
      </c>
      <c r="F15" s="803" t="s">
        <v>103</v>
      </c>
      <c r="G15" s="803">
        <v>4</v>
      </c>
      <c r="H15" s="803" t="s">
        <v>104</v>
      </c>
      <c r="I15" s="803">
        <v>6</v>
      </c>
      <c r="J15" s="803">
        <v>7</v>
      </c>
      <c r="K15" s="803">
        <v>8</v>
      </c>
      <c r="L15" s="803">
        <v>9</v>
      </c>
      <c r="M15" s="803">
        <v>10</v>
      </c>
      <c r="N15" s="803">
        <v>11</v>
      </c>
    </row>
    <row r="16" spans="1:34">
      <c r="B16" s="786" t="s">
        <v>94</v>
      </c>
      <c r="C16" s="787" t="s">
        <v>105</v>
      </c>
      <c r="D16" s="783" t="s">
        <v>93</v>
      </c>
      <c r="E16" s="787">
        <v>0</v>
      </c>
      <c r="F16" s="783" t="s">
        <v>93</v>
      </c>
      <c r="G16" s="783" t="s">
        <v>93</v>
      </c>
      <c r="H16" s="787">
        <v>1</v>
      </c>
      <c r="I16" s="783" t="s">
        <v>93</v>
      </c>
      <c r="J16" s="787">
        <v>0</v>
      </c>
      <c r="K16" s="787">
        <v>0</v>
      </c>
      <c r="L16" s="787">
        <v>1</v>
      </c>
      <c r="M16" s="783" t="s">
        <v>93</v>
      </c>
      <c r="N16" s="785" t="s">
        <v>93</v>
      </c>
    </row>
    <row r="17" spans="2:14">
      <c r="B17" s="786" t="s">
        <v>99</v>
      </c>
      <c r="C17" s="787" t="s">
        <v>105</v>
      </c>
      <c r="D17" s="783" t="s">
        <v>93</v>
      </c>
      <c r="E17" s="788" t="s">
        <v>9</v>
      </c>
      <c r="F17" s="783" t="s">
        <v>93</v>
      </c>
      <c r="G17" s="783" t="s">
        <v>93</v>
      </c>
      <c r="H17" s="788" t="s">
        <v>9</v>
      </c>
      <c r="I17" s="783" t="s">
        <v>93</v>
      </c>
      <c r="J17" s="788" t="s">
        <v>9</v>
      </c>
      <c r="K17" s="789">
        <v>0</v>
      </c>
      <c r="L17" s="789">
        <v>1</v>
      </c>
      <c r="M17" s="783" t="s">
        <v>93</v>
      </c>
      <c r="N17" s="785" t="s">
        <v>93</v>
      </c>
    </row>
    <row r="18" spans="2:14">
      <c r="B18" s="786" t="s">
        <v>96</v>
      </c>
      <c r="C18" s="787" t="s">
        <v>105</v>
      </c>
      <c r="D18" s="783" t="s">
        <v>93</v>
      </c>
      <c r="E18" s="787">
        <v>1</v>
      </c>
      <c r="F18" s="783" t="s">
        <v>93</v>
      </c>
      <c r="G18" s="783" t="s">
        <v>93</v>
      </c>
      <c r="H18" s="787">
        <v>0</v>
      </c>
      <c r="I18" s="783" t="s">
        <v>93</v>
      </c>
      <c r="J18" s="787">
        <v>1</v>
      </c>
      <c r="K18" s="787">
        <v>1</v>
      </c>
      <c r="L18" s="787">
        <v>0</v>
      </c>
      <c r="M18" s="783" t="s">
        <v>93</v>
      </c>
      <c r="N18" s="785" t="s">
        <v>93</v>
      </c>
    </row>
    <row r="19" spans="2:14">
      <c r="B19" s="786" t="s">
        <v>91</v>
      </c>
      <c r="C19" s="787" t="s">
        <v>105</v>
      </c>
      <c r="D19" s="783" t="s">
        <v>93</v>
      </c>
      <c r="E19" s="784" t="s">
        <v>9</v>
      </c>
      <c r="F19" s="783" t="s">
        <v>93</v>
      </c>
      <c r="G19" s="783" t="s">
        <v>93</v>
      </c>
      <c r="H19" s="784" t="s">
        <v>9</v>
      </c>
      <c r="I19" s="783" t="s">
        <v>93</v>
      </c>
      <c r="J19" s="784" t="s">
        <v>9</v>
      </c>
      <c r="K19" s="784" t="s">
        <v>9</v>
      </c>
      <c r="L19" s="784" t="s">
        <v>9</v>
      </c>
      <c r="M19" s="783" t="s">
        <v>93</v>
      </c>
      <c r="N19" s="785" t="s">
        <v>93</v>
      </c>
    </row>
    <row r="20" spans="2:14">
      <c r="B20" s="786" t="s">
        <v>97</v>
      </c>
      <c r="C20" s="787" t="s">
        <v>105</v>
      </c>
      <c r="D20" s="783" t="s">
        <v>93</v>
      </c>
      <c r="E20" s="784" t="s">
        <v>9</v>
      </c>
      <c r="F20" s="783" t="s">
        <v>93</v>
      </c>
      <c r="G20" s="783" t="s">
        <v>93</v>
      </c>
      <c r="H20" s="784" t="s">
        <v>9</v>
      </c>
      <c r="I20" s="783" t="s">
        <v>93</v>
      </c>
      <c r="J20" s="784" t="s">
        <v>9</v>
      </c>
      <c r="K20" s="784" t="s">
        <v>9</v>
      </c>
      <c r="L20" s="784" t="s">
        <v>9</v>
      </c>
      <c r="M20" s="783" t="s">
        <v>93</v>
      </c>
      <c r="N20" s="785" t="s">
        <v>93</v>
      </c>
    </row>
    <row r="21" spans="2:14">
      <c r="B21" s="786" t="s">
        <v>101</v>
      </c>
      <c r="C21" s="787" t="s">
        <v>105</v>
      </c>
      <c r="D21" s="783" t="s">
        <v>93</v>
      </c>
      <c r="E21" s="784" t="s">
        <v>9</v>
      </c>
      <c r="F21" s="783" t="s">
        <v>93</v>
      </c>
      <c r="G21" s="783" t="s">
        <v>93</v>
      </c>
      <c r="H21" s="790" t="s">
        <v>66</v>
      </c>
      <c r="I21" s="783" t="s">
        <v>93</v>
      </c>
      <c r="J21" s="784" t="s">
        <v>9</v>
      </c>
      <c r="K21" s="784" t="s">
        <v>29</v>
      </c>
      <c r="L21" s="787">
        <v>1</v>
      </c>
      <c r="M21" s="783" t="s">
        <v>93</v>
      </c>
      <c r="N21" s="785" t="s">
        <v>93</v>
      </c>
    </row>
    <row r="22" spans="2:14">
      <c r="B22" s="786" t="s">
        <v>95</v>
      </c>
      <c r="C22" s="787" t="s">
        <v>105</v>
      </c>
      <c r="D22" s="783" t="s">
        <v>93</v>
      </c>
      <c r="E22" s="787">
        <v>0</v>
      </c>
      <c r="F22" s="783" t="s">
        <v>93</v>
      </c>
      <c r="G22" s="783" t="s">
        <v>93</v>
      </c>
      <c r="H22" s="787">
        <v>1</v>
      </c>
      <c r="I22" s="783" t="s">
        <v>93</v>
      </c>
      <c r="J22" s="787">
        <v>0</v>
      </c>
      <c r="K22" s="787">
        <v>1</v>
      </c>
      <c r="L22" s="787">
        <v>0</v>
      </c>
      <c r="M22" s="783" t="s">
        <v>93</v>
      </c>
      <c r="N22" s="785" t="s">
        <v>93</v>
      </c>
    </row>
    <row r="23" spans="2:14">
      <c r="B23" s="786" t="s">
        <v>98</v>
      </c>
      <c r="C23" s="787" t="s">
        <v>105</v>
      </c>
      <c r="D23" s="783" t="s">
        <v>93</v>
      </c>
      <c r="E23" s="787">
        <v>0</v>
      </c>
      <c r="F23" s="783" t="s">
        <v>93</v>
      </c>
      <c r="G23" s="783" t="s">
        <v>93</v>
      </c>
      <c r="H23" s="787">
        <v>0</v>
      </c>
      <c r="I23" s="783" t="s">
        <v>93</v>
      </c>
      <c r="J23" s="787">
        <v>1</v>
      </c>
      <c r="K23" s="787">
        <v>1</v>
      </c>
      <c r="L23" s="787">
        <v>0</v>
      </c>
      <c r="M23" s="783" t="s">
        <v>93</v>
      </c>
      <c r="N23" s="783" t="s">
        <v>93</v>
      </c>
    </row>
    <row r="24" spans="2:14">
      <c r="B24" s="800" t="s">
        <v>100</v>
      </c>
      <c r="C24" s="801" t="s">
        <v>105</v>
      </c>
      <c r="D24" s="802" t="s">
        <v>93</v>
      </c>
      <c r="E24" s="801">
        <v>1</v>
      </c>
      <c r="F24" s="802" t="s">
        <v>93</v>
      </c>
      <c r="G24" s="802" t="s">
        <v>93</v>
      </c>
      <c r="H24" s="784" t="s">
        <v>9</v>
      </c>
      <c r="I24" s="802" t="s">
        <v>93</v>
      </c>
      <c r="J24" s="801">
        <v>1</v>
      </c>
      <c r="K24" s="801">
        <v>0</v>
      </c>
      <c r="L24" s="801">
        <v>0</v>
      </c>
      <c r="M24" s="802" t="s">
        <v>93</v>
      </c>
      <c r="N24" s="802" t="s">
        <v>93</v>
      </c>
    </row>
    <row r="25" spans="2:14">
      <c r="B25" s="908" t="s">
        <v>102</v>
      </c>
      <c r="C25" s="908"/>
      <c r="D25" s="130"/>
      <c r="E25" s="130">
        <f>SUM(E16:E24)</f>
        <v>2</v>
      </c>
      <c r="F25" s="130"/>
      <c r="G25" s="130"/>
      <c r="H25" s="130">
        <f t="shared" ref="H25:L25" si="0">SUM(H16:H24)</f>
        <v>2</v>
      </c>
      <c r="I25" s="130"/>
      <c r="J25" s="130">
        <f t="shared" si="0"/>
        <v>3</v>
      </c>
      <c r="K25" s="130">
        <f t="shared" si="0"/>
        <v>3</v>
      </c>
      <c r="L25" s="130">
        <f t="shared" si="0"/>
        <v>3</v>
      </c>
      <c r="M25" s="130"/>
      <c r="N25" s="130"/>
    </row>
    <row r="28" spans="2:14">
      <c r="C28" s="130">
        <v>1</v>
      </c>
      <c r="D28" s="130" t="s">
        <v>106</v>
      </c>
    </row>
    <row r="29" spans="2:14">
      <c r="C29" s="130">
        <v>0</v>
      </c>
      <c r="D29" s="130" t="s">
        <v>107</v>
      </c>
    </row>
  </sheetData>
  <mergeCells count="2">
    <mergeCell ref="B12:C12"/>
    <mergeCell ref="B25:C25"/>
  </mergeCells>
  <conditionalFormatting sqref="D3:P13">
    <cfRule type="cellIs" dxfId="185" priority="1" operator="equal">
      <formula>"X"</formula>
    </cfRule>
    <cfRule type="cellIs" dxfId="184" priority="2" operator="equal">
      <formula>"C"</formula>
    </cfRule>
    <cfRule type="cellIs" dxfId="183" priority="3" operator="equal">
      <formula>"I"</formula>
    </cfRule>
    <cfRule type="cellIs" dxfId="182" priority="4" operator="equal">
      <formula>"A"</formula>
    </cfRule>
    <cfRule type="cellIs" dxfId="181" priority="5" operator="equal">
      <formula>"F"</formula>
    </cfRule>
    <cfRule type="cellIs" dxfId="180" priority="6" operator="equal">
      <formula>"G"</formula>
    </cfRule>
    <cfRule type="cellIs" dxfId="179" priority="7" operator="equal">
      <formula>"V"</formula>
    </cfRule>
  </conditionalFormatting>
  <dataValidations count="1">
    <dataValidation allowBlank="1" showInputMessage="1" showErrorMessage="1" promptTitle="Guardia" sqref="AB2" xr:uid="{C13C2C65-6D4B-462E-8689-C562280164A8}"/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6472-66CD-4A44-A2C6-A4AED7D0E843}">
  <dimension ref="A1:A31"/>
  <sheetViews>
    <sheetView workbookViewId="0"/>
  </sheetViews>
  <sheetFormatPr defaultColWidth="11.42578125" defaultRowHeight="15"/>
  <cols>
    <col min="1" max="1" width="11.42578125" style="92"/>
  </cols>
  <sheetData>
    <row r="1" spans="1:1">
      <c r="A1" s="92">
        <v>45717</v>
      </c>
    </row>
    <row r="2" spans="1:1">
      <c r="A2" s="92">
        <v>45718</v>
      </c>
    </row>
    <row r="3" spans="1:1">
      <c r="A3" s="92">
        <v>45719</v>
      </c>
    </row>
    <row r="4" spans="1:1">
      <c r="A4" s="92">
        <v>45720</v>
      </c>
    </row>
    <row r="5" spans="1:1">
      <c r="A5" s="92">
        <v>45721</v>
      </c>
    </row>
    <row r="6" spans="1:1">
      <c r="A6" s="92">
        <v>45722</v>
      </c>
    </row>
    <row r="7" spans="1:1">
      <c r="A7" s="92">
        <v>45723</v>
      </c>
    </row>
    <row r="8" spans="1:1">
      <c r="A8" s="92">
        <v>45724</v>
      </c>
    </row>
    <row r="9" spans="1:1">
      <c r="A9" s="92">
        <v>45725</v>
      </c>
    </row>
    <row r="10" spans="1:1">
      <c r="A10" s="92">
        <v>45726</v>
      </c>
    </row>
    <row r="11" spans="1:1">
      <c r="A11" s="92">
        <v>45727</v>
      </c>
    </row>
    <row r="12" spans="1:1">
      <c r="A12" s="92">
        <v>45728</v>
      </c>
    </row>
    <row r="13" spans="1:1">
      <c r="A13" s="92">
        <v>45729</v>
      </c>
    </row>
    <row r="14" spans="1:1">
      <c r="A14" s="92">
        <v>45730</v>
      </c>
    </row>
    <row r="15" spans="1:1">
      <c r="A15" s="92">
        <v>45731</v>
      </c>
    </row>
    <row r="16" spans="1:1">
      <c r="A16" s="92">
        <v>45732</v>
      </c>
    </row>
    <row r="17" spans="1:1">
      <c r="A17" s="92">
        <v>45733</v>
      </c>
    </row>
    <row r="18" spans="1:1">
      <c r="A18" s="92">
        <v>45734</v>
      </c>
    </row>
    <row r="19" spans="1:1">
      <c r="A19" s="92">
        <v>45735</v>
      </c>
    </row>
    <row r="20" spans="1:1">
      <c r="A20" s="92">
        <v>45736</v>
      </c>
    </row>
    <row r="21" spans="1:1">
      <c r="A21" s="92">
        <v>45737</v>
      </c>
    </row>
    <row r="22" spans="1:1">
      <c r="A22" s="92">
        <v>45738</v>
      </c>
    </row>
    <row r="23" spans="1:1">
      <c r="A23" s="92">
        <v>45739</v>
      </c>
    </row>
    <row r="24" spans="1:1">
      <c r="A24" s="92">
        <v>45740</v>
      </c>
    </row>
    <row r="25" spans="1:1">
      <c r="A25" s="92">
        <v>45741</v>
      </c>
    </row>
    <row r="26" spans="1:1">
      <c r="A26" s="92">
        <v>45742</v>
      </c>
    </row>
    <row r="27" spans="1:1">
      <c r="A27" s="92">
        <v>45743</v>
      </c>
    </row>
    <row r="28" spans="1:1">
      <c r="A28" s="92">
        <v>45744</v>
      </c>
    </row>
    <row r="29" spans="1:1">
      <c r="A29" s="92">
        <v>45745</v>
      </c>
    </row>
    <row r="30" spans="1:1">
      <c r="A30" s="92">
        <v>45746</v>
      </c>
    </row>
    <row r="31" spans="1:1">
      <c r="A31" s="92">
        <v>45747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7F74-E1D0-49F9-A35E-30A70CB66A93}">
  <sheetPr codeName="Hoja1" filterMode="1">
    <tabColor rgb="FFB4C6E7"/>
  </sheetPr>
  <dimension ref="A1:K97"/>
  <sheetViews>
    <sheetView topLeftCell="D70" zoomScale="80" zoomScaleNormal="80" workbookViewId="0">
      <selection activeCell="H79" sqref="H79"/>
    </sheetView>
  </sheetViews>
  <sheetFormatPr defaultColWidth="11.42578125" defaultRowHeight="15"/>
  <cols>
    <col min="1" max="1" width="14.42578125" style="133" customWidth="1"/>
    <col min="2" max="2" width="17.140625" style="133" bestFit="1" customWidth="1"/>
    <col min="3" max="3" width="13.85546875" style="157" customWidth="1"/>
    <col min="4" max="4" width="71.85546875" style="133" customWidth="1"/>
    <col min="5" max="5" width="12.7109375" style="133" bestFit="1" customWidth="1"/>
    <col min="6" max="7" width="19.85546875" style="138" customWidth="1"/>
    <col min="8" max="8" width="14.85546875" style="138" bestFit="1" customWidth="1"/>
    <col min="9" max="9" width="16.28515625" style="133" bestFit="1" customWidth="1"/>
    <col min="10" max="10" width="114.85546875" style="96" customWidth="1"/>
    <col min="11" max="11" width="15.140625" style="96" customWidth="1"/>
  </cols>
  <sheetData>
    <row r="1" spans="1:11" s="413" customFormat="1" ht="30">
      <c r="A1" s="396" t="s">
        <v>32</v>
      </c>
      <c r="B1" s="397" t="s">
        <v>108</v>
      </c>
      <c r="C1" s="398" t="s">
        <v>109</v>
      </c>
      <c r="D1" s="396" t="s">
        <v>110</v>
      </c>
      <c r="E1" s="396" t="s">
        <v>111</v>
      </c>
      <c r="F1" s="399" t="s">
        <v>112</v>
      </c>
      <c r="G1" s="399" t="s">
        <v>113</v>
      </c>
      <c r="H1" s="399" t="s">
        <v>114</v>
      </c>
      <c r="I1" s="396" t="s">
        <v>115</v>
      </c>
      <c r="J1" s="400" t="s">
        <v>116</v>
      </c>
      <c r="K1" s="400" t="s">
        <v>117</v>
      </c>
    </row>
    <row r="2" spans="1:11" hidden="1">
      <c r="A2" s="164" t="s">
        <v>105</v>
      </c>
      <c r="B2" s="165" t="s">
        <v>118</v>
      </c>
      <c r="C2" s="166">
        <v>45292</v>
      </c>
      <c r="D2" s="159" t="s">
        <v>119</v>
      </c>
      <c r="E2" s="160"/>
      <c r="F2" s="161"/>
      <c r="G2" s="161"/>
      <c r="H2" s="162"/>
      <c r="I2" s="160"/>
      <c r="J2" s="163"/>
      <c r="K2" s="381"/>
    </row>
    <row r="3" spans="1:11" hidden="1">
      <c r="A3" s="164" t="s">
        <v>105</v>
      </c>
      <c r="B3" s="165" t="s">
        <v>120</v>
      </c>
      <c r="C3" s="166">
        <v>45293</v>
      </c>
      <c r="D3" s="159" t="s">
        <v>119</v>
      </c>
      <c r="E3" s="160"/>
      <c r="F3" s="161"/>
      <c r="G3" s="161"/>
      <c r="H3" s="162"/>
      <c r="I3" s="160"/>
      <c r="J3" s="163"/>
      <c r="K3" s="381"/>
    </row>
    <row r="4" spans="1:11" hidden="1">
      <c r="A4" s="164" t="s">
        <v>105</v>
      </c>
      <c r="B4" s="165" t="s">
        <v>121</v>
      </c>
      <c r="C4" s="166">
        <v>45294</v>
      </c>
      <c r="D4" s="159" t="s">
        <v>119</v>
      </c>
      <c r="E4" s="160"/>
      <c r="F4" s="161"/>
      <c r="G4" s="161"/>
      <c r="H4" s="162"/>
      <c r="I4" s="160"/>
      <c r="J4" s="163"/>
      <c r="K4" s="381"/>
    </row>
    <row r="5" spans="1:11" hidden="1">
      <c r="A5" s="164" t="s">
        <v>105</v>
      </c>
      <c r="B5" s="165" t="s">
        <v>122</v>
      </c>
      <c r="C5" s="166">
        <v>45295</v>
      </c>
      <c r="D5" s="159" t="s">
        <v>119</v>
      </c>
      <c r="E5" s="160"/>
      <c r="F5" s="161"/>
      <c r="G5" s="161"/>
      <c r="H5" s="162"/>
      <c r="I5" s="160"/>
      <c r="J5" s="163"/>
      <c r="K5" s="381"/>
    </row>
    <row r="6" spans="1:11" hidden="1">
      <c r="A6" s="164" t="s">
        <v>105</v>
      </c>
      <c r="B6" s="165" t="s">
        <v>123</v>
      </c>
      <c r="C6" s="166">
        <v>45296</v>
      </c>
      <c r="D6" s="159" t="s">
        <v>119</v>
      </c>
      <c r="E6" s="160"/>
      <c r="F6" s="161"/>
      <c r="G6" s="161"/>
      <c r="H6" s="162"/>
      <c r="I6" s="160"/>
      <c r="J6" s="163"/>
      <c r="K6" s="381"/>
    </row>
    <row r="7" spans="1:11" hidden="1">
      <c r="A7" s="164" t="s">
        <v>105</v>
      </c>
      <c r="B7" s="165" t="s">
        <v>124</v>
      </c>
      <c r="C7" s="166">
        <v>45297</v>
      </c>
      <c r="D7" s="159" t="s">
        <v>119</v>
      </c>
      <c r="E7" s="160"/>
      <c r="F7" s="161"/>
      <c r="G7" s="161"/>
      <c r="H7" s="162"/>
      <c r="I7" s="160"/>
      <c r="J7" s="163"/>
      <c r="K7" s="381"/>
    </row>
    <row r="8" spans="1:11" hidden="1">
      <c r="A8" s="164" t="s">
        <v>105</v>
      </c>
      <c r="B8" s="165" t="s">
        <v>125</v>
      </c>
      <c r="C8" s="166">
        <v>45298</v>
      </c>
      <c r="D8" s="159" t="s">
        <v>119</v>
      </c>
      <c r="E8" s="160"/>
      <c r="F8" s="161"/>
      <c r="G8" s="161"/>
      <c r="H8" s="162"/>
      <c r="I8" s="160"/>
      <c r="J8" s="163"/>
      <c r="K8" s="381"/>
    </row>
    <row r="9" spans="1:11" hidden="1">
      <c r="A9" s="164" t="s">
        <v>105</v>
      </c>
      <c r="B9" s="165" t="s">
        <v>118</v>
      </c>
      <c r="C9" s="166">
        <v>45299</v>
      </c>
      <c r="D9" s="159" t="s">
        <v>119</v>
      </c>
      <c r="E9" s="160"/>
      <c r="F9" s="161"/>
      <c r="G9" s="161"/>
      <c r="H9" s="162"/>
      <c r="I9" s="160"/>
      <c r="J9" s="163"/>
      <c r="K9" s="381"/>
    </row>
    <row r="10" spans="1:11" hidden="1">
      <c r="A10" s="164" t="s">
        <v>105</v>
      </c>
      <c r="B10" s="165" t="s">
        <v>120</v>
      </c>
      <c r="C10" s="166">
        <v>45300</v>
      </c>
      <c r="D10" s="159" t="s">
        <v>119</v>
      </c>
      <c r="E10" s="160"/>
      <c r="F10" s="161"/>
      <c r="G10" s="161"/>
      <c r="H10" s="162"/>
      <c r="I10" s="160"/>
      <c r="J10" s="163"/>
      <c r="K10" s="381"/>
    </row>
    <row r="11" spans="1:11" hidden="1">
      <c r="A11" s="164" t="s">
        <v>105</v>
      </c>
      <c r="B11" s="165" t="s">
        <v>121</v>
      </c>
      <c r="C11" s="166">
        <v>45301</v>
      </c>
      <c r="D11" s="159" t="s">
        <v>119</v>
      </c>
      <c r="E11" s="160"/>
      <c r="F11" s="161"/>
      <c r="G11" s="161"/>
      <c r="H11" s="162"/>
      <c r="I11" s="160"/>
      <c r="J11" s="163"/>
      <c r="K11" s="381"/>
    </row>
    <row r="12" spans="1:11" hidden="1">
      <c r="A12" s="134" t="s">
        <v>105</v>
      </c>
      <c r="B12" s="135" t="s">
        <v>122</v>
      </c>
      <c r="C12" s="365">
        <v>45668</v>
      </c>
      <c r="D12" s="366"/>
      <c r="E12" s="367"/>
      <c r="F12" s="368"/>
      <c r="G12" s="368"/>
      <c r="H12" s="369"/>
      <c r="I12" s="367"/>
      <c r="J12" s="158"/>
      <c r="K12" s="381"/>
    </row>
    <row r="13" spans="1:11" hidden="1">
      <c r="A13" s="134" t="s">
        <v>105</v>
      </c>
      <c r="B13" s="135" t="s">
        <v>123</v>
      </c>
      <c r="C13" s="365">
        <v>45669</v>
      </c>
      <c r="D13" s="366"/>
      <c r="E13" s="367"/>
      <c r="F13" s="368"/>
      <c r="G13" s="368"/>
      <c r="H13" s="369"/>
      <c r="I13" s="367"/>
      <c r="J13" s="158"/>
      <c r="K13" s="381"/>
    </row>
    <row r="14" spans="1:11" s="114" customFormat="1" hidden="1">
      <c r="A14" s="134" t="s">
        <v>105</v>
      </c>
      <c r="B14" s="135" t="s">
        <v>124</v>
      </c>
      <c r="C14" s="136">
        <v>44209</v>
      </c>
      <c r="D14" s="135"/>
      <c r="E14" s="135"/>
      <c r="F14" s="137"/>
      <c r="G14" s="137"/>
      <c r="H14" s="135"/>
      <c r="I14" s="135"/>
      <c r="J14" s="131"/>
      <c r="K14" s="241"/>
    </row>
    <row r="15" spans="1:11" s="114" customFormat="1" hidden="1">
      <c r="A15" s="134" t="s">
        <v>105</v>
      </c>
      <c r="B15" s="135" t="s">
        <v>125</v>
      </c>
      <c r="C15" s="136">
        <v>45305</v>
      </c>
      <c r="D15" s="135"/>
      <c r="E15" s="135"/>
      <c r="F15" s="137"/>
      <c r="G15" s="137"/>
      <c r="H15" s="135"/>
      <c r="I15" s="135"/>
      <c r="J15" s="131"/>
      <c r="K15" s="241"/>
    </row>
    <row r="16" spans="1:11" s="114" customFormat="1" hidden="1">
      <c r="A16" s="134" t="s">
        <v>105</v>
      </c>
      <c r="B16" s="135" t="s">
        <v>118</v>
      </c>
      <c r="C16" s="136">
        <v>45306</v>
      </c>
      <c r="D16" s="135"/>
      <c r="E16" s="135"/>
      <c r="F16" s="137"/>
      <c r="G16" s="137"/>
      <c r="H16" s="135"/>
      <c r="I16" s="135"/>
      <c r="J16" s="131"/>
      <c r="K16" s="241"/>
    </row>
    <row r="17" spans="1:11" s="114" customFormat="1" hidden="1">
      <c r="A17" s="134" t="s">
        <v>105</v>
      </c>
      <c r="B17" s="135" t="s">
        <v>120</v>
      </c>
      <c r="C17" s="136">
        <v>45307</v>
      </c>
      <c r="D17" s="135"/>
      <c r="E17" s="135"/>
      <c r="F17" s="135"/>
      <c r="G17" s="135"/>
      <c r="H17" s="135"/>
      <c r="I17" s="135"/>
      <c r="J17" s="131"/>
      <c r="K17" s="241"/>
    </row>
    <row r="18" spans="1:11" s="114" customFormat="1" hidden="1">
      <c r="A18" s="134" t="s">
        <v>105</v>
      </c>
      <c r="B18" s="135" t="s">
        <v>121</v>
      </c>
      <c r="C18" s="136">
        <v>45308</v>
      </c>
      <c r="D18" s="135"/>
      <c r="E18" s="135"/>
      <c r="F18" s="137"/>
      <c r="G18" s="137"/>
      <c r="H18" s="137"/>
      <c r="I18" s="135"/>
      <c r="J18" s="371"/>
      <c r="K18" s="241"/>
    </row>
    <row r="19" spans="1:11" s="114" customFormat="1" hidden="1">
      <c r="A19" s="134" t="s">
        <v>105</v>
      </c>
      <c r="B19" s="135" t="s">
        <v>122</v>
      </c>
      <c r="C19" s="136">
        <v>45309</v>
      </c>
      <c r="D19" s="135"/>
      <c r="E19" s="135"/>
      <c r="F19" s="137"/>
      <c r="G19" s="137"/>
      <c r="H19" s="137"/>
      <c r="I19" s="135"/>
      <c r="J19" s="131"/>
      <c r="K19" s="241"/>
    </row>
    <row r="20" spans="1:11" s="114" customFormat="1" hidden="1">
      <c r="A20" s="134" t="s">
        <v>105</v>
      </c>
      <c r="B20" s="135" t="s">
        <v>123</v>
      </c>
      <c r="C20" s="136">
        <v>45310</v>
      </c>
      <c r="D20" s="135" t="s">
        <v>126</v>
      </c>
      <c r="E20" s="135" t="s">
        <v>127</v>
      </c>
      <c r="F20" s="137">
        <v>4.1666666666666664E-2</v>
      </c>
      <c r="G20" s="137">
        <v>0.1423611111111111</v>
      </c>
      <c r="H20" s="137">
        <v>0.10069444444444445</v>
      </c>
      <c r="I20" s="135" t="s">
        <v>128</v>
      </c>
      <c r="J20" s="131" t="s">
        <v>129</v>
      </c>
      <c r="K20" s="241" t="s">
        <v>130</v>
      </c>
    </row>
    <row r="21" spans="1:11" s="114" customFormat="1" hidden="1">
      <c r="A21" s="134" t="s">
        <v>105</v>
      </c>
      <c r="B21" s="190" t="s">
        <v>124</v>
      </c>
      <c r="C21" s="136">
        <v>45311</v>
      </c>
      <c r="D21" s="135"/>
      <c r="E21" s="135"/>
      <c r="F21" s="137"/>
      <c r="G21" s="137"/>
      <c r="H21" s="137"/>
      <c r="I21" s="135"/>
      <c r="J21" s="131"/>
      <c r="K21" s="241"/>
    </row>
    <row r="22" spans="1:11" s="114" customFormat="1" hidden="1">
      <c r="A22" s="134" t="s">
        <v>105</v>
      </c>
      <c r="B22" s="135" t="s">
        <v>125</v>
      </c>
      <c r="C22" s="136">
        <v>45312</v>
      </c>
      <c r="D22" s="135"/>
      <c r="E22" s="135"/>
      <c r="F22" s="137"/>
      <c r="G22" s="137"/>
      <c r="H22" s="137"/>
      <c r="I22" s="135"/>
      <c r="J22" s="131"/>
      <c r="K22" s="241"/>
    </row>
    <row r="23" spans="1:11" s="114" customFormat="1" hidden="1">
      <c r="A23" s="189" t="s">
        <v>105</v>
      </c>
      <c r="B23" s="135" t="s">
        <v>118</v>
      </c>
      <c r="C23" s="191">
        <v>45313</v>
      </c>
      <c r="D23" s="190"/>
      <c r="E23" s="190"/>
      <c r="F23" s="192"/>
      <c r="G23" s="192"/>
      <c r="H23" s="192"/>
      <c r="I23" s="372"/>
      <c r="J23" s="193"/>
      <c r="K23" s="382"/>
    </row>
    <row r="24" spans="1:11" s="114" customFormat="1" hidden="1">
      <c r="A24" s="373" t="s">
        <v>105</v>
      </c>
      <c r="B24" s="370" t="s">
        <v>120</v>
      </c>
      <c r="C24" s="365">
        <v>45345</v>
      </c>
      <c r="D24" s="370"/>
      <c r="E24" s="370"/>
      <c r="F24" s="374"/>
      <c r="G24" s="374"/>
      <c r="H24" s="370"/>
      <c r="I24" s="370"/>
      <c r="J24" s="375"/>
      <c r="K24" s="376"/>
    </row>
    <row r="25" spans="1:11" s="414" customFormat="1" ht="30">
      <c r="A25" s="401" t="s">
        <v>105</v>
      </c>
      <c r="B25" s="402" t="s">
        <v>121</v>
      </c>
      <c r="C25" s="403">
        <v>45315</v>
      </c>
      <c r="D25" s="402" t="s">
        <v>131</v>
      </c>
      <c r="E25" s="402" t="s">
        <v>127</v>
      </c>
      <c r="F25" s="404">
        <v>0.91666666666666663</v>
      </c>
      <c r="G25" s="404">
        <v>6.5972222222222224E-2</v>
      </c>
      <c r="H25" s="404">
        <v>0.14930555555555555</v>
      </c>
      <c r="I25" s="402" t="s">
        <v>132</v>
      </c>
      <c r="J25" s="405" t="s">
        <v>133</v>
      </c>
      <c r="K25" s="406" t="s">
        <v>130</v>
      </c>
    </row>
    <row r="26" spans="1:11" s="114" customFormat="1" hidden="1">
      <c r="A26" s="373" t="s">
        <v>105</v>
      </c>
      <c r="B26" s="370" t="s">
        <v>121</v>
      </c>
      <c r="C26" s="365">
        <v>45315</v>
      </c>
      <c r="D26" s="370" t="s">
        <v>134</v>
      </c>
      <c r="E26" s="370" t="s">
        <v>135</v>
      </c>
      <c r="F26" s="374">
        <v>0.95833333333333337</v>
      </c>
      <c r="G26" s="374">
        <v>0.97986111111111107</v>
      </c>
      <c r="H26" s="374">
        <v>2.0833333333333332E-2</v>
      </c>
      <c r="I26" s="370" t="s">
        <v>136</v>
      </c>
      <c r="J26" s="377" t="s">
        <v>137</v>
      </c>
      <c r="K26" s="376" t="s">
        <v>130</v>
      </c>
    </row>
    <row r="27" spans="1:11" s="414" customFormat="1">
      <c r="A27" s="401" t="s">
        <v>105</v>
      </c>
      <c r="B27" s="402" t="s">
        <v>122</v>
      </c>
      <c r="C27" s="403">
        <v>45316</v>
      </c>
      <c r="D27" s="402" t="s">
        <v>131</v>
      </c>
      <c r="E27" s="402" t="s">
        <v>127</v>
      </c>
      <c r="F27" s="404">
        <v>0.33333333333333331</v>
      </c>
      <c r="G27" s="404">
        <v>0.61805555555555558</v>
      </c>
      <c r="H27" s="404">
        <v>0.28472222222222221</v>
      </c>
      <c r="I27" s="402" t="s">
        <v>138</v>
      </c>
      <c r="J27" s="419" t="s">
        <v>139</v>
      </c>
      <c r="K27" s="406" t="s">
        <v>130</v>
      </c>
    </row>
    <row r="28" spans="1:11" s="414" customFormat="1">
      <c r="A28" s="401" t="s">
        <v>105</v>
      </c>
      <c r="B28" s="402" t="s">
        <v>123</v>
      </c>
      <c r="C28" s="403">
        <v>45317</v>
      </c>
      <c r="D28" s="402"/>
      <c r="E28" s="402"/>
      <c r="F28" s="404"/>
      <c r="G28" s="404"/>
      <c r="H28" s="404"/>
      <c r="I28" s="402"/>
      <c r="J28" s="407"/>
      <c r="K28" s="406"/>
    </row>
    <row r="29" spans="1:11" s="414" customFormat="1">
      <c r="A29" s="401" t="s">
        <v>105</v>
      </c>
      <c r="B29" s="402" t="s">
        <v>124</v>
      </c>
      <c r="C29" s="403">
        <v>45318</v>
      </c>
      <c r="D29" s="402"/>
      <c r="E29" s="402"/>
      <c r="F29" s="404"/>
      <c r="G29" s="404"/>
      <c r="H29" s="404"/>
      <c r="I29" s="402"/>
      <c r="J29" s="407"/>
      <c r="K29" s="406"/>
    </row>
    <row r="30" spans="1:11" s="414" customFormat="1">
      <c r="A30" s="401" t="s">
        <v>105</v>
      </c>
      <c r="B30" s="402" t="s">
        <v>125</v>
      </c>
      <c r="C30" s="403">
        <v>45319</v>
      </c>
      <c r="D30" s="402"/>
      <c r="E30" s="402"/>
      <c r="F30" s="404"/>
      <c r="G30" s="404"/>
      <c r="H30" s="404"/>
      <c r="I30" s="402"/>
      <c r="J30" s="407"/>
      <c r="K30" s="406"/>
    </row>
    <row r="31" spans="1:11" s="414" customFormat="1" ht="14.25" customHeight="1">
      <c r="A31" s="401" t="s">
        <v>105</v>
      </c>
      <c r="B31" s="402" t="s">
        <v>118</v>
      </c>
      <c r="C31" s="403">
        <v>45320</v>
      </c>
      <c r="D31" s="402"/>
      <c r="E31" s="402"/>
      <c r="F31" s="404"/>
      <c r="G31" s="404"/>
      <c r="H31" s="402"/>
      <c r="I31" s="402"/>
      <c r="J31" s="407"/>
      <c r="K31" s="406"/>
    </row>
    <row r="32" spans="1:11" s="414" customFormat="1" ht="14.25" customHeight="1">
      <c r="A32" s="401" t="s">
        <v>105</v>
      </c>
      <c r="B32" s="402" t="s">
        <v>120</v>
      </c>
      <c r="C32" s="403">
        <v>45321</v>
      </c>
      <c r="D32" s="402"/>
      <c r="E32" s="402"/>
      <c r="F32" s="404"/>
      <c r="G32" s="404"/>
      <c r="H32" s="402"/>
      <c r="I32" s="402"/>
      <c r="J32" s="407"/>
      <c r="K32" s="406"/>
    </row>
    <row r="33" spans="1:11" s="414" customFormat="1" ht="14.25" customHeight="1">
      <c r="A33" s="401" t="s">
        <v>105</v>
      </c>
      <c r="B33" s="402" t="s">
        <v>121</v>
      </c>
      <c r="C33" s="403">
        <v>45322</v>
      </c>
      <c r="D33" s="402"/>
      <c r="E33" s="402"/>
      <c r="F33" s="404"/>
      <c r="G33" s="404"/>
      <c r="H33" s="402"/>
      <c r="I33" s="402"/>
      <c r="J33" s="407"/>
      <c r="K33" s="406"/>
    </row>
    <row r="34" spans="1:11" s="414" customFormat="1">
      <c r="A34" s="408"/>
      <c r="B34" s="409"/>
      <c r="C34" s="410"/>
      <c r="D34" s="409"/>
      <c r="E34" s="409"/>
      <c r="F34" s="411"/>
      <c r="G34" s="411"/>
      <c r="H34" s="409"/>
      <c r="I34" s="409"/>
      <c r="J34" s="412"/>
      <c r="K34" s="420"/>
    </row>
    <row r="35" spans="1:11">
      <c r="A35" s="189" t="s">
        <v>140</v>
      </c>
      <c r="B35" s="417" t="s">
        <v>122</v>
      </c>
      <c r="C35" s="191">
        <v>45689</v>
      </c>
      <c r="D35" s="190"/>
      <c r="E35" s="190"/>
      <c r="F35" s="192"/>
      <c r="G35" s="192"/>
      <c r="H35" s="416"/>
      <c r="I35" s="190"/>
      <c r="J35" s="193"/>
      <c r="K35" s="382"/>
    </row>
    <row r="36" spans="1:11">
      <c r="A36" s="373" t="s">
        <v>140</v>
      </c>
      <c r="B36" s="418" t="s">
        <v>123</v>
      </c>
      <c r="C36" s="365">
        <v>45690</v>
      </c>
      <c r="D36" s="370"/>
      <c r="E36" s="370"/>
      <c r="F36" s="374"/>
      <c r="G36" s="374"/>
      <c r="H36" s="415"/>
      <c r="I36" s="370"/>
      <c r="J36" s="375"/>
      <c r="K36" s="376"/>
    </row>
    <row r="37" spans="1:11">
      <c r="A37" s="373" t="s">
        <v>140</v>
      </c>
      <c r="B37" s="402" t="s">
        <v>124</v>
      </c>
      <c r="C37" s="365">
        <v>45691</v>
      </c>
      <c r="D37" s="370"/>
      <c r="E37" s="370"/>
      <c r="F37" s="374"/>
      <c r="G37" s="374"/>
      <c r="H37" s="415"/>
      <c r="I37" s="370"/>
      <c r="J37" s="375"/>
      <c r="K37" s="376"/>
    </row>
    <row r="38" spans="1:11">
      <c r="A38" s="373" t="s">
        <v>140</v>
      </c>
      <c r="B38" s="402" t="s">
        <v>125</v>
      </c>
      <c r="C38" s="365">
        <v>45692</v>
      </c>
      <c r="D38" s="370"/>
      <c r="E38" s="370"/>
      <c r="F38" s="374"/>
      <c r="G38" s="374"/>
      <c r="H38" s="415"/>
      <c r="I38" s="370"/>
      <c r="J38" s="375"/>
      <c r="K38" s="376"/>
    </row>
    <row r="39" spans="1:11">
      <c r="A39" s="373" t="s">
        <v>140</v>
      </c>
      <c r="B39" s="402" t="s">
        <v>118</v>
      </c>
      <c r="C39" s="365">
        <v>45693</v>
      </c>
      <c r="D39" s="370"/>
      <c r="E39" s="370"/>
      <c r="F39" s="374"/>
      <c r="G39" s="374"/>
      <c r="H39" s="415"/>
      <c r="I39" s="370"/>
      <c r="J39" s="375"/>
      <c r="K39" s="376"/>
    </row>
    <row r="40" spans="1:11" ht="30">
      <c r="A40" s="373" t="s">
        <v>140</v>
      </c>
      <c r="B40" s="402" t="s">
        <v>120</v>
      </c>
      <c r="C40" s="365">
        <v>45694</v>
      </c>
      <c r="D40" s="402" t="s">
        <v>131</v>
      </c>
      <c r="E40" s="402" t="s">
        <v>127</v>
      </c>
      <c r="F40" s="374">
        <v>0.83333333333333337</v>
      </c>
      <c r="G40" s="374">
        <v>0.95833333333333337</v>
      </c>
      <c r="H40" s="415">
        <v>0.125</v>
      </c>
      <c r="I40" s="370" t="s">
        <v>141</v>
      </c>
      <c r="J40" s="375" t="s">
        <v>142</v>
      </c>
      <c r="K40" s="376" t="s">
        <v>130</v>
      </c>
    </row>
    <row r="41" spans="1:11">
      <c r="A41" s="373" t="s">
        <v>140</v>
      </c>
      <c r="B41" s="402" t="s">
        <v>120</v>
      </c>
      <c r="C41" s="365">
        <v>45694</v>
      </c>
      <c r="D41" s="402" t="s">
        <v>143</v>
      </c>
      <c r="E41" s="402" t="s">
        <v>127</v>
      </c>
      <c r="F41" s="374">
        <v>0.95833333333333337</v>
      </c>
      <c r="G41" s="374">
        <v>2.0833333333333332E-2</v>
      </c>
      <c r="H41" s="415">
        <v>6.25E-2</v>
      </c>
      <c r="I41" s="370" t="s">
        <v>144</v>
      </c>
      <c r="J41" s="375" t="s">
        <v>145</v>
      </c>
      <c r="K41" s="376" t="s">
        <v>130</v>
      </c>
    </row>
    <row r="42" spans="1:11">
      <c r="A42" s="373" t="s">
        <v>140</v>
      </c>
      <c r="B42" s="402" t="s">
        <v>120</v>
      </c>
      <c r="C42" s="365">
        <v>45694</v>
      </c>
      <c r="D42" s="402" t="s">
        <v>134</v>
      </c>
      <c r="E42" s="402" t="s">
        <v>135</v>
      </c>
      <c r="F42" s="374">
        <v>0.95833333333333337</v>
      </c>
      <c r="G42" s="374">
        <v>0.13541666666666666</v>
      </c>
      <c r="H42" s="415">
        <v>0.17708333333333334</v>
      </c>
      <c r="I42" s="370" t="s">
        <v>146</v>
      </c>
      <c r="J42" s="375" t="s">
        <v>147</v>
      </c>
      <c r="K42" s="376" t="s">
        <v>148</v>
      </c>
    </row>
    <row r="43" spans="1:11">
      <c r="A43" s="373" t="s">
        <v>140</v>
      </c>
      <c r="B43" s="402" t="s">
        <v>121</v>
      </c>
      <c r="C43" s="365">
        <v>45695</v>
      </c>
      <c r="D43" s="370"/>
      <c r="E43" s="370"/>
      <c r="F43" s="374"/>
      <c r="G43" s="374"/>
      <c r="H43" s="415"/>
      <c r="I43" s="370"/>
      <c r="J43" s="375"/>
      <c r="K43" s="376"/>
    </row>
    <row r="44" spans="1:11">
      <c r="A44" s="373" t="s">
        <v>140</v>
      </c>
      <c r="B44" s="417" t="s">
        <v>122</v>
      </c>
      <c r="C44" s="365">
        <v>45696</v>
      </c>
      <c r="D44" s="402" t="s">
        <v>131</v>
      </c>
      <c r="E44" s="402" t="s">
        <v>127</v>
      </c>
      <c r="F44" s="374">
        <v>0.33333333333333331</v>
      </c>
      <c r="G44" s="374">
        <v>0.70833333333333337</v>
      </c>
      <c r="H44" s="415">
        <v>0.375</v>
      </c>
      <c r="I44" s="370" t="s">
        <v>149</v>
      </c>
      <c r="J44" s="375" t="s">
        <v>150</v>
      </c>
      <c r="K44" s="376" t="s">
        <v>130</v>
      </c>
    </row>
    <row r="45" spans="1:11">
      <c r="A45" s="373" t="s">
        <v>140</v>
      </c>
      <c r="B45" s="418" t="s">
        <v>123</v>
      </c>
      <c r="C45" s="365">
        <v>45697</v>
      </c>
      <c r="D45" s="370"/>
      <c r="E45" s="370"/>
      <c r="F45" s="374"/>
      <c r="G45" s="374"/>
      <c r="H45" s="415"/>
      <c r="I45" s="370"/>
      <c r="J45" s="375"/>
      <c r="K45" s="376"/>
    </row>
    <row r="46" spans="1:11">
      <c r="A46" s="373" t="s">
        <v>140</v>
      </c>
      <c r="B46" s="402" t="s">
        <v>124</v>
      </c>
      <c r="C46" s="365">
        <v>45698</v>
      </c>
      <c r="D46" s="370"/>
      <c r="E46" s="370"/>
      <c r="F46" s="374"/>
      <c r="G46" s="374"/>
      <c r="H46" s="415"/>
      <c r="I46" s="370"/>
      <c r="J46" s="375"/>
      <c r="K46" s="376"/>
    </row>
    <row r="47" spans="1:11">
      <c r="A47" s="373" t="s">
        <v>140</v>
      </c>
      <c r="B47" s="402" t="s">
        <v>125</v>
      </c>
      <c r="C47" s="365">
        <v>45699</v>
      </c>
      <c r="D47" s="370"/>
      <c r="E47" s="370"/>
      <c r="F47" s="374"/>
      <c r="G47" s="374"/>
      <c r="H47" s="415"/>
      <c r="I47" s="370"/>
      <c r="J47" s="375"/>
      <c r="K47" s="376"/>
    </row>
    <row r="48" spans="1:11">
      <c r="A48" s="373" t="s">
        <v>140</v>
      </c>
      <c r="B48" s="402" t="s">
        <v>118</v>
      </c>
      <c r="C48" s="365">
        <v>45700</v>
      </c>
      <c r="D48" s="370"/>
      <c r="E48" s="370"/>
      <c r="F48" s="374"/>
      <c r="G48" s="374"/>
      <c r="H48" s="415"/>
      <c r="I48" s="370"/>
      <c r="J48" s="375"/>
      <c r="K48" s="376"/>
    </row>
    <row r="49" spans="1:11">
      <c r="A49" s="373" t="s">
        <v>140</v>
      </c>
      <c r="B49" s="402" t="s">
        <v>120</v>
      </c>
      <c r="C49" s="365">
        <v>45701</v>
      </c>
      <c r="D49" s="370"/>
      <c r="E49" s="370"/>
      <c r="F49" s="374"/>
      <c r="G49" s="374"/>
      <c r="H49" s="415"/>
      <c r="I49" s="370"/>
      <c r="J49" s="375"/>
      <c r="K49" s="376"/>
    </row>
    <row r="50" spans="1:11">
      <c r="A50" s="373" t="s">
        <v>140</v>
      </c>
      <c r="B50" s="402" t="s">
        <v>121</v>
      </c>
      <c r="C50" s="365">
        <v>45702</v>
      </c>
      <c r="D50" s="370"/>
      <c r="E50" s="370"/>
      <c r="F50" s="374"/>
      <c r="G50" s="374"/>
      <c r="H50" s="415"/>
      <c r="I50" s="370"/>
      <c r="J50" s="375"/>
      <c r="K50" s="376"/>
    </row>
    <row r="51" spans="1:11">
      <c r="A51" s="373" t="s">
        <v>140</v>
      </c>
      <c r="B51" s="417" t="s">
        <v>122</v>
      </c>
      <c r="C51" s="365">
        <v>45703</v>
      </c>
      <c r="D51" s="402" t="s">
        <v>131</v>
      </c>
      <c r="E51" s="402" t="s">
        <v>127</v>
      </c>
      <c r="F51" s="374">
        <v>0.33333333333333331</v>
      </c>
      <c r="G51" s="374">
        <v>0.96875</v>
      </c>
      <c r="H51" s="415">
        <v>0.625</v>
      </c>
      <c r="I51" s="370" t="s">
        <v>151</v>
      </c>
      <c r="J51" s="375" t="s">
        <v>152</v>
      </c>
      <c r="K51" s="376" t="s">
        <v>130</v>
      </c>
    </row>
    <row r="52" spans="1:11">
      <c r="A52" s="373" t="s">
        <v>140</v>
      </c>
      <c r="B52" s="418" t="s">
        <v>123</v>
      </c>
      <c r="C52" s="365">
        <v>45704</v>
      </c>
      <c r="D52" s="370"/>
      <c r="E52" s="370"/>
      <c r="F52" s="374"/>
      <c r="G52" s="374"/>
      <c r="H52" s="415"/>
      <c r="I52" s="370"/>
      <c r="J52" s="375"/>
      <c r="K52" s="376"/>
    </row>
    <row r="53" spans="1:11">
      <c r="A53" s="373" t="s">
        <v>140</v>
      </c>
      <c r="B53" s="402" t="s">
        <v>124</v>
      </c>
      <c r="C53" s="365">
        <v>45705</v>
      </c>
      <c r="D53" s="370"/>
      <c r="E53" s="370"/>
      <c r="F53" s="374"/>
      <c r="G53" s="374"/>
      <c r="H53" s="415"/>
      <c r="I53" s="370"/>
      <c r="J53" s="375"/>
      <c r="K53" s="376"/>
    </row>
    <row r="54" spans="1:11">
      <c r="A54" s="373" t="s">
        <v>140</v>
      </c>
      <c r="B54" s="402" t="s">
        <v>125</v>
      </c>
      <c r="C54" s="365">
        <v>45706</v>
      </c>
      <c r="D54" s="370"/>
      <c r="E54" s="370"/>
      <c r="F54" s="374"/>
      <c r="G54" s="374"/>
      <c r="H54" s="415"/>
      <c r="I54" s="370"/>
      <c r="J54" s="375"/>
      <c r="K54" s="376"/>
    </row>
    <row r="55" spans="1:11">
      <c r="A55" s="373" t="s">
        <v>140</v>
      </c>
      <c r="B55" s="402" t="s">
        <v>118</v>
      </c>
      <c r="C55" s="365">
        <v>45707</v>
      </c>
      <c r="D55" s="370"/>
      <c r="E55" s="370"/>
      <c r="F55" s="374"/>
      <c r="G55" s="374"/>
      <c r="H55" s="415"/>
      <c r="I55" s="370"/>
      <c r="J55" s="375"/>
      <c r="K55" s="376"/>
    </row>
    <row r="56" spans="1:11">
      <c r="A56" s="373" t="s">
        <v>140</v>
      </c>
      <c r="B56" s="402" t="s">
        <v>120</v>
      </c>
      <c r="C56" s="365">
        <v>45708</v>
      </c>
      <c r="D56" s="370"/>
      <c r="E56" s="370"/>
      <c r="F56" s="374"/>
      <c r="G56" s="374"/>
      <c r="H56" s="415"/>
      <c r="I56" s="370"/>
      <c r="J56" s="375"/>
      <c r="K56" s="376"/>
    </row>
    <row r="57" spans="1:11">
      <c r="A57" s="373" t="s">
        <v>140</v>
      </c>
      <c r="B57" s="402" t="s">
        <v>121</v>
      </c>
      <c r="C57" s="365">
        <v>45709</v>
      </c>
      <c r="D57" s="370"/>
      <c r="E57" s="370"/>
      <c r="F57" s="374"/>
      <c r="G57" s="374"/>
      <c r="H57" s="415"/>
      <c r="I57" s="370"/>
      <c r="J57" s="375"/>
      <c r="K57" s="376"/>
    </row>
    <row r="58" spans="1:11">
      <c r="A58" s="373" t="s">
        <v>140</v>
      </c>
      <c r="B58" s="417" t="s">
        <v>122</v>
      </c>
      <c r="C58" s="365">
        <v>45710</v>
      </c>
      <c r="D58" s="402" t="s">
        <v>131</v>
      </c>
      <c r="E58" s="402" t="s">
        <v>127</v>
      </c>
      <c r="F58" s="374">
        <v>0.33333333333333331</v>
      </c>
      <c r="G58" s="374">
        <v>0.60416666666666663</v>
      </c>
      <c r="H58" s="415">
        <v>0.27083333333333331</v>
      </c>
      <c r="I58" s="370" t="s">
        <v>153</v>
      </c>
      <c r="J58" s="375" t="s">
        <v>154</v>
      </c>
      <c r="K58" s="376" t="s">
        <v>130</v>
      </c>
    </row>
    <row r="59" spans="1:11">
      <c r="A59" s="373" t="s">
        <v>140</v>
      </c>
      <c r="B59" s="418" t="s">
        <v>123</v>
      </c>
      <c r="C59" s="365">
        <v>45711</v>
      </c>
      <c r="D59" s="370"/>
      <c r="E59" s="370"/>
      <c r="F59" s="374"/>
      <c r="G59" s="374"/>
      <c r="H59" s="415"/>
      <c r="I59" s="370"/>
      <c r="J59" s="375"/>
      <c r="K59" s="376"/>
    </row>
    <row r="60" spans="1:11">
      <c r="A60" s="373" t="s">
        <v>140</v>
      </c>
      <c r="B60" s="402" t="s">
        <v>124</v>
      </c>
      <c r="C60" s="365">
        <v>45712</v>
      </c>
      <c r="D60" s="370"/>
      <c r="E60" s="370"/>
      <c r="F60" s="374"/>
      <c r="G60" s="374"/>
      <c r="H60" s="415"/>
      <c r="I60" s="370"/>
      <c r="J60" s="375"/>
      <c r="K60" s="376"/>
    </row>
    <row r="61" spans="1:11">
      <c r="A61" s="373" t="s">
        <v>140</v>
      </c>
      <c r="B61" s="402" t="s">
        <v>125</v>
      </c>
      <c r="C61" s="365">
        <v>45713</v>
      </c>
      <c r="D61" s="370"/>
      <c r="E61" s="370"/>
      <c r="F61" s="374"/>
      <c r="G61" s="374"/>
      <c r="H61" s="415"/>
      <c r="I61" s="370"/>
      <c r="J61" s="375"/>
      <c r="K61" s="376"/>
    </row>
    <row r="62" spans="1:11">
      <c r="A62" s="373" t="s">
        <v>140</v>
      </c>
      <c r="B62" s="402" t="s">
        <v>118</v>
      </c>
      <c r="C62" s="365">
        <v>45714</v>
      </c>
      <c r="D62" s="370"/>
      <c r="E62" s="370"/>
      <c r="F62" s="374"/>
      <c r="G62" s="374"/>
      <c r="H62" s="415"/>
      <c r="I62" s="370"/>
      <c r="J62" s="375"/>
      <c r="K62" s="376"/>
    </row>
    <row r="63" spans="1:11">
      <c r="A63" s="373" t="s">
        <v>140</v>
      </c>
      <c r="B63" s="402" t="s">
        <v>120</v>
      </c>
      <c r="C63" s="365">
        <v>45715</v>
      </c>
      <c r="D63" s="370"/>
      <c r="E63" s="370"/>
      <c r="F63" s="374"/>
      <c r="G63" s="374"/>
      <c r="H63" s="415"/>
      <c r="I63" s="370"/>
      <c r="J63" s="375"/>
      <c r="K63" s="376"/>
    </row>
    <row r="64" spans="1:11">
      <c r="A64" s="373" t="s">
        <v>140</v>
      </c>
      <c r="B64" s="402" t="s">
        <v>121</v>
      </c>
      <c r="C64" s="365">
        <v>45716</v>
      </c>
      <c r="D64" s="370"/>
      <c r="E64" s="370"/>
      <c r="F64" s="374"/>
      <c r="G64" s="374"/>
      <c r="H64" s="415"/>
      <c r="I64" s="370"/>
      <c r="J64" s="375"/>
      <c r="K64" s="376"/>
    </row>
    <row r="65" spans="1:11" s="413" customFormat="1">
      <c r="A65" s="426"/>
      <c r="B65" s="427"/>
      <c r="C65" s="428"/>
      <c r="D65" s="427"/>
      <c r="E65" s="427"/>
      <c r="F65" s="429"/>
      <c r="G65" s="429"/>
      <c r="H65" s="427"/>
      <c r="I65" s="427"/>
      <c r="J65" s="430"/>
      <c r="K65" s="430"/>
    </row>
    <row r="66" spans="1:11">
      <c r="A66" s="189" t="s">
        <v>140</v>
      </c>
      <c r="B66" s="417" t="s">
        <v>122</v>
      </c>
      <c r="C66" s="191">
        <v>45717</v>
      </c>
      <c r="D66" s="190"/>
      <c r="E66" s="190"/>
      <c r="F66" s="192"/>
      <c r="G66" s="192"/>
      <c r="H66" s="416"/>
      <c r="I66" s="190"/>
      <c r="J66" s="193"/>
      <c r="K66" s="382"/>
    </row>
    <row r="67" spans="1:11">
      <c r="A67" s="373" t="s">
        <v>140</v>
      </c>
      <c r="B67" s="418" t="s">
        <v>123</v>
      </c>
      <c r="C67" s="365">
        <v>45718</v>
      </c>
      <c r="D67" s="370"/>
      <c r="E67" s="370"/>
      <c r="F67" s="374"/>
      <c r="G67" s="374"/>
      <c r="H67" s="415"/>
      <c r="I67" s="370"/>
      <c r="J67" s="375"/>
      <c r="K67" s="376"/>
    </row>
    <row r="68" spans="1:11">
      <c r="A68" s="373" t="s">
        <v>140</v>
      </c>
      <c r="B68" s="402" t="s">
        <v>124</v>
      </c>
      <c r="C68" s="365">
        <v>45719</v>
      </c>
      <c r="D68" s="370"/>
      <c r="E68" s="370"/>
      <c r="F68" s="374"/>
      <c r="G68" s="374"/>
      <c r="H68" s="415"/>
      <c r="I68" s="370"/>
      <c r="J68" s="375"/>
      <c r="K68" s="376"/>
    </row>
    <row r="69" spans="1:11">
      <c r="A69" s="373" t="s">
        <v>140</v>
      </c>
      <c r="B69" s="402" t="s">
        <v>125</v>
      </c>
      <c r="C69" s="365">
        <v>45720</v>
      </c>
      <c r="D69" s="370"/>
      <c r="E69" s="370"/>
      <c r="F69" s="374"/>
      <c r="G69" s="374"/>
      <c r="H69" s="415"/>
      <c r="I69" s="370"/>
      <c r="J69" s="375"/>
      <c r="K69" s="376"/>
    </row>
    <row r="70" spans="1:11">
      <c r="A70" s="373" t="s">
        <v>140</v>
      </c>
      <c r="B70" s="402" t="s">
        <v>118</v>
      </c>
      <c r="C70" s="365">
        <v>45721</v>
      </c>
      <c r="D70" s="370"/>
      <c r="E70" s="370"/>
      <c r="F70" s="374"/>
      <c r="G70" s="374"/>
      <c r="H70" s="415"/>
      <c r="I70" s="370"/>
      <c r="J70" s="375"/>
      <c r="K70" s="376"/>
    </row>
    <row r="71" spans="1:11">
      <c r="A71" s="373" t="s">
        <v>140</v>
      </c>
      <c r="B71" s="402" t="s">
        <v>120</v>
      </c>
      <c r="C71" s="365">
        <v>45722</v>
      </c>
      <c r="D71" s="402"/>
      <c r="E71" s="402"/>
      <c r="F71" s="374"/>
      <c r="G71" s="374"/>
      <c r="H71" s="415"/>
      <c r="I71" s="370"/>
      <c r="J71" s="375"/>
      <c r="K71" s="376"/>
    </row>
    <row r="72" spans="1:11">
      <c r="A72" s="373" t="s">
        <v>140</v>
      </c>
      <c r="B72" s="402" t="s">
        <v>121</v>
      </c>
      <c r="C72" s="365">
        <v>45723</v>
      </c>
      <c r="D72" s="402"/>
      <c r="E72" s="402"/>
      <c r="F72" s="374"/>
      <c r="G72" s="374"/>
      <c r="H72" s="415"/>
      <c r="I72" s="370"/>
      <c r="J72" s="375"/>
      <c r="K72" s="376"/>
    </row>
    <row r="73" spans="1:11">
      <c r="A73" s="373" t="s">
        <v>140</v>
      </c>
      <c r="B73" s="402" t="s">
        <v>122</v>
      </c>
      <c r="C73" s="365">
        <v>45724</v>
      </c>
      <c r="D73" s="370" t="s">
        <v>131</v>
      </c>
      <c r="E73" s="370" t="s">
        <v>127</v>
      </c>
      <c r="F73" s="374">
        <v>0.33333333333333331</v>
      </c>
      <c r="G73" s="374">
        <v>0.625</v>
      </c>
      <c r="H73" s="415">
        <v>0.29166666666666669</v>
      </c>
      <c r="I73" s="370" t="s">
        <v>155</v>
      </c>
      <c r="J73" s="375" t="s">
        <v>156</v>
      </c>
      <c r="K73" s="376" t="s">
        <v>130</v>
      </c>
    </row>
    <row r="74" spans="1:11">
      <c r="A74" s="373" t="s">
        <v>140</v>
      </c>
      <c r="B74" s="402" t="s">
        <v>123</v>
      </c>
      <c r="C74" s="365">
        <v>45725</v>
      </c>
      <c r="D74" s="370"/>
      <c r="E74" s="370"/>
      <c r="F74" s="374"/>
      <c r="G74" s="374"/>
      <c r="H74" s="415"/>
      <c r="I74" s="370"/>
      <c r="J74" s="375"/>
      <c r="K74" s="376"/>
    </row>
    <row r="75" spans="1:11">
      <c r="A75" s="373" t="s">
        <v>140</v>
      </c>
      <c r="B75" s="417" t="s">
        <v>124</v>
      </c>
      <c r="C75" s="365">
        <v>45726</v>
      </c>
      <c r="D75" s="402"/>
      <c r="E75" s="402"/>
      <c r="F75" s="374"/>
      <c r="G75" s="374"/>
      <c r="H75" s="415"/>
      <c r="I75" s="370"/>
      <c r="J75" s="375"/>
      <c r="K75" s="376"/>
    </row>
    <row r="76" spans="1:11">
      <c r="A76" s="373" t="s">
        <v>140</v>
      </c>
      <c r="B76" s="418" t="s">
        <v>125</v>
      </c>
      <c r="C76" s="365">
        <v>45727</v>
      </c>
      <c r="D76" s="370"/>
      <c r="E76" s="370"/>
      <c r="F76" s="374"/>
      <c r="G76" s="374"/>
      <c r="H76" s="415"/>
      <c r="I76" s="370"/>
      <c r="J76" s="375"/>
      <c r="K76" s="376"/>
    </row>
    <row r="77" spans="1:11">
      <c r="A77" s="373" t="s">
        <v>140</v>
      </c>
      <c r="B77" s="402" t="s">
        <v>118</v>
      </c>
      <c r="C77" s="365">
        <v>45728</v>
      </c>
      <c r="D77" s="370"/>
      <c r="E77" s="370"/>
      <c r="F77" s="374"/>
      <c r="G77" s="374"/>
      <c r="H77" s="415"/>
      <c r="I77" s="370"/>
      <c r="J77" s="375"/>
      <c r="K77" s="376"/>
    </row>
    <row r="78" spans="1:11">
      <c r="A78" s="373" t="s">
        <v>140</v>
      </c>
      <c r="B78" s="402" t="s">
        <v>120</v>
      </c>
      <c r="C78" s="365">
        <v>45729</v>
      </c>
      <c r="D78" s="370"/>
      <c r="E78" s="370"/>
      <c r="F78" s="374"/>
      <c r="G78" s="374"/>
      <c r="H78" s="415"/>
      <c r="I78" s="370"/>
      <c r="J78" s="375"/>
      <c r="K78" s="376"/>
    </row>
    <row r="79" spans="1:11">
      <c r="A79" s="373" t="s">
        <v>140</v>
      </c>
      <c r="B79" s="402" t="s">
        <v>121</v>
      </c>
      <c r="C79" s="365">
        <v>45730</v>
      </c>
      <c r="D79" s="370"/>
      <c r="E79" s="370"/>
      <c r="F79" s="374"/>
      <c r="G79" s="374"/>
      <c r="H79" s="415"/>
      <c r="I79" s="370"/>
      <c r="J79" s="375"/>
      <c r="K79" s="376"/>
    </row>
    <row r="80" spans="1:11">
      <c r="A80" s="373" t="s">
        <v>140</v>
      </c>
      <c r="B80" s="402" t="s">
        <v>122</v>
      </c>
      <c r="C80" s="365">
        <v>45731</v>
      </c>
      <c r="D80" s="370" t="s">
        <v>131</v>
      </c>
      <c r="E80" s="370" t="s">
        <v>127</v>
      </c>
      <c r="F80" s="374">
        <v>0.33333333333333331</v>
      </c>
      <c r="G80" s="374">
        <v>0.60416666666666663</v>
      </c>
      <c r="H80" s="415">
        <v>0.27083333333333331</v>
      </c>
      <c r="I80" s="370" t="s">
        <v>157</v>
      </c>
      <c r="J80" s="375" t="s">
        <v>158</v>
      </c>
      <c r="K80" s="376"/>
    </row>
    <row r="81" spans="1:11">
      <c r="A81" s="373" t="s">
        <v>140</v>
      </c>
      <c r="B81" s="402" t="s">
        <v>123</v>
      </c>
      <c r="C81" s="365">
        <v>45732</v>
      </c>
      <c r="D81" s="370"/>
      <c r="E81" s="370"/>
      <c r="F81" s="374"/>
      <c r="G81" s="374"/>
      <c r="H81" s="415"/>
      <c r="I81" s="370"/>
      <c r="J81" s="375"/>
      <c r="K81" s="376"/>
    </row>
    <row r="82" spans="1:11">
      <c r="A82" s="373" t="s">
        <v>140</v>
      </c>
      <c r="B82" s="417" t="s">
        <v>124</v>
      </c>
      <c r="C82" s="365">
        <v>45733</v>
      </c>
      <c r="D82" s="402"/>
      <c r="E82" s="402"/>
      <c r="F82" s="374"/>
      <c r="G82" s="374"/>
      <c r="H82" s="415"/>
      <c r="I82" s="370"/>
      <c r="J82" s="375"/>
      <c r="K82" s="376"/>
    </row>
    <row r="83" spans="1:11">
      <c r="A83" s="373" t="s">
        <v>140</v>
      </c>
      <c r="B83" s="418" t="s">
        <v>125</v>
      </c>
      <c r="C83" s="365">
        <v>45734</v>
      </c>
      <c r="D83" s="370" t="s">
        <v>126</v>
      </c>
      <c r="E83" s="370" t="s">
        <v>127</v>
      </c>
      <c r="F83" s="374">
        <v>0.9375</v>
      </c>
      <c r="G83" s="374">
        <v>8.3333333333333329E-2</v>
      </c>
      <c r="H83" s="415">
        <v>0.14583333333333334</v>
      </c>
      <c r="I83" s="370" t="s">
        <v>159</v>
      </c>
      <c r="J83" s="375" t="s">
        <v>160</v>
      </c>
      <c r="K83" s="376"/>
    </row>
    <row r="84" spans="1:11">
      <c r="A84" s="373" t="s">
        <v>140</v>
      </c>
      <c r="B84" s="402" t="s">
        <v>118</v>
      </c>
      <c r="C84" s="365">
        <v>45735</v>
      </c>
      <c r="D84" s="370"/>
      <c r="E84" s="370"/>
      <c r="F84" s="374"/>
      <c r="G84" s="374"/>
      <c r="H84" s="415"/>
      <c r="I84" s="370"/>
      <c r="J84" s="375"/>
      <c r="K84" s="376"/>
    </row>
    <row r="85" spans="1:11">
      <c r="A85" s="373" t="s">
        <v>140</v>
      </c>
      <c r="B85" s="402" t="s">
        <v>120</v>
      </c>
      <c r="C85" s="365">
        <v>45736</v>
      </c>
      <c r="D85" s="370"/>
      <c r="E85" s="370"/>
      <c r="F85" s="374"/>
      <c r="G85" s="374"/>
      <c r="H85" s="415"/>
      <c r="I85" s="370"/>
      <c r="J85" s="375"/>
      <c r="K85" s="376"/>
    </row>
    <row r="86" spans="1:11">
      <c r="A86" s="373" t="s">
        <v>140</v>
      </c>
      <c r="B86" s="402" t="s">
        <v>121</v>
      </c>
      <c r="C86" s="365">
        <v>45737</v>
      </c>
      <c r="D86" s="370"/>
      <c r="E86" s="370"/>
      <c r="F86" s="374"/>
      <c r="G86" s="374"/>
      <c r="H86" s="415"/>
      <c r="I86" s="370"/>
      <c r="J86" s="375"/>
      <c r="K86" s="376"/>
    </row>
    <row r="87" spans="1:11">
      <c r="A87" s="373" t="s">
        <v>140</v>
      </c>
      <c r="B87" s="402" t="s">
        <v>122</v>
      </c>
      <c r="C87" s="365">
        <v>45738</v>
      </c>
      <c r="D87" s="370" t="s">
        <v>131</v>
      </c>
      <c r="E87" s="370" t="s">
        <v>127</v>
      </c>
      <c r="F87" s="374">
        <v>0.33333333333333331</v>
      </c>
      <c r="G87" s="374">
        <v>0.60416666666666663</v>
      </c>
      <c r="H87" s="415">
        <v>0.27083333333333331</v>
      </c>
      <c r="I87" s="370" t="s">
        <v>161</v>
      </c>
      <c r="J87" s="375" t="s">
        <v>162</v>
      </c>
      <c r="K87" s="376"/>
    </row>
    <row r="88" spans="1:11">
      <c r="A88" s="373" t="s">
        <v>140</v>
      </c>
      <c r="B88" s="402" t="s">
        <v>123</v>
      </c>
      <c r="C88" s="365">
        <v>45739</v>
      </c>
      <c r="D88" s="370"/>
      <c r="E88" s="370"/>
      <c r="F88" s="374"/>
      <c r="G88" s="374"/>
      <c r="H88" s="415"/>
      <c r="I88" s="370"/>
      <c r="J88" s="375"/>
      <c r="K88" s="376"/>
    </row>
    <row r="89" spans="1:11">
      <c r="A89" s="373" t="s">
        <v>140</v>
      </c>
      <c r="B89" s="417" t="s">
        <v>124</v>
      </c>
      <c r="C89" s="365">
        <v>45740</v>
      </c>
      <c r="D89" s="370"/>
      <c r="E89" s="370"/>
      <c r="F89" s="374"/>
      <c r="G89" s="374"/>
      <c r="H89" s="415"/>
      <c r="I89" s="370"/>
      <c r="J89" s="375"/>
      <c r="K89" s="376"/>
    </row>
    <row r="90" spans="1:11">
      <c r="A90" s="373" t="s">
        <v>140</v>
      </c>
      <c r="B90" s="418" t="s">
        <v>125</v>
      </c>
      <c r="C90" s="365">
        <v>45741</v>
      </c>
      <c r="D90" s="370"/>
      <c r="E90" s="370"/>
      <c r="F90" s="374"/>
      <c r="G90" s="374"/>
      <c r="H90" s="415"/>
      <c r="I90" s="370"/>
      <c r="J90" s="375"/>
      <c r="K90" s="376"/>
    </row>
    <row r="91" spans="1:11">
      <c r="A91" s="373" t="s">
        <v>140</v>
      </c>
      <c r="B91" s="402" t="s">
        <v>118</v>
      </c>
      <c r="C91" s="365">
        <v>45742</v>
      </c>
      <c r="D91" s="370"/>
      <c r="E91" s="370"/>
      <c r="F91" s="374"/>
      <c r="G91" s="374"/>
      <c r="H91" s="415"/>
      <c r="I91" s="370"/>
      <c r="J91" s="375"/>
      <c r="K91" s="376"/>
    </row>
    <row r="92" spans="1:11">
      <c r="A92" s="373" t="s">
        <v>140</v>
      </c>
      <c r="B92" s="402" t="s">
        <v>120</v>
      </c>
      <c r="C92" s="365">
        <v>45743</v>
      </c>
      <c r="D92" s="370"/>
      <c r="E92" s="370"/>
      <c r="F92" s="374"/>
      <c r="G92" s="374"/>
      <c r="H92" s="415"/>
      <c r="I92" s="370"/>
      <c r="J92" s="375"/>
      <c r="K92" s="376"/>
    </row>
    <row r="93" spans="1:11">
      <c r="A93" s="373" t="s">
        <v>140</v>
      </c>
      <c r="B93" s="402" t="s">
        <v>121</v>
      </c>
      <c r="C93" s="365">
        <v>45744</v>
      </c>
      <c r="D93" s="370"/>
      <c r="E93" s="370"/>
      <c r="F93" s="374"/>
      <c r="G93" s="374"/>
      <c r="H93" s="415"/>
      <c r="I93" s="370"/>
      <c r="J93" s="375"/>
      <c r="K93" s="376"/>
    </row>
    <row r="94" spans="1:11">
      <c r="A94" s="373" t="s">
        <v>140</v>
      </c>
      <c r="B94" s="402" t="s">
        <v>122</v>
      </c>
      <c r="C94" s="365">
        <v>45745</v>
      </c>
      <c r="D94" s="370"/>
      <c r="E94" s="370"/>
      <c r="F94" s="374"/>
      <c r="G94" s="374"/>
      <c r="H94" s="415"/>
      <c r="I94" s="370"/>
      <c r="J94" s="375"/>
      <c r="K94" s="376"/>
    </row>
    <row r="95" spans="1:11">
      <c r="A95" s="373" t="s">
        <v>140</v>
      </c>
      <c r="B95" s="402" t="s">
        <v>123</v>
      </c>
      <c r="C95" s="365">
        <v>45746</v>
      </c>
      <c r="D95" s="370"/>
      <c r="E95" s="370"/>
      <c r="F95" s="374"/>
      <c r="G95" s="374"/>
      <c r="H95" s="415"/>
      <c r="I95" s="370"/>
      <c r="J95" s="375"/>
      <c r="K95" s="376"/>
    </row>
    <row r="96" spans="1:11" s="413" customFormat="1">
      <c r="A96" s="436" t="s">
        <v>140</v>
      </c>
      <c r="B96" s="437" t="s">
        <v>124</v>
      </c>
      <c r="C96" s="438">
        <v>45747</v>
      </c>
      <c r="D96" s="439"/>
      <c r="E96" s="439"/>
      <c r="F96" s="440"/>
      <c r="G96" s="440"/>
      <c r="H96" s="441"/>
      <c r="I96" s="439"/>
      <c r="J96" s="442"/>
      <c r="K96" s="443"/>
    </row>
    <row r="97" spans="1:11" s="413" customFormat="1">
      <c r="A97" s="431"/>
      <c r="B97" s="432"/>
      <c r="C97" s="433"/>
      <c r="D97" s="432"/>
      <c r="E97" s="432"/>
      <c r="F97" s="434"/>
      <c r="G97" s="434"/>
      <c r="H97" s="432"/>
      <c r="I97" s="432"/>
      <c r="J97" s="435"/>
      <c r="K97" s="435"/>
    </row>
  </sheetData>
  <sortState xmlns:xlrd2="http://schemas.microsoft.com/office/spreadsheetml/2017/richdata2" ref="A7:K22">
    <sortCondition ref="C7:C22"/>
    <sortCondition ref="E7:E22"/>
  </sortState>
  <phoneticPr fontId="2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E50A-7B22-4203-BF19-3FD64F036EB9}">
  <dimension ref="A1:C10"/>
  <sheetViews>
    <sheetView topLeftCell="A6" workbookViewId="0">
      <selection activeCell="C40" sqref="C40"/>
    </sheetView>
  </sheetViews>
  <sheetFormatPr defaultColWidth="9.140625" defaultRowHeight="15"/>
  <cols>
    <col min="1" max="1" width="9.140625" style="133"/>
    <col min="2" max="2" width="34.28515625" style="133" customWidth="1"/>
    <col min="3" max="3" width="26" style="133" customWidth="1"/>
    <col min="4" max="16384" width="9.140625" style="133"/>
  </cols>
  <sheetData>
    <row r="1" spans="1:3">
      <c r="A1" s="142" t="s">
        <v>163</v>
      </c>
      <c r="B1" s="143" t="s">
        <v>164</v>
      </c>
      <c r="C1" s="143" t="s">
        <v>165</v>
      </c>
    </row>
    <row r="2" spans="1:3">
      <c r="A2" s="144">
        <v>1</v>
      </c>
      <c r="B2" s="145" t="s">
        <v>166</v>
      </c>
      <c r="C2" s="145">
        <v>652804917</v>
      </c>
    </row>
    <row r="3" spans="1:3">
      <c r="A3" s="144">
        <v>2</v>
      </c>
      <c r="B3" s="145" t="s">
        <v>167</v>
      </c>
      <c r="C3" s="145">
        <v>684432273</v>
      </c>
    </row>
    <row r="4" spans="1:3">
      <c r="A4" s="144">
        <v>3</v>
      </c>
      <c r="B4" s="145" t="s">
        <v>168</v>
      </c>
      <c r="C4" s="145">
        <v>658369172</v>
      </c>
    </row>
    <row r="5" spans="1:3">
      <c r="A5" s="144">
        <v>4</v>
      </c>
      <c r="B5" s="145" t="s">
        <v>169</v>
      </c>
      <c r="C5" s="145">
        <v>605486183</v>
      </c>
    </row>
    <row r="6" spans="1:3">
      <c r="A6" s="144">
        <v>5</v>
      </c>
      <c r="B6" s="145" t="s">
        <v>170</v>
      </c>
      <c r="C6" s="145">
        <v>684433715</v>
      </c>
    </row>
    <row r="7" spans="1:3">
      <c r="A7" s="144">
        <v>6</v>
      </c>
      <c r="B7" s="145" t="s">
        <v>99</v>
      </c>
      <c r="C7" s="145">
        <v>684433775</v>
      </c>
    </row>
    <row r="8" spans="1:3">
      <c r="A8" s="144">
        <v>7</v>
      </c>
      <c r="B8" s="145" t="s">
        <v>171</v>
      </c>
      <c r="C8" s="145">
        <v>605486537</v>
      </c>
    </row>
    <row r="9" spans="1:3">
      <c r="A9" s="144">
        <v>8</v>
      </c>
      <c r="B9" s="145" t="s">
        <v>172</v>
      </c>
      <c r="C9" s="145">
        <v>651577705</v>
      </c>
    </row>
    <row r="10" spans="1:3">
      <c r="A10" s="146" t="s">
        <v>173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1ADD-0491-49B1-BC32-9D581CBFEA46}">
  <dimension ref="A1:AR131"/>
  <sheetViews>
    <sheetView workbookViewId="0">
      <selection activeCell="E12" sqref="E12"/>
    </sheetView>
  </sheetViews>
  <sheetFormatPr defaultColWidth="8.7109375" defaultRowHeight="15"/>
  <cols>
    <col min="1" max="1" width="37.5703125" style="130" customWidth="1"/>
    <col min="2" max="2" width="11.140625" style="130" customWidth="1"/>
    <col min="3" max="3" width="9.140625" style="130" bestFit="1" customWidth="1"/>
    <col min="4" max="4" width="11.42578125" style="130" bestFit="1" customWidth="1"/>
    <col min="5" max="5" width="8.5703125" style="130" bestFit="1" customWidth="1"/>
    <col min="6" max="6" width="11.42578125" style="130" bestFit="1" customWidth="1"/>
    <col min="7" max="7" width="13" style="130" bestFit="1" customWidth="1"/>
    <col min="8" max="8" width="8.42578125" style="130" bestFit="1" customWidth="1"/>
    <col min="9" max="9" width="13" style="130" bestFit="1" customWidth="1"/>
    <col min="10" max="10" width="17" style="130" bestFit="1" customWidth="1"/>
    <col min="11" max="12" width="8.7109375" style="130"/>
    <col min="13" max="13" width="9.7109375" style="130" bestFit="1" customWidth="1"/>
    <col min="14" max="14" width="8.7109375" style="130"/>
    <col min="15" max="15" width="9.85546875" style="130" bestFit="1" customWidth="1"/>
    <col min="16" max="16384" width="8.7109375" style="130"/>
  </cols>
  <sheetData>
    <row r="1" spans="1:11" customFormat="1">
      <c r="A1" s="276" t="s">
        <v>174</v>
      </c>
      <c r="B1" s="276" t="s">
        <v>175</v>
      </c>
      <c r="C1" s="276" t="s">
        <v>176</v>
      </c>
      <c r="D1" s="276" t="s">
        <v>177</v>
      </c>
      <c r="E1" s="276" t="s">
        <v>178</v>
      </c>
      <c r="F1" s="276" t="s">
        <v>179</v>
      </c>
      <c r="G1" s="276" t="s">
        <v>180</v>
      </c>
      <c r="H1" s="276" t="s">
        <v>181</v>
      </c>
      <c r="I1" s="276" t="s">
        <v>182</v>
      </c>
      <c r="J1" s="276" t="s">
        <v>183</v>
      </c>
      <c r="K1" s="276"/>
    </row>
    <row r="2" spans="1:11" customFormat="1">
      <c r="A2" s="287" t="s">
        <v>184</v>
      </c>
      <c r="B2" s="277" t="s">
        <v>185</v>
      </c>
      <c r="C2" s="277" t="s">
        <v>186</v>
      </c>
      <c r="D2" s="277">
        <v>1</v>
      </c>
      <c r="E2" s="277">
        <v>1</v>
      </c>
      <c r="F2" s="277">
        <v>0.5</v>
      </c>
      <c r="G2" s="277">
        <v>0</v>
      </c>
      <c r="H2" s="277">
        <v>0</v>
      </c>
      <c r="I2" s="277">
        <f t="shared" ref="I2:I12" si="0">SUM(D2:H2)</f>
        <v>2.5</v>
      </c>
      <c r="J2" s="277">
        <f>SUM(D2:H2)/5</f>
        <v>0.5</v>
      </c>
      <c r="K2" s="277"/>
    </row>
    <row r="3" spans="1:11" customFormat="1">
      <c r="A3" s="287" t="s">
        <v>99</v>
      </c>
      <c r="B3" s="277" t="s">
        <v>185</v>
      </c>
      <c r="C3" s="277" t="s">
        <v>186</v>
      </c>
      <c r="D3" s="277">
        <v>0</v>
      </c>
      <c r="E3" s="277">
        <v>1</v>
      </c>
      <c r="F3" s="277">
        <v>1</v>
      </c>
      <c r="G3" s="277">
        <v>0</v>
      </c>
      <c r="H3" s="277">
        <v>0.5</v>
      </c>
      <c r="I3" s="277">
        <f t="shared" si="0"/>
        <v>2.5</v>
      </c>
      <c r="J3" s="277">
        <f t="shared" ref="J3:J4" si="1">SUM(D3:H3)/5</f>
        <v>0.5</v>
      </c>
      <c r="K3" s="277"/>
    </row>
    <row r="4" spans="1:11" customFormat="1">
      <c r="A4" s="287" t="s">
        <v>171</v>
      </c>
      <c r="B4" s="278" t="s">
        <v>185</v>
      </c>
      <c r="C4" s="278" t="s">
        <v>186</v>
      </c>
      <c r="D4" s="278">
        <v>0</v>
      </c>
      <c r="E4" s="278">
        <v>1</v>
      </c>
      <c r="F4" s="278">
        <v>0</v>
      </c>
      <c r="G4" s="278">
        <v>1</v>
      </c>
      <c r="H4" s="278">
        <v>0.5</v>
      </c>
      <c r="I4" s="278">
        <f t="shared" si="0"/>
        <v>2.5</v>
      </c>
      <c r="J4" s="278">
        <f t="shared" si="1"/>
        <v>0.5</v>
      </c>
      <c r="K4" s="278"/>
    </row>
    <row r="5" spans="1:11" customFormat="1">
      <c r="A5" s="287" t="s">
        <v>187</v>
      </c>
      <c r="B5" s="277" t="s">
        <v>185</v>
      </c>
      <c r="C5" s="277" t="s">
        <v>186</v>
      </c>
      <c r="D5" s="277">
        <v>1</v>
      </c>
      <c r="E5" s="277">
        <v>0</v>
      </c>
      <c r="F5" s="277">
        <v>0.5</v>
      </c>
      <c r="G5" s="277">
        <v>0</v>
      </c>
      <c r="H5" s="277">
        <v>1</v>
      </c>
      <c r="I5" s="277">
        <f t="shared" si="0"/>
        <v>2.5</v>
      </c>
      <c r="J5" s="277">
        <f>SUM(D5:H5)/5</f>
        <v>0.5</v>
      </c>
      <c r="K5" s="277"/>
    </row>
    <row r="6" spans="1:11" customFormat="1">
      <c r="A6" s="287" t="s">
        <v>188</v>
      </c>
      <c r="B6" s="278" t="s">
        <v>185</v>
      </c>
      <c r="C6" s="278" t="s">
        <v>186</v>
      </c>
      <c r="D6" s="278">
        <v>0</v>
      </c>
      <c r="E6" s="278">
        <v>0</v>
      </c>
      <c r="F6" s="278">
        <v>1</v>
      </c>
      <c r="G6" s="278">
        <v>1</v>
      </c>
      <c r="H6" s="278">
        <v>0.5</v>
      </c>
      <c r="I6" s="278">
        <f t="shared" si="0"/>
        <v>2.5</v>
      </c>
      <c r="J6" s="278">
        <f>SUM(D6:H6)/5</f>
        <v>0.5</v>
      </c>
      <c r="K6" s="278"/>
    </row>
    <row r="7" spans="1:11" customFormat="1">
      <c r="A7" s="287" t="s">
        <v>189</v>
      </c>
      <c r="B7" s="277" t="s">
        <v>185</v>
      </c>
      <c r="C7" s="277" t="s">
        <v>186</v>
      </c>
      <c r="D7" s="277">
        <v>0</v>
      </c>
      <c r="E7" s="277">
        <v>0</v>
      </c>
      <c r="F7" s="290">
        <v>1</v>
      </c>
      <c r="G7" s="277">
        <v>1</v>
      </c>
      <c r="H7" s="277">
        <v>0.5</v>
      </c>
      <c r="I7" s="277">
        <f t="shared" si="0"/>
        <v>2.5</v>
      </c>
      <c r="J7" s="277">
        <f>SUM(D7:H7)/5</f>
        <v>0.5</v>
      </c>
      <c r="K7" s="277"/>
    </row>
    <row r="8" spans="1:11" customFormat="1">
      <c r="A8" s="287" t="s">
        <v>190</v>
      </c>
      <c r="B8" s="278" t="s">
        <v>185</v>
      </c>
      <c r="C8" s="278" t="s">
        <v>186</v>
      </c>
      <c r="D8" s="278">
        <v>1</v>
      </c>
      <c r="E8" s="278">
        <v>1</v>
      </c>
      <c r="F8" s="278">
        <v>1</v>
      </c>
      <c r="G8" s="278">
        <v>0</v>
      </c>
      <c r="H8" s="278">
        <v>0</v>
      </c>
      <c r="I8" s="278">
        <f t="shared" si="0"/>
        <v>3</v>
      </c>
      <c r="J8" s="278">
        <v>0.5</v>
      </c>
      <c r="K8" s="278"/>
    </row>
    <row r="9" spans="1:11" s="50" customFormat="1">
      <c r="A9" s="287" t="s">
        <v>191</v>
      </c>
      <c r="B9" s="277" t="s">
        <v>185</v>
      </c>
      <c r="C9" s="277" t="s">
        <v>186</v>
      </c>
      <c r="D9" s="275">
        <v>0</v>
      </c>
      <c r="E9" s="275">
        <v>0.5</v>
      </c>
      <c r="F9" s="275">
        <v>0</v>
      </c>
      <c r="G9" s="275">
        <v>1</v>
      </c>
      <c r="H9" s="275">
        <v>1</v>
      </c>
      <c r="I9" s="275">
        <f t="shared" si="0"/>
        <v>2.5</v>
      </c>
      <c r="J9" s="275">
        <f>SUM(D9:H9)/5</f>
        <v>0.5</v>
      </c>
      <c r="K9" s="275"/>
    </row>
    <row r="10" spans="1:11" customFormat="1">
      <c r="A10" s="287" t="s">
        <v>192</v>
      </c>
      <c r="B10" s="278" t="s">
        <v>185</v>
      </c>
      <c r="C10" s="278" t="s">
        <v>186</v>
      </c>
      <c r="D10" s="278">
        <v>1</v>
      </c>
      <c r="E10" s="278">
        <v>0</v>
      </c>
      <c r="F10" s="278">
        <v>1</v>
      </c>
      <c r="G10" s="278">
        <v>0</v>
      </c>
      <c r="H10" s="278">
        <v>1</v>
      </c>
      <c r="I10" s="278">
        <f t="shared" si="0"/>
        <v>3</v>
      </c>
      <c r="J10" s="278">
        <v>0.5</v>
      </c>
      <c r="K10" s="278"/>
    </row>
    <row r="11" spans="1:11" customFormat="1">
      <c r="A11" s="287" t="s">
        <v>193</v>
      </c>
      <c r="B11" s="278" t="s">
        <v>185</v>
      </c>
      <c r="C11" s="278" t="s">
        <v>186</v>
      </c>
      <c r="D11" s="278">
        <v>0</v>
      </c>
      <c r="E11" s="278">
        <v>0</v>
      </c>
      <c r="F11" s="278">
        <v>1</v>
      </c>
      <c r="G11" s="278">
        <v>1</v>
      </c>
      <c r="H11" s="278">
        <v>0</v>
      </c>
      <c r="I11" s="278">
        <f t="shared" si="0"/>
        <v>2</v>
      </c>
      <c r="J11" s="278">
        <v>0.5</v>
      </c>
      <c r="K11" s="278"/>
    </row>
    <row r="12" spans="1:11" customFormat="1">
      <c r="A12" s="287" t="s">
        <v>194</v>
      </c>
      <c r="B12" s="278" t="s">
        <v>185</v>
      </c>
      <c r="C12" s="278" t="s">
        <v>186</v>
      </c>
      <c r="D12" s="278">
        <v>0</v>
      </c>
      <c r="E12" s="278">
        <v>1</v>
      </c>
      <c r="F12" s="278">
        <v>0</v>
      </c>
      <c r="G12" s="278">
        <v>0.5</v>
      </c>
      <c r="H12" s="278">
        <v>1</v>
      </c>
      <c r="I12" s="278">
        <f t="shared" si="0"/>
        <v>2.5</v>
      </c>
      <c r="J12" s="278"/>
      <c r="K12" s="278"/>
    </row>
    <row r="13" spans="1:11" s="50" customFormat="1" ht="15.75">
      <c r="A13" s="909" t="s">
        <v>102</v>
      </c>
      <c r="B13" s="909"/>
      <c r="C13" s="909"/>
      <c r="D13" s="292">
        <f t="shared" ref="D13:I13" si="2">SUM(D2:D12)</f>
        <v>4</v>
      </c>
      <c r="E13" s="292">
        <f t="shared" si="2"/>
        <v>5.5</v>
      </c>
      <c r="F13" s="292">
        <f t="shared" si="2"/>
        <v>7</v>
      </c>
      <c r="G13" s="292">
        <f t="shared" si="2"/>
        <v>5.5</v>
      </c>
      <c r="H13" s="292">
        <f t="shared" si="2"/>
        <v>6</v>
      </c>
      <c r="I13" s="292">
        <f t="shared" si="2"/>
        <v>28</v>
      </c>
      <c r="J13" s="278">
        <v>0.5</v>
      </c>
      <c r="K13" s="292"/>
    </row>
    <row r="14" spans="1:11" s="50" customFormat="1">
      <c r="B14" s="911"/>
      <c r="C14" s="911"/>
    </row>
    <row r="15" spans="1:11" customFormat="1"/>
    <row r="16" spans="1:11" customFormat="1">
      <c r="A16" s="910" t="s">
        <v>195</v>
      </c>
      <c r="B16" s="50"/>
      <c r="C16" s="50"/>
      <c r="D16" s="50"/>
      <c r="E16" s="50"/>
      <c r="F16" s="50"/>
    </row>
    <row r="17" spans="1:8" customFormat="1">
      <c r="A17" s="910"/>
      <c r="B17" s="50"/>
      <c r="C17" s="50"/>
      <c r="D17" s="50"/>
      <c r="E17" s="50"/>
      <c r="F17" s="50"/>
    </row>
    <row r="18" spans="1:8" customFormat="1">
      <c r="A18" s="283" t="s">
        <v>196</v>
      </c>
      <c r="B18" s="276" t="s">
        <v>177</v>
      </c>
      <c r="C18" s="276" t="s">
        <v>178</v>
      </c>
      <c r="D18" s="276" t="s">
        <v>179</v>
      </c>
      <c r="E18" s="276" t="s">
        <v>180</v>
      </c>
      <c r="F18" s="276" t="s">
        <v>181</v>
      </c>
      <c r="G18" s="276" t="s">
        <v>182</v>
      </c>
    </row>
    <row r="19" spans="1:8" customFormat="1">
      <c r="A19" s="288" t="s">
        <v>184</v>
      </c>
      <c r="B19" s="277">
        <v>1</v>
      </c>
      <c r="C19" s="277">
        <v>1</v>
      </c>
      <c r="D19" s="277">
        <v>0</v>
      </c>
      <c r="E19" s="277">
        <v>0</v>
      </c>
      <c r="F19" s="277">
        <v>0</v>
      </c>
      <c r="G19" s="291">
        <f>SUM(B19:F19)</f>
        <v>2</v>
      </c>
      <c r="H19" t="s">
        <v>197</v>
      </c>
    </row>
    <row r="20" spans="1:8" customFormat="1">
      <c r="A20" s="288" t="s">
        <v>99</v>
      </c>
      <c r="B20" s="277">
        <v>0</v>
      </c>
      <c r="C20" s="277">
        <v>1</v>
      </c>
      <c r="D20" s="277">
        <v>0</v>
      </c>
      <c r="E20" s="277">
        <v>1</v>
      </c>
      <c r="F20" s="277">
        <v>0</v>
      </c>
      <c r="G20" s="291">
        <f t="shared" ref="G20:G30" si="3">SUM(B20:F20)</f>
        <v>2</v>
      </c>
      <c r="H20" t="s">
        <v>198</v>
      </c>
    </row>
    <row r="21" spans="1:8" customFormat="1">
      <c r="A21" s="288" t="s">
        <v>171</v>
      </c>
      <c r="B21" s="278">
        <v>0</v>
      </c>
      <c r="C21" s="278">
        <v>1</v>
      </c>
      <c r="D21" s="278">
        <v>0</v>
      </c>
      <c r="E21" s="278">
        <v>1</v>
      </c>
      <c r="F21" s="278">
        <v>0</v>
      </c>
      <c r="G21" s="291">
        <f t="shared" si="3"/>
        <v>2</v>
      </c>
      <c r="H21" t="s">
        <v>199</v>
      </c>
    </row>
    <row r="22" spans="1:8" customFormat="1">
      <c r="A22" s="288" t="s">
        <v>187</v>
      </c>
      <c r="B22" s="277">
        <v>1</v>
      </c>
      <c r="C22" s="277">
        <v>0</v>
      </c>
      <c r="D22" s="277">
        <v>1</v>
      </c>
      <c r="E22" s="277">
        <v>0</v>
      </c>
      <c r="F22" s="277">
        <v>1</v>
      </c>
      <c r="G22" s="291">
        <f t="shared" si="3"/>
        <v>3</v>
      </c>
    </row>
    <row r="23" spans="1:8" customFormat="1">
      <c r="A23" s="288" t="s">
        <v>188</v>
      </c>
      <c r="B23" s="278">
        <v>0</v>
      </c>
      <c r="C23" s="278">
        <v>0</v>
      </c>
      <c r="D23" s="278">
        <v>1</v>
      </c>
      <c r="E23" s="278">
        <v>1</v>
      </c>
      <c r="F23" s="278">
        <v>0</v>
      </c>
      <c r="G23" s="291">
        <f t="shared" si="3"/>
        <v>2</v>
      </c>
      <c r="H23" t="s">
        <v>200</v>
      </c>
    </row>
    <row r="24" spans="1:8" customFormat="1">
      <c r="A24" s="288" t="s">
        <v>189</v>
      </c>
      <c r="B24" s="277">
        <v>0</v>
      </c>
      <c r="C24" s="277">
        <v>0</v>
      </c>
      <c r="D24" s="290">
        <v>1</v>
      </c>
      <c r="E24" s="277">
        <v>1</v>
      </c>
      <c r="F24" s="277">
        <v>0</v>
      </c>
      <c r="G24" s="291">
        <f t="shared" si="3"/>
        <v>2</v>
      </c>
    </row>
    <row r="25" spans="1:8" customFormat="1">
      <c r="A25" s="288" t="s">
        <v>190</v>
      </c>
      <c r="B25" s="278">
        <v>1</v>
      </c>
      <c r="C25" s="278">
        <v>1</v>
      </c>
      <c r="D25" s="278">
        <v>1</v>
      </c>
      <c r="E25" s="278">
        <v>0</v>
      </c>
      <c r="F25" s="278">
        <v>0</v>
      </c>
      <c r="G25" s="291">
        <f t="shared" si="3"/>
        <v>3</v>
      </c>
    </row>
    <row r="26" spans="1:8" customFormat="1">
      <c r="A26" s="288" t="s">
        <v>191</v>
      </c>
      <c r="B26" s="275">
        <v>0</v>
      </c>
      <c r="C26" s="275">
        <v>0</v>
      </c>
      <c r="D26" s="275">
        <v>0</v>
      </c>
      <c r="E26" s="275">
        <v>1</v>
      </c>
      <c r="F26" s="275">
        <v>1</v>
      </c>
      <c r="G26" s="291">
        <f t="shared" si="3"/>
        <v>2</v>
      </c>
    </row>
    <row r="27" spans="1:8" customFormat="1">
      <c r="A27" s="289" t="s">
        <v>192</v>
      </c>
      <c r="B27" s="285">
        <v>1</v>
      </c>
      <c r="C27" s="285">
        <v>0</v>
      </c>
      <c r="D27" s="285">
        <v>1</v>
      </c>
      <c r="E27" s="285">
        <v>0</v>
      </c>
      <c r="F27" s="285">
        <v>1</v>
      </c>
      <c r="G27" s="291">
        <f t="shared" si="3"/>
        <v>3</v>
      </c>
    </row>
    <row r="28" spans="1:8" customFormat="1">
      <c r="A28" s="289" t="s">
        <v>193</v>
      </c>
      <c r="B28" s="285">
        <v>0</v>
      </c>
      <c r="C28" s="285">
        <v>0</v>
      </c>
      <c r="D28" s="285">
        <v>1</v>
      </c>
      <c r="E28" s="285">
        <v>1</v>
      </c>
      <c r="F28" s="285">
        <v>0</v>
      </c>
      <c r="G28" s="291">
        <f t="shared" si="3"/>
        <v>2</v>
      </c>
    </row>
    <row r="29" spans="1:8" customFormat="1">
      <c r="A29" s="289" t="s">
        <v>194</v>
      </c>
      <c r="B29" s="285">
        <v>0</v>
      </c>
      <c r="C29" s="285">
        <v>1</v>
      </c>
      <c r="D29" s="285">
        <v>0</v>
      </c>
      <c r="E29" s="285">
        <v>0</v>
      </c>
      <c r="F29" s="285">
        <v>1</v>
      </c>
      <c r="G29" s="291">
        <f t="shared" si="3"/>
        <v>2</v>
      </c>
      <c r="H29" t="s">
        <v>199</v>
      </c>
    </row>
    <row r="30" spans="1:8" customFormat="1" ht="15.75">
      <c r="A30" s="286" t="s">
        <v>102</v>
      </c>
      <c r="B30" s="286">
        <f>SUM(B19:B29)</f>
        <v>4</v>
      </c>
      <c r="C30" s="286">
        <f>SUM(C19:C29)</f>
        <v>5</v>
      </c>
      <c r="D30" s="286">
        <f>SUM(D19:D29)</f>
        <v>6</v>
      </c>
      <c r="E30" s="286">
        <f>SUM(E19:E29)</f>
        <v>6</v>
      </c>
      <c r="F30" s="286">
        <f>SUM(F19:F29)</f>
        <v>4</v>
      </c>
      <c r="G30" s="291">
        <f t="shared" si="3"/>
        <v>25</v>
      </c>
    </row>
    <row r="31" spans="1:8" customFormat="1" ht="15.75">
      <c r="G31" s="284"/>
    </row>
    <row r="32" spans="1:8" customFormat="1" ht="15.75">
      <c r="G32" s="281"/>
    </row>
    <row r="33" spans="1:8" customFormat="1" ht="15.75">
      <c r="A33" s="910" t="s">
        <v>201</v>
      </c>
      <c r="B33" s="50"/>
      <c r="C33" s="50"/>
      <c r="D33" s="50"/>
      <c r="E33" s="50"/>
      <c r="F33" s="50"/>
      <c r="G33" s="281"/>
    </row>
    <row r="34" spans="1:8" customFormat="1" ht="15.75">
      <c r="A34" s="910"/>
      <c r="B34" s="50"/>
      <c r="C34" s="50"/>
      <c r="D34" s="50"/>
      <c r="E34" s="50"/>
      <c r="F34" s="50"/>
      <c r="G34" s="281"/>
    </row>
    <row r="35" spans="1:8" customFormat="1">
      <c r="A35" s="282" t="s">
        <v>196</v>
      </c>
      <c r="B35" s="276" t="s">
        <v>177</v>
      </c>
      <c r="C35" s="276" t="s">
        <v>178</v>
      </c>
      <c r="D35" s="276" t="s">
        <v>179</v>
      </c>
      <c r="E35" s="276" t="s">
        <v>180</v>
      </c>
      <c r="F35" s="276" t="s">
        <v>181</v>
      </c>
      <c r="G35" s="276" t="s">
        <v>182</v>
      </c>
    </row>
    <row r="36" spans="1:8" customFormat="1">
      <c r="A36" s="288" t="s">
        <v>184</v>
      </c>
      <c r="B36" s="277">
        <v>1</v>
      </c>
      <c r="C36" s="277">
        <v>1</v>
      </c>
      <c r="D36" s="277">
        <v>1</v>
      </c>
      <c r="E36" s="277">
        <v>0</v>
      </c>
      <c r="F36" s="277">
        <v>0</v>
      </c>
      <c r="G36" s="291">
        <f>SUM(B36:F36)</f>
        <v>3</v>
      </c>
    </row>
    <row r="37" spans="1:8" customFormat="1">
      <c r="A37" s="288" t="s">
        <v>99</v>
      </c>
      <c r="B37" s="277">
        <v>0</v>
      </c>
      <c r="C37" s="277">
        <v>1</v>
      </c>
      <c r="D37" s="277">
        <v>0</v>
      </c>
      <c r="E37" s="277">
        <v>1</v>
      </c>
      <c r="F37" s="277">
        <v>1</v>
      </c>
      <c r="G37" s="291">
        <f t="shared" ref="G37:G47" si="4">SUM(B37:F37)</f>
        <v>3</v>
      </c>
      <c r="H37" t="s">
        <v>202</v>
      </c>
    </row>
    <row r="38" spans="1:8" customFormat="1">
      <c r="A38" s="288" t="s">
        <v>171</v>
      </c>
      <c r="B38" s="278">
        <v>0</v>
      </c>
      <c r="C38" s="278">
        <v>1</v>
      </c>
      <c r="D38" s="278">
        <v>0</v>
      </c>
      <c r="E38" s="278">
        <v>1</v>
      </c>
      <c r="F38" s="278">
        <v>1</v>
      </c>
      <c r="G38" s="291">
        <f t="shared" si="4"/>
        <v>3</v>
      </c>
    </row>
    <row r="39" spans="1:8" customFormat="1">
      <c r="A39" s="288" t="s">
        <v>187</v>
      </c>
      <c r="B39" s="277">
        <v>1</v>
      </c>
      <c r="C39" s="277">
        <v>0</v>
      </c>
      <c r="D39" s="277">
        <v>0</v>
      </c>
      <c r="E39" s="277">
        <v>0</v>
      </c>
      <c r="F39" s="277">
        <v>1</v>
      </c>
      <c r="G39" s="291">
        <f t="shared" si="4"/>
        <v>2</v>
      </c>
    </row>
    <row r="40" spans="1:8" customFormat="1">
      <c r="A40" s="288" t="s">
        <v>188</v>
      </c>
      <c r="B40" s="278">
        <v>0</v>
      </c>
      <c r="C40" s="278">
        <v>0</v>
      </c>
      <c r="D40" s="278">
        <v>1</v>
      </c>
      <c r="E40" s="278">
        <v>1</v>
      </c>
      <c r="F40" s="278">
        <v>1</v>
      </c>
      <c r="G40" s="291">
        <f t="shared" si="4"/>
        <v>3</v>
      </c>
    </row>
    <row r="41" spans="1:8" customFormat="1">
      <c r="A41" s="288" t="s">
        <v>189</v>
      </c>
      <c r="B41" s="277">
        <v>0</v>
      </c>
      <c r="C41" s="277">
        <v>0</v>
      </c>
      <c r="D41" s="290">
        <v>1</v>
      </c>
      <c r="E41" s="277">
        <v>1</v>
      </c>
      <c r="F41" s="277">
        <v>1</v>
      </c>
      <c r="G41" s="291">
        <f t="shared" si="4"/>
        <v>3</v>
      </c>
    </row>
    <row r="42" spans="1:8" customFormat="1">
      <c r="A42" s="288" t="s">
        <v>190</v>
      </c>
      <c r="B42" s="278">
        <v>1</v>
      </c>
      <c r="C42" s="278">
        <v>1</v>
      </c>
      <c r="D42" s="278">
        <v>1</v>
      </c>
      <c r="E42" s="278">
        <v>0</v>
      </c>
      <c r="F42" s="278">
        <v>0</v>
      </c>
      <c r="G42" s="291">
        <f t="shared" si="4"/>
        <v>3</v>
      </c>
    </row>
    <row r="43" spans="1:8" customFormat="1">
      <c r="A43" s="288" t="s">
        <v>191</v>
      </c>
      <c r="B43" s="275">
        <v>0</v>
      </c>
      <c r="C43" s="275">
        <v>1</v>
      </c>
      <c r="D43" s="275">
        <v>0</v>
      </c>
      <c r="E43" s="275">
        <v>1</v>
      </c>
      <c r="F43" s="275">
        <v>1</v>
      </c>
      <c r="G43" s="291">
        <f t="shared" si="4"/>
        <v>3</v>
      </c>
    </row>
    <row r="44" spans="1:8" customFormat="1">
      <c r="A44" s="287" t="s">
        <v>192</v>
      </c>
      <c r="B44" s="278">
        <v>1</v>
      </c>
      <c r="C44" s="278">
        <v>0</v>
      </c>
      <c r="D44" s="278">
        <v>1</v>
      </c>
      <c r="E44" s="278">
        <v>0</v>
      </c>
      <c r="F44" s="278">
        <v>1</v>
      </c>
      <c r="G44" s="291">
        <f t="shared" si="4"/>
        <v>3</v>
      </c>
    </row>
    <row r="45" spans="1:8" customFormat="1">
      <c r="A45" s="289" t="s">
        <v>193</v>
      </c>
      <c r="B45" s="285">
        <v>0</v>
      </c>
      <c r="C45" s="285">
        <v>0</v>
      </c>
      <c r="D45" s="285">
        <v>1</v>
      </c>
      <c r="E45" s="285">
        <v>1</v>
      </c>
      <c r="F45" s="285">
        <v>0</v>
      </c>
      <c r="G45" s="291">
        <f t="shared" si="4"/>
        <v>2</v>
      </c>
    </row>
    <row r="46" spans="1:8" customFormat="1">
      <c r="A46" s="289" t="s">
        <v>194</v>
      </c>
      <c r="B46" s="285">
        <v>0</v>
      </c>
      <c r="C46" s="285">
        <v>1</v>
      </c>
      <c r="D46" s="285">
        <v>0</v>
      </c>
      <c r="E46" s="285"/>
      <c r="F46" s="285">
        <v>1</v>
      </c>
      <c r="G46" s="291"/>
    </row>
    <row r="47" spans="1:8" customFormat="1" ht="15.75">
      <c r="A47" s="286" t="s">
        <v>102</v>
      </c>
      <c r="B47" s="286">
        <f>SUM(B36:B44)</f>
        <v>4</v>
      </c>
      <c r="C47" s="286">
        <f>SUM(C36:C44)</f>
        <v>5</v>
      </c>
      <c r="D47" s="286">
        <f>SUM(D36:D44)</f>
        <v>5</v>
      </c>
      <c r="E47" s="286">
        <f>SUM(E36:E44)</f>
        <v>5</v>
      </c>
      <c r="F47" s="286">
        <f>SUM(F36:F44)</f>
        <v>7</v>
      </c>
      <c r="G47" s="291">
        <f t="shared" si="4"/>
        <v>26</v>
      </c>
    </row>
    <row r="48" spans="1:8" customFormat="1" ht="15.75">
      <c r="A48" s="50"/>
      <c r="B48" s="50"/>
      <c r="C48" s="50"/>
      <c r="D48" s="50"/>
      <c r="E48" s="50"/>
      <c r="F48" s="50"/>
      <c r="G48" s="284"/>
    </row>
    <row r="49" spans="1:7" customFormat="1">
      <c r="A49" s="50"/>
      <c r="B49" s="50"/>
      <c r="C49" s="50"/>
      <c r="D49" s="50"/>
      <c r="E49" s="50"/>
      <c r="F49" s="50"/>
      <c r="G49" s="50"/>
    </row>
    <row r="50" spans="1:7" customFormat="1"/>
    <row r="51" spans="1:7" customFormat="1"/>
    <row r="52" spans="1:7" customFormat="1"/>
    <row r="53" spans="1:7" customFormat="1"/>
    <row r="54" spans="1:7" customFormat="1"/>
    <row r="55" spans="1:7" customFormat="1"/>
    <row r="56" spans="1:7" customFormat="1"/>
    <row r="57" spans="1:7" customFormat="1"/>
    <row r="58" spans="1:7" customFormat="1"/>
    <row r="59" spans="1:7" customFormat="1"/>
    <row r="60" spans="1:7" customFormat="1"/>
    <row r="61" spans="1:7" customFormat="1"/>
    <row r="62" spans="1:7" customFormat="1"/>
    <row r="63" spans="1:7" customFormat="1"/>
    <row r="64" spans="1:7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2:43" customFormat="1"/>
    <row r="82" spans="2:43" customFormat="1"/>
    <row r="83" spans="2:43" customFormat="1"/>
    <row r="84" spans="2:43" customFormat="1"/>
    <row r="85" spans="2:43" customFormat="1"/>
    <row r="86" spans="2:43" customFormat="1"/>
    <row r="87" spans="2:43" customFormat="1"/>
    <row r="88" spans="2:43" customFormat="1"/>
    <row r="89" spans="2:43" customFormat="1"/>
    <row r="90" spans="2:43" customFormat="1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</row>
    <row r="91" spans="2:43" customFormat="1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</row>
    <row r="92" spans="2:43" customFormat="1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</row>
    <row r="93" spans="2:43" s="280" customFormat="1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</row>
    <row r="94" spans="2:43" s="91" customFormat="1"/>
    <row r="95" spans="2:43" s="91" customFormat="1"/>
    <row r="96" spans="2:43" s="91" customFormat="1"/>
    <row r="97" spans="2:44" s="91" customFormat="1"/>
    <row r="98" spans="2:44" s="91" customFormat="1"/>
    <row r="99" spans="2:44" s="91" customFormat="1"/>
    <row r="100" spans="2:44" s="91" customFormat="1"/>
    <row r="101" spans="2:44" s="279" customFormat="1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</row>
    <row r="102" spans="2:44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</row>
    <row r="103" spans="2:44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/>
    </row>
    <row r="104" spans="2:44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</row>
    <row r="105" spans="2:44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</row>
    <row r="106" spans="2:44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</row>
    <row r="107" spans="2:44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</row>
    <row r="108" spans="2:44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</row>
    <row r="109" spans="2:44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</row>
    <row r="110" spans="2:44">
      <c r="B110" s="791"/>
      <c r="C110" s="791"/>
      <c r="D110" s="791"/>
      <c r="E110" s="791"/>
      <c r="F110" s="792"/>
      <c r="G110" s="792"/>
      <c r="H110" s="792"/>
      <c r="I110" s="793"/>
      <c r="J110" s="793"/>
      <c r="K110" s="793"/>
      <c r="L110" s="793"/>
      <c r="M110" s="792"/>
      <c r="N110" s="792"/>
      <c r="O110" s="792"/>
      <c r="P110" s="793"/>
      <c r="R110" s="793"/>
      <c r="S110" s="793"/>
      <c r="T110" s="792"/>
      <c r="U110" s="792"/>
      <c r="V110" s="793"/>
      <c r="W110" s="792"/>
      <c r="X110" s="793"/>
      <c r="Y110" s="793"/>
      <c r="Z110" s="793"/>
      <c r="AA110" s="792"/>
      <c r="AB110" s="792"/>
      <c r="AC110" s="792"/>
      <c r="AD110" s="792"/>
      <c r="AE110" s="793"/>
      <c r="AF110" s="793"/>
      <c r="AG110" s="793"/>
      <c r="AH110" s="793"/>
      <c r="AI110" s="793"/>
      <c r="AJ110" s="793"/>
      <c r="AL110" s="86"/>
      <c r="AM110" s="86"/>
      <c r="AN110" s="86"/>
      <c r="AO110" s="86"/>
      <c r="AP110" s="86"/>
      <c r="AQ110" s="86"/>
    </row>
    <row r="111" spans="2:44">
      <c r="B111" s="791"/>
      <c r="C111" s="791"/>
      <c r="D111" s="791"/>
      <c r="E111" s="791"/>
      <c r="F111" s="792"/>
      <c r="G111" s="792"/>
      <c r="H111" s="792"/>
      <c r="I111" s="793"/>
      <c r="J111" s="793"/>
      <c r="K111" s="793"/>
      <c r="L111" s="793"/>
      <c r="M111" s="792"/>
      <c r="N111" s="792"/>
      <c r="O111" s="792"/>
      <c r="P111" s="792"/>
      <c r="Q111" s="792"/>
      <c r="R111" s="793"/>
      <c r="S111" s="793"/>
      <c r="T111" s="792"/>
      <c r="U111" s="792"/>
      <c r="V111" s="792"/>
      <c r="W111" s="792"/>
      <c r="X111" s="793"/>
      <c r="Y111" s="793"/>
      <c r="Z111" s="793"/>
      <c r="AA111" s="793"/>
      <c r="AB111" s="793"/>
      <c r="AC111" s="793"/>
      <c r="AD111" s="792"/>
      <c r="AE111" s="793"/>
      <c r="AF111" s="793"/>
      <c r="AG111" s="793"/>
      <c r="AH111" s="793"/>
      <c r="AI111" s="793"/>
      <c r="AJ111" s="793"/>
      <c r="AL111" s="86"/>
      <c r="AM111" s="86"/>
      <c r="AN111" s="86"/>
      <c r="AO111" s="86"/>
      <c r="AP111" s="86"/>
      <c r="AQ111" s="86"/>
    </row>
    <row r="112" spans="2:44">
      <c r="B112" s="791"/>
      <c r="C112" s="791"/>
      <c r="D112" s="791"/>
      <c r="E112" s="791"/>
      <c r="F112" s="792"/>
      <c r="G112" s="792"/>
      <c r="H112" s="792"/>
      <c r="I112" s="793"/>
      <c r="J112" s="793"/>
      <c r="K112" s="793"/>
      <c r="L112" s="793"/>
      <c r="M112" s="792"/>
      <c r="N112" s="792"/>
      <c r="O112" s="792"/>
      <c r="P112" s="792"/>
      <c r="Q112" s="792"/>
      <c r="R112" s="793"/>
      <c r="S112" s="793"/>
      <c r="T112" s="792"/>
      <c r="U112" s="792"/>
      <c r="V112" s="792"/>
      <c r="W112" s="792"/>
      <c r="X112" s="793"/>
      <c r="Y112" s="793"/>
      <c r="Z112" s="793"/>
      <c r="AA112" s="792"/>
      <c r="AB112" s="792"/>
      <c r="AC112" s="792"/>
      <c r="AD112" s="792"/>
      <c r="AE112" s="792"/>
      <c r="AF112" s="793"/>
      <c r="AG112" s="793"/>
      <c r="AH112" s="792"/>
      <c r="AI112" s="792"/>
      <c r="AJ112" s="792"/>
      <c r="AL112" s="86"/>
      <c r="AM112" s="86"/>
      <c r="AN112" s="86"/>
      <c r="AO112" s="86"/>
      <c r="AP112" s="86"/>
      <c r="AQ112" s="86"/>
    </row>
    <row r="113" spans="2:43">
      <c r="B113" s="791"/>
      <c r="C113" s="791"/>
      <c r="D113" s="791"/>
      <c r="E113" s="791"/>
      <c r="F113" s="792"/>
      <c r="G113" s="792"/>
      <c r="H113" s="792"/>
      <c r="I113" s="793"/>
      <c r="J113" s="793"/>
      <c r="K113" s="793"/>
      <c r="L113" s="793"/>
      <c r="M113" s="792"/>
      <c r="N113" s="792"/>
      <c r="O113" s="792"/>
      <c r="P113" s="792"/>
      <c r="Q113" s="793"/>
      <c r="R113" s="793"/>
      <c r="S113" s="793"/>
      <c r="T113" s="792"/>
      <c r="U113" s="792"/>
      <c r="V113" s="792"/>
      <c r="W113" s="792"/>
      <c r="X113" s="793"/>
      <c r="Y113" s="793"/>
      <c r="Z113" s="793"/>
      <c r="AA113" s="792"/>
      <c r="AB113" s="792"/>
      <c r="AC113" s="792"/>
      <c r="AD113" s="792"/>
      <c r="AE113" s="792"/>
      <c r="AF113" s="793"/>
      <c r="AG113" s="793"/>
      <c r="AH113" s="792"/>
      <c r="AI113" s="793"/>
      <c r="AJ113" s="793"/>
      <c r="AL113" s="86"/>
      <c r="AM113" s="86"/>
      <c r="AN113" s="86"/>
      <c r="AO113" s="86"/>
      <c r="AP113" s="86"/>
      <c r="AQ113" s="86"/>
    </row>
    <row r="131" spans="1:44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</row>
  </sheetData>
  <mergeCells count="4">
    <mergeCell ref="A13:C13"/>
    <mergeCell ref="A16:A17"/>
    <mergeCell ref="B14:C14"/>
    <mergeCell ref="A33:A34"/>
  </mergeCells>
  <conditionalFormatting sqref="F110:P110 R110:AJ110 F111:AJ113">
    <cfRule type="cellIs" dxfId="165" priority="1" operator="equal">
      <formula>"X"</formula>
    </cfRule>
    <cfRule type="cellIs" dxfId="164" priority="2" operator="equal">
      <formula>"C"</formula>
    </cfRule>
    <cfRule type="cellIs" dxfId="163" priority="3" operator="equal">
      <formula>"I"</formula>
    </cfRule>
    <cfRule type="cellIs" dxfId="162" priority="4" operator="equal">
      <formula>"A"</formula>
    </cfRule>
    <cfRule type="cellIs" dxfId="161" priority="5" operator="equal">
      <formula>"F"</formula>
    </cfRule>
    <cfRule type="cellIs" dxfId="160" priority="6" operator="equal">
      <formula>"G"</formula>
    </cfRule>
    <cfRule type="cellIs" dxfId="159" priority="7" operator="equal">
      <formula>"V"</formula>
    </cfRule>
  </conditionalFormatting>
  <dataValidations count="1">
    <dataValidation allowBlank="1" showInputMessage="1" showErrorMessage="1" promptTitle="Guardia" sqref="AL103" xr:uid="{A83802D0-2984-433B-BC60-ACABB4F911EB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S425"/>
  <sheetViews>
    <sheetView topLeftCell="A289" zoomScale="85" zoomScaleNormal="85" workbookViewId="0">
      <selection activeCell="H301" sqref="H301"/>
    </sheetView>
  </sheetViews>
  <sheetFormatPr defaultColWidth="9.140625" defaultRowHeight="15"/>
  <cols>
    <col min="1" max="1" width="1.28515625" style="38" customWidth="1"/>
    <col min="2" max="2" width="1.5703125" style="38" customWidth="1"/>
    <col min="3" max="3" width="12.28515625" style="37" bestFit="1" customWidth="1"/>
    <col min="4" max="4" width="13" style="37" customWidth="1"/>
    <col min="5" max="5" width="10.28515625" style="37" customWidth="1"/>
    <col min="6" max="7" width="9.85546875" style="37" customWidth="1"/>
    <col min="8" max="8" width="26.7109375" style="37" customWidth="1"/>
    <col min="9" max="9" width="91.85546875" style="37" customWidth="1"/>
    <col min="10" max="11" width="9.140625" style="38"/>
    <col min="12" max="12" width="14.7109375" style="38" customWidth="1"/>
    <col min="13" max="13" width="21.7109375" style="38" customWidth="1"/>
    <col min="14" max="14" width="9.140625" style="45"/>
    <col min="15" max="19" width="9.140625" style="38"/>
    <col min="20" max="16384" width="9.140625" style="37"/>
  </cols>
  <sheetData>
    <row r="1" spans="3:14" s="38" customFormat="1" ht="8.25" customHeight="1" thickBot="1">
      <c r="N1" s="45"/>
    </row>
    <row r="2" spans="3:14">
      <c r="C2" s="101">
        <v>44562</v>
      </c>
      <c r="D2" s="102" t="s">
        <v>108</v>
      </c>
      <c r="E2" s="42" t="s">
        <v>110</v>
      </c>
      <c r="F2" s="42" t="s">
        <v>112</v>
      </c>
      <c r="G2" s="42" t="s">
        <v>113</v>
      </c>
      <c r="H2" s="42" t="s">
        <v>115</v>
      </c>
      <c r="I2" s="43" t="s">
        <v>203</v>
      </c>
    </row>
    <row r="3" spans="3:14">
      <c r="C3" s="46">
        <v>1</v>
      </c>
      <c r="D3" s="51" t="s">
        <v>121</v>
      </c>
      <c r="I3" s="39"/>
    </row>
    <row r="4" spans="3:14">
      <c r="C4" s="46">
        <v>2</v>
      </c>
      <c r="D4" s="51" t="s">
        <v>122</v>
      </c>
      <c r="I4" s="39"/>
    </row>
    <row r="5" spans="3:14">
      <c r="C5" s="46">
        <v>3</v>
      </c>
      <c r="D5" s="51" t="s">
        <v>123</v>
      </c>
      <c r="F5" s="40"/>
      <c r="G5" s="40"/>
      <c r="I5" s="39"/>
    </row>
    <row r="6" spans="3:14">
      <c r="C6" s="46">
        <v>4</v>
      </c>
      <c r="D6" s="51" t="s">
        <v>124</v>
      </c>
      <c r="F6" s="40"/>
      <c r="G6" s="40"/>
      <c r="I6" s="39"/>
    </row>
    <row r="7" spans="3:14">
      <c r="C7" s="46">
        <v>5</v>
      </c>
      <c r="D7" s="51" t="s">
        <v>125</v>
      </c>
      <c r="I7" s="39"/>
    </row>
    <row r="8" spans="3:14">
      <c r="C8" s="46">
        <v>6</v>
      </c>
      <c r="D8" s="51" t="s">
        <v>118</v>
      </c>
      <c r="F8" s="40"/>
      <c r="G8" s="40"/>
      <c r="I8" s="39"/>
    </row>
    <row r="9" spans="3:14">
      <c r="C9" s="46">
        <v>7</v>
      </c>
      <c r="D9" s="51" t="s">
        <v>120</v>
      </c>
      <c r="F9" s="40"/>
      <c r="G9" s="40"/>
      <c r="I9" s="39"/>
    </row>
    <row r="10" spans="3:14">
      <c r="C10" s="46">
        <v>8</v>
      </c>
      <c r="D10" s="51" t="s">
        <v>121</v>
      </c>
      <c r="F10" s="40"/>
      <c r="G10" s="40"/>
      <c r="I10" s="39"/>
      <c r="K10" s="44"/>
    </row>
    <row r="11" spans="3:14">
      <c r="C11" s="46">
        <v>9</v>
      </c>
      <c r="D11" s="51" t="s">
        <v>122</v>
      </c>
      <c r="F11" s="40"/>
      <c r="G11" s="40"/>
      <c r="I11" s="39"/>
    </row>
    <row r="12" spans="3:14">
      <c r="C12" s="46">
        <v>10</v>
      </c>
      <c r="D12" s="51" t="s">
        <v>123</v>
      </c>
      <c r="F12" s="40"/>
      <c r="G12" s="40"/>
      <c r="I12" s="39"/>
    </row>
    <row r="13" spans="3:14">
      <c r="C13" s="46">
        <v>11</v>
      </c>
      <c r="D13" s="51" t="s">
        <v>124</v>
      </c>
      <c r="F13" s="40"/>
      <c r="G13" s="40"/>
      <c r="I13" s="39"/>
    </row>
    <row r="14" spans="3:14">
      <c r="C14" s="46">
        <v>12</v>
      </c>
      <c r="D14" s="51" t="s">
        <v>125</v>
      </c>
      <c r="I14" s="39"/>
    </row>
    <row r="15" spans="3:14">
      <c r="C15" s="46">
        <v>13</v>
      </c>
      <c r="D15" s="51" t="s">
        <v>118</v>
      </c>
      <c r="F15" s="40"/>
      <c r="G15" s="40"/>
      <c r="I15" s="39"/>
    </row>
    <row r="16" spans="3:14">
      <c r="C16" s="46">
        <v>14</v>
      </c>
      <c r="D16" s="51" t="s">
        <v>120</v>
      </c>
      <c r="I16" s="39"/>
    </row>
    <row r="17" spans="3:9">
      <c r="C17" s="46">
        <v>15</v>
      </c>
      <c r="D17" s="51" t="s">
        <v>121</v>
      </c>
      <c r="I17" s="39"/>
    </row>
    <row r="18" spans="3:9">
      <c r="C18" s="46">
        <v>16</v>
      </c>
      <c r="D18" s="51" t="s">
        <v>122</v>
      </c>
      <c r="F18" s="40"/>
      <c r="G18" s="40"/>
      <c r="I18" s="39"/>
    </row>
    <row r="19" spans="3:9">
      <c r="C19" s="46">
        <v>17</v>
      </c>
      <c r="D19" s="51" t="s">
        <v>123</v>
      </c>
      <c r="I19" s="39"/>
    </row>
    <row r="20" spans="3:9">
      <c r="C20" s="46">
        <v>18</v>
      </c>
      <c r="D20" s="51" t="s">
        <v>124</v>
      </c>
      <c r="I20" s="39"/>
    </row>
    <row r="21" spans="3:9">
      <c r="C21" s="46">
        <v>19</v>
      </c>
      <c r="D21" s="51" t="s">
        <v>125</v>
      </c>
      <c r="I21" s="39"/>
    </row>
    <row r="22" spans="3:9">
      <c r="C22" s="46">
        <v>20</v>
      </c>
      <c r="D22" s="51" t="s">
        <v>118</v>
      </c>
      <c r="I22" s="39"/>
    </row>
    <row r="23" spans="3:9">
      <c r="C23" s="46">
        <v>21</v>
      </c>
      <c r="D23" s="51" t="s">
        <v>120</v>
      </c>
      <c r="I23" s="39"/>
    </row>
    <row r="24" spans="3:9">
      <c r="C24" s="46">
        <v>22</v>
      </c>
      <c r="D24" s="51" t="s">
        <v>121</v>
      </c>
      <c r="F24" s="40"/>
      <c r="G24" s="40"/>
      <c r="I24" s="39"/>
    </row>
    <row r="25" spans="3:9">
      <c r="C25" s="46">
        <v>23</v>
      </c>
      <c r="D25" s="51" t="s">
        <v>122</v>
      </c>
      <c r="I25" s="39"/>
    </row>
    <row r="26" spans="3:9">
      <c r="C26" s="46">
        <v>24</v>
      </c>
      <c r="D26" s="51" t="s">
        <v>123</v>
      </c>
      <c r="I26" s="39"/>
    </row>
    <row r="27" spans="3:9">
      <c r="C27" s="46">
        <v>25</v>
      </c>
      <c r="D27" s="51" t="s">
        <v>124</v>
      </c>
      <c r="F27" s="40"/>
      <c r="G27" s="40"/>
      <c r="I27" s="39"/>
    </row>
    <row r="28" spans="3:9">
      <c r="C28" s="46">
        <v>26</v>
      </c>
      <c r="D28" s="51" t="s">
        <v>125</v>
      </c>
      <c r="I28" s="39"/>
    </row>
    <row r="29" spans="3:9">
      <c r="C29" s="46">
        <v>27</v>
      </c>
      <c r="D29" s="51" t="s">
        <v>118</v>
      </c>
      <c r="I29" s="39"/>
    </row>
    <row r="30" spans="3:9">
      <c r="C30" s="46">
        <v>28</v>
      </c>
      <c r="D30" s="51" t="s">
        <v>120</v>
      </c>
      <c r="I30" s="39"/>
    </row>
    <row r="31" spans="3:9">
      <c r="C31" s="46">
        <v>29</v>
      </c>
      <c r="D31" s="51" t="s">
        <v>121</v>
      </c>
      <c r="I31" s="39"/>
    </row>
    <row r="32" spans="3:9">
      <c r="C32" s="46">
        <v>30</v>
      </c>
      <c r="D32" s="51" t="s">
        <v>122</v>
      </c>
      <c r="I32" s="39"/>
    </row>
    <row r="33" spans="3:14" ht="15.75" thickBot="1">
      <c r="C33" s="47">
        <v>31</v>
      </c>
      <c r="D33" s="52" t="s">
        <v>123</v>
      </c>
      <c r="E33" s="41"/>
      <c r="F33" s="41"/>
      <c r="G33" s="41"/>
      <c r="H33" s="41"/>
      <c r="I33" s="80"/>
    </row>
    <row r="34" spans="3:14">
      <c r="C34" s="45"/>
      <c r="D34" s="45"/>
      <c r="E34" s="45"/>
      <c r="F34" s="45"/>
      <c r="G34" s="45"/>
      <c r="H34" s="45"/>
      <c r="I34" s="45"/>
    </row>
    <row r="35" spans="3:14" s="38" customFormat="1" ht="15.75" thickBot="1">
      <c r="C35" s="45"/>
      <c r="D35" s="45"/>
      <c r="E35" s="45"/>
      <c r="F35" s="45"/>
      <c r="G35" s="45"/>
      <c r="H35" s="45"/>
      <c r="I35" s="45"/>
      <c r="N35" s="45"/>
    </row>
    <row r="36" spans="3:14">
      <c r="C36" s="101">
        <v>44593</v>
      </c>
      <c r="D36" s="102" t="s">
        <v>108</v>
      </c>
      <c r="E36" s="42" t="s">
        <v>110</v>
      </c>
      <c r="F36" s="42" t="s">
        <v>204</v>
      </c>
      <c r="G36" s="42"/>
      <c r="H36" s="42" t="s">
        <v>205</v>
      </c>
      <c r="I36" s="43" t="s">
        <v>203</v>
      </c>
    </row>
    <row r="37" spans="3:14">
      <c r="C37" s="46">
        <v>1</v>
      </c>
      <c r="D37" s="51" t="s">
        <v>124</v>
      </c>
      <c r="I37" s="39"/>
    </row>
    <row r="38" spans="3:14">
      <c r="C38" s="46">
        <v>2</v>
      </c>
      <c r="D38" s="51" t="s">
        <v>125</v>
      </c>
      <c r="I38" s="39"/>
    </row>
    <row r="39" spans="3:14">
      <c r="C39" s="46">
        <v>3</v>
      </c>
      <c r="D39" s="51" t="s">
        <v>118</v>
      </c>
      <c r="I39" s="39"/>
    </row>
    <row r="40" spans="3:14">
      <c r="C40" s="46">
        <v>4</v>
      </c>
      <c r="D40" s="51" t="s">
        <v>120</v>
      </c>
      <c r="I40" s="39"/>
    </row>
    <row r="41" spans="3:14">
      <c r="C41" s="46">
        <v>4</v>
      </c>
      <c r="D41" s="51" t="s">
        <v>120</v>
      </c>
      <c r="I41" s="39"/>
    </row>
    <row r="42" spans="3:14">
      <c r="C42" s="46">
        <v>5</v>
      </c>
      <c r="D42" s="51" t="s">
        <v>121</v>
      </c>
      <c r="I42" s="39"/>
    </row>
    <row r="43" spans="3:14">
      <c r="C43" s="46">
        <v>6</v>
      </c>
      <c r="D43" s="51" t="s">
        <v>122</v>
      </c>
      <c r="I43" s="39"/>
    </row>
    <row r="44" spans="3:14">
      <c r="C44" s="46">
        <v>7</v>
      </c>
      <c r="D44" s="51" t="s">
        <v>123</v>
      </c>
      <c r="I44" s="39"/>
    </row>
    <row r="45" spans="3:14">
      <c r="C45" s="46">
        <v>8</v>
      </c>
      <c r="D45" s="51" t="s">
        <v>124</v>
      </c>
      <c r="I45" s="39"/>
    </row>
    <row r="46" spans="3:14">
      <c r="C46" s="46">
        <v>9</v>
      </c>
      <c r="D46" s="51" t="s">
        <v>125</v>
      </c>
      <c r="I46" s="39"/>
    </row>
    <row r="47" spans="3:14">
      <c r="C47" s="46">
        <v>10</v>
      </c>
      <c r="D47" s="51" t="s">
        <v>118</v>
      </c>
      <c r="I47" s="39"/>
    </row>
    <row r="48" spans="3:14">
      <c r="C48" s="46">
        <v>11</v>
      </c>
      <c r="D48" s="51" t="s">
        <v>120</v>
      </c>
      <c r="I48" s="39"/>
    </row>
    <row r="49" spans="3:9">
      <c r="C49" s="46">
        <v>12</v>
      </c>
      <c r="D49" s="51" t="s">
        <v>121</v>
      </c>
      <c r="I49" s="39"/>
    </row>
    <row r="50" spans="3:9">
      <c r="C50" s="46">
        <v>13</v>
      </c>
      <c r="D50" s="51" t="s">
        <v>122</v>
      </c>
      <c r="I50" s="39"/>
    </row>
    <row r="51" spans="3:9">
      <c r="C51" s="46">
        <v>14</v>
      </c>
      <c r="D51" s="51" t="s">
        <v>123</v>
      </c>
      <c r="I51" s="39"/>
    </row>
    <row r="52" spans="3:9">
      <c r="C52" s="46">
        <v>15</v>
      </c>
      <c r="D52" s="51" t="s">
        <v>124</v>
      </c>
      <c r="I52" s="39"/>
    </row>
    <row r="53" spans="3:9">
      <c r="C53" s="46">
        <v>16</v>
      </c>
      <c r="D53" s="51" t="s">
        <v>125</v>
      </c>
      <c r="I53" s="39"/>
    </row>
    <row r="54" spans="3:9">
      <c r="C54" s="46">
        <v>17</v>
      </c>
      <c r="D54" s="51" t="s">
        <v>118</v>
      </c>
      <c r="I54" s="39"/>
    </row>
    <row r="55" spans="3:9">
      <c r="C55" s="46">
        <v>18</v>
      </c>
      <c r="D55" s="51" t="s">
        <v>120</v>
      </c>
      <c r="I55" s="39"/>
    </row>
    <row r="56" spans="3:9">
      <c r="C56" s="46">
        <v>18</v>
      </c>
      <c r="D56" s="51" t="s">
        <v>120</v>
      </c>
      <c r="I56" s="39"/>
    </row>
    <row r="57" spans="3:9">
      <c r="C57" s="46">
        <v>19</v>
      </c>
      <c r="D57" s="51" t="s">
        <v>121</v>
      </c>
      <c r="I57" s="39"/>
    </row>
    <row r="58" spans="3:9">
      <c r="C58" s="46">
        <v>20</v>
      </c>
      <c r="D58" s="51" t="s">
        <v>122</v>
      </c>
      <c r="I58" s="39"/>
    </row>
    <row r="59" spans="3:9">
      <c r="C59" s="46">
        <v>21</v>
      </c>
      <c r="D59" s="51" t="s">
        <v>123</v>
      </c>
      <c r="I59" s="39"/>
    </row>
    <row r="60" spans="3:9">
      <c r="C60" s="46">
        <v>22</v>
      </c>
      <c r="D60" s="51" t="s">
        <v>124</v>
      </c>
      <c r="I60" s="39"/>
    </row>
    <row r="61" spans="3:9">
      <c r="C61" s="46">
        <v>23</v>
      </c>
      <c r="D61" s="51" t="s">
        <v>125</v>
      </c>
      <c r="I61" s="39"/>
    </row>
    <row r="62" spans="3:9">
      <c r="C62" s="46">
        <v>23</v>
      </c>
      <c r="D62" s="51" t="s">
        <v>125</v>
      </c>
      <c r="I62" s="39"/>
    </row>
    <row r="63" spans="3:9">
      <c r="C63" s="46">
        <v>24</v>
      </c>
      <c r="D63" s="51" t="s">
        <v>118</v>
      </c>
      <c r="I63" s="39"/>
    </row>
    <row r="64" spans="3:9">
      <c r="C64" s="46">
        <v>25</v>
      </c>
      <c r="D64" s="51" t="s">
        <v>120</v>
      </c>
      <c r="I64" s="39"/>
    </row>
    <row r="65" spans="3:11">
      <c r="C65" s="46">
        <v>26</v>
      </c>
      <c r="D65" s="51" t="s">
        <v>121</v>
      </c>
      <c r="I65" s="39"/>
    </row>
    <row r="66" spans="3:11">
      <c r="C66" s="46">
        <v>27</v>
      </c>
      <c r="D66" s="51" t="s">
        <v>122</v>
      </c>
      <c r="I66" s="39"/>
    </row>
    <row r="67" spans="3:11" ht="15.75" thickBot="1">
      <c r="C67" s="47">
        <v>28</v>
      </c>
      <c r="D67" s="52" t="s">
        <v>123</v>
      </c>
      <c r="E67" s="41"/>
      <c r="F67" s="41"/>
      <c r="G67" s="41"/>
      <c r="H67" s="41"/>
      <c r="I67" s="80"/>
    </row>
    <row r="68" spans="3:11">
      <c r="C68" s="45"/>
      <c r="D68" s="45"/>
      <c r="E68" s="45"/>
      <c r="F68" s="45"/>
      <c r="G68" s="45"/>
      <c r="H68" s="45"/>
      <c r="I68" s="45"/>
    </row>
    <row r="69" spans="3:11" ht="15.75" thickBot="1">
      <c r="C69" s="45"/>
      <c r="D69" s="45"/>
      <c r="E69" s="45"/>
      <c r="F69" s="45"/>
      <c r="G69" s="45"/>
      <c r="H69" s="45"/>
      <c r="I69" s="45"/>
    </row>
    <row r="70" spans="3:11">
      <c r="C70" s="101">
        <v>44621</v>
      </c>
      <c r="D70" s="102" t="s">
        <v>108</v>
      </c>
      <c r="E70" s="42" t="s">
        <v>110</v>
      </c>
      <c r="F70" s="42" t="s">
        <v>204</v>
      </c>
      <c r="G70" s="42"/>
      <c r="H70" s="42" t="s">
        <v>205</v>
      </c>
      <c r="I70" s="43" t="s">
        <v>203</v>
      </c>
    </row>
    <row r="71" spans="3:11">
      <c r="C71" s="46">
        <v>1</v>
      </c>
      <c r="D71" s="51" t="s">
        <v>124</v>
      </c>
      <c r="F71" s="40"/>
      <c r="G71" s="40"/>
      <c r="H71" s="53"/>
      <c r="I71" s="39"/>
    </row>
    <row r="72" spans="3:11">
      <c r="C72" s="46">
        <v>2</v>
      </c>
      <c r="D72" s="51" t="s">
        <v>125</v>
      </c>
      <c r="I72" s="39"/>
    </row>
    <row r="73" spans="3:11">
      <c r="C73" s="46">
        <v>3</v>
      </c>
      <c r="D73" s="51" t="s">
        <v>118</v>
      </c>
      <c r="F73" s="40"/>
      <c r="G73" s="40"/>
      <c r="I73" s="39"/>
    </row>
    <row r="74" spans="3:11">
      <c r="C74" s="46">
        <v>4</v>
      </c>
      <c r="D74" s="51" t="s">
        <v>120</v>
      </c>
      <c r="F74" s="40"/>
      <c r="G74" s="40"/>
      <c r="I74" s="39"/>
    </row>
    <row r="75" spans="3:11">
      <c r="C75" s="46">
        <v>5</v>
      </c>
      <c r="D75" s="51" t="s">
        <v>121</v>
      </c>
      <c r="F75" s="40"/>
      <c r="G75" s="40"/>
      <c r="I75" s="39"/>
    </row>
    <row r="76" spans="3:11">
      <c r="C76" s="46">
        <v>6</v>
      </c>
      <c r="D76" s="51" t="s">
        <v>122</v>
      </c>
      <c r="F76" s="40"/>
      <c r="G76" s="40"/>
      <c r="I76" s="39"/>
    </row>
    <row r="77" spans="3:11">
      <c r="C77" s="46">
        <v>7</v>
      </c>
      <c r="D77" s="51" t="s">
        <v>123</v>
      </c>
      <c r="F77" s="40"/>
      <c r="G77" s="40"/>
      <c r="I77" s="39"/>
    </row>
    <row r="78" spans="3:11">
      <c r="C78" s="46">
        <v>8</v>
      </c>
      <c r="D78" s="51" t="s">
        <v>124</v>
      </c>
      <c r="F78" s="40"/>
      <c r="G78" s="40"/>
      <c r="I78" s="39"/>
      <c r="K78" s="44"/>
    </row>
    <row r="79" spans="3:11">
      <c r="C79" s="46">
        <v>9</v>
      </c>
      <c r="D79" s="51" t="s">
        <v>125</v>
      </c>
      <c r="F79" s="40"/>
      <c r="G79" s="40"/>
      <c r="I79" s="39"/>
    </row>
    <row r="80" spans="3:11">
      <c r="C80" s="46">
        <v>10</v>
      </c>
      <c r="D80" s="51" t="s">
        <v>118</v>
      </c>
      <c r="F80" s="40"/>
      <c r="G80" s="40"/>
      <c r="I80" s="39"/>
    </row>
    <row r="81" spans="3:9">
      <c r="C81" s="46">
        <v>11</v>
      </c>
      <c r="D81" s="51" t="s">
        <v>120</v>
      </c>
      <c r="F81" s="40"/>
      <c r="G81" s="40"/>
      <c r="I81" s="39"/>
    </row>
    <row r="82" spans="3:9">
      <c r="C82" s="46">
        <v>12</v>
      </c>
      <c r="D82" s="51" t="s">
        <v>121</v>
      </c>
      <c r="F82" s="40"/>
      <c r="G82" s="40"/>
      <c r="I82" s="39"/>
    </row>
    <row r="83" spans="3:9">
      <c r="C83" s="46">
        <v>13</v>
      </c>
      <c r="D83" s="51" t="s">
        <v>122</v>
      </c>
      <c r="F83" s="40"/>
      <c r="G83" s="40"/>
      <c r="I83" s="39"/>
    </row>
    <row r="84" spans="3:9">
      <c r="C84" s="46">
        <v>14</v>
      </c>
      <c r="D84" s="51" t="s">
        <v>123</v>
      </c>
      <c r="F84" s="40"/>
      <c r="G84" s="40"/>
      <c r="I84" s="39"/>
    </row>
    <row r="85" spans="3:9">
      <c r="C85" s="46">
        <v>15</v>
      </c>
      <c r="D85" s="51" t="s">
        <v>124</v>
      </c>
      <c r="F85" s="40"/>
      <c r="G85" s="40"/>
      <c r="I85" s="39"/>
    </row>
    <row r="86" spans="3:9">
      <c r="C86" s="46">
        <v>16</v>
      </c>
      <c r="D86" s="51" t="s">
        <v>125</v>
      </c>
      <c r="F86" s="40"/>
      <c r="G86" s="40"/>
      <c r="I86" s="39"/>
    </row>
    <row r="87" spans="3:9">
      <c r="C87" s="46">
        <v>17</v>
      </c>
      <c r="D87" s="51" t="s">
        <v>118</v>
      </c>
      <c r="F87" s="40"/>
      <c r="G87" s="40"/>
      <c r="I87" s="39"/>
    </row>
    <row r="88" spans="3:9">
      <c r="C88" s="46">
        <v>18</v>
      </c>
      <c r="D88" s="51" t="s">
        <v>120</v>
      </c>
      <c r="F88" s="40"/>
      <c r="G88" s="40"/>
      <c r="I88" s="39"/>
    </row>
    <row r="89" spans="3:9">
      <c r="C89" s="46">
        <v>19</v>
      </c>
      <c r="D89" s="51" t="s">
        <v>121</v>
      </c>
      <c r="F89" s="40"/>
      <c r="G89" s="40"/>
      <c r="I89" s="39"/>
    </row>
    <row r="90" spans="3:9">
      <c r="C90" s="46">
        <v>20</v>
      </c>
      <c r="D90" s="51" t="s">
        <v>122</v>
      </c>
      <c r="F90" s="40"/>
      <c r="G90" s="40"/>
      <c r="I90" s="39"/>
    </row>
    <row r="91" spans="3:9">
      <c r="C91" s="46">
        <v>21</v>
      </c>
      <c r="D91" s="51" t="s">
        <v>123</v>
      </c>
      <c r="F91" s="40"/>
      <c r="G91" s="40"/>
      <c r="I91" s="39"/>
    </row>
    <row r="92" spans="3:9">
      <c r="C92" s="46">
        <v>22</v>
      </c>
      <c r="D92" s="51" t="s">
        <v>124</v>
      </c>
      <c r="F92" s="40"/>
      <c r="G92" s="40"/>
      <c r="I92" s="39"/>
    </row>
    <row r="93" spans="3:9">
      <c r="C93" s="46">
        <v>23</v>
      </c>
      <c r="D93" s="51" t="s">
        <v>125</v>
      </c>
      <c r="F93" s="40"/>
      <c r="G93" s="40"/>
      <c r="I93" s="39"/>
    </row>
    <row r="94" spans="3:9">
      <c r="C94" s="46">
        <v>24</v>
      </c>
      <c r="D94" s="51" t="s">
        <v>118</v>
      </c>
      <c r="F94" s="40"/>
      <c r="G94" s="40"/>
      <c r="I94" s="39" t="s">
        <v>206</v>
      </c>
    </row>
    <row r="95" spans="3:9">
      <c r="C95" s="46">
        <v>25</v>
      </c>
      <c r="D95" s="51" t="s">
        <v>120</v>
      </c>
      <c r="F95" s="40"/>
      <c r="G95" s="40"/>
      <c r="I95" s="39"/>
    </row>
    <row r="96" spans="3:9">
      <c r="C96" s="46">
        <v>26</v>
      </c>
      <c r="D96" s="51" t="s">
        <v>121</v>
      </c>
      <c r="F96" s="40"/>
      <c r="G96" s="40"/>
      <c r="I96" s="39"/>
    </row>
    <row r="97" spans="3:9">
      <c r="C97" s="46">
        <v>27</v>
      </c>
      <c r="D97" s="51" t="s">
        <v>122</v>
      </c>
      <c r="F97" s="40"/>
      <c r="G97" s="40"/>
      <c r="I97" s="39"/>
    </row>
    <row r="98" spans="3:9">
      <c r="C98" s="46">
        <v>28</v>
      </c>
      <c r="D98" s="51" t="s">
        <v>123</v>
      </c>
      <c r="F98" s="40"/>
      <c r="G98" s="40"/>
      <c r="I98" s="39"/>
    </row>
    <row r="99" spans="3:9">
      <c r="C99" s="46">
        <v>29</v>
      </c>
      <c r="D99" s="51" t="s">
        <v>124</v>
      </c>
      <c r="F99" s="40"/>
      <c r="G99" s="40"/>
      <c r="I99" s="39"/>
    </row>
    <row r="100" spans="3:9">
      <c r="C100" s="46">
        <v>30</v>
      </c>
      <c r="D100" s="51" t="s">
        <v>125</v>
      </c>
      <c r="I100" s="39"/>
    </row>
    <row r="101" spans="3:9" ht="15.75" thickBot="1">
      <c r="C101" s="47">
        <v>31</v>
      </c>
      <c r="D101" s="52" t="s">
        <v>118</v>
      </c>
      <c r="E101" s="41"/>
      <c r="F101" s="41"/>
      <c r="G101" s="41"/>
      <c r="H101" s="41"/>
      <c r="I101" s="80"/>
    </row>
    <row r="102" spans="3:9">
      <c r="C102" s="45"/>
      <c r="D102" s="45"/>
      <c r="E102" s="45"/>
      <c r="F102" s="45"/>
      <c r="G102" s="45"/>
      <c r="H102" s="45"/>
      <c r="I102" s="45"/>
    </row>
    <row r="103" spans="3:9" ht="15.75" thickBot="1">
      <c r="C103" s="45"/>
      <c r="D103" s="45"/>
      <c r="E103" s="45"/>
      <c r="F103" s="45"/>
      <c r="G103" s="45"/>
      <c r="H103" s="45"/>
      <c r="I103" s="45"/>
    </row>
    <row r="104" spans="3:9">
      <c r="C104" s="95">
        <v>44652</v>
      </c>
      <c r="D104" s="103" t="s">
        <v>108</v>
      </c>
      <c r="E104" s="66" t="s">
        <v>110</v>
      </c>
      <c r="F104" s="66" t="s">
        <v>204</v>
      </c>
      <c r="G104" s="66"/>
      <c r="H104" s="66" t="s">
        <v>205</v>
      </c>
      <c r="I104" s="67" t="s">
        <v>203</v>
      </c>
    </row>
    <row r="105" spans="3:9">
      <c r="C105" s="59">
        <v>1</v>
      </c>
      <c r="D105" s="51" t="s">
        <v>121</v>
      </c>
      <c r="F105" s="40"/>
      <c r="G105" s="40"/>
      <c r="H105" s="53"/>
      <c r="I105" s="68"/>
    </row>
    <row r="106" spans="3:9">
      <c r="C106" s="59">
        <v>2</v>
      </c>
      <c r="D106" s="51" t="s">
        <v>122</v>
      </c>
      <c r="I106" s="68"/>
    </row>
    <row r="107" spans="3:9">
      <c r="C107" s="59">
        <v>3</v>
      </c>
      <c r="D107" s="51" t="s">
        <v>123</v>
      </c>
      <c r="F107" s="40"/>
      <c r="G107" s="40"/>
      <c r="I107" s="68"/>
    </row>
    <row r="108" spans="3:9">
      <c r="C108" s="59">
        <v>4</v>
      </c>
      <c r="D108" s="51" t="s">
        <v>124</v>
      </c>
      <c r="F108" s="40"/>
      <c r="G108" s="40"/>
      <c r="I108" s="68"/>
    </row>
    <row r="109" spans="3:9">
      <c r="C109" s="59">
        <v>5</v>
      </c>
      <c r="D109" s="51" t="s">
        <v>125</v>
      </c>
    </row>
    <row r="110" spans="3:9">
      <c r="C110" s="59">
        <v>6</v>
      </c>
      <c r="D110" s="51" t="s">
        <v>118</v>
      </c>
      <c r="E110" s="37" t="s">
        <v>207</v>
      </c>
      <c r="F110" s="40">
        <v>0.91666666666666663</v>
      </c>
      <c r="G110" s="40"/>
      <c r="H110" s="37" t="s">
        <v>208</v>
      </c>
      <c r="I110" s="68" t="s">
        <v>209</v>
      </c>
    </row>
    <row r="111" spans="3:9">
      <c r="C111" s="59">
        <v>7</v>
      </c>
      <c r="D111" s="51" t="s">
        <v>120</v>
      </c>
      <c r="E111" s="37" t="s">
        <v>207</v>
      </c>
      <c r="F111" s="40">
        <v>0.91666666666666663</v>
      </c>
      <c r="G111" s="40"/>
      <c r="H111" s="75" t="s">
        <v>210</v>
      </c>
      <c r="I111" s="68" t="s">
        <v>211</v>
      </c>
    </row>
    <row r="112" spans="3:9">
      <c r="C112" s="59">
        <v>8</v>
      </c>
      <c r="D112" s="51" t="s">
        <v>121</v>
      </c>
      <c r="F112" s="40"/>
      <c r="G112" s="40"/>
      <c r="H112" s="53"/>
      <c r="I112" s="68"/>
    </row>
    <row r="113" spans="3:9">
      <c r="C113" s="59">
        <v>9</v>
      </c>
      <c r="D113" s="51" t="s">
        <v>122</v>
      </c>
      <c r="F113" s="40"/>
      <c r="G113" s="40"/>
      <c r="I113" s="68"/>
    </row>
    <row r="114" spans="3:9">
      <c r="C114" s="59">
        <v>10</v>
      </c>
      <c r="D114" s="51" t="s">
        <v>123</v>
      </c>
      <c r="F114" s="40"/>
      <c r="G114" s="40"/>
      <c r="I114" s="68"/>
    </row>
    <row r="115" spans="3:9">
      <c r="C115" s="59">
        <v>11</v>
      </c>
      <c r="D115" s="51" t="s">
        <v>124</v>
      </c>
      <c r="F115" s="40"/>
      <c r="G115" s="40"/>
      <c r="I115" s="68"/>
    </row>
    <row r="116" spans="3:9">
      <c r="C116" s="59">
        <v>12</v>
      </c>
      <c r="D116" s="51" t="s">
        <v>125</v>
      </c>
      <c r="F116" s="40"/>
      <c r="G116" s="40"/>
      <c r="I116" s="68"/>
    </row>
    <row r="117" spans="3:9">
      <c r="C117" s="59">
        <v>13</v>
      </c>
      <c r="D117" s="51" t="s">
        <v>118</v>
      </c>
      <c r="F117" s="40"/>
      <c r="G117" s="40"/>
      <c r="I117" s="68"/>
    </row>
    <row r="118" spans="3:9">
      <c r="C118" s="59">
        <v>14</v>
      </c>
      <c r="D118" s="51" t="s">
        <v>120</v>
      </c>
      <c r="F118" s="40"/>
      <c r="G118" s="40"/>
      <c r="I118" s="68"/>
    </row>
    <row r="119" spans="3:9">
      <c r="C119" s="59">
        <v>15</v>
      </c>
      <c r="D119" s="51" t="s">
        <v>121</v>
      </c>
      <c r="F119" s="40"/>
      <c r="G119" s="40"/>
      <c r="I119" s="68"/>
    </row>
    <row r="120" spans="3:9">
      <c r="C120" s="59">
        <v>16</v>
      </c>
      <c r="D120" s="51" t="s">
        <v>122</v>
      </c>
      <c r="F120" s="40"/>
      <c r="G120" s="40"/>
      <c r="I120" s="68"/>
    </row>
    <row r="121" spans="3:9">
      <c r="C121" s="59">
        <v>17</v>
      </c>
      <c r="D121" s="51" t="s">
        <v>123</v>
      </c>
      <c r="F121" s="40"/>
      <c r="G121" s="40"/>
      <c r="I121" s="68"/>
    </row>
    <row r="122" spans="3:9">
      <c r="C122" s="59">
        <v>18</v>
      </c>
      <c r="D122" s="51" t="s">
        <v>124</v>
      </c>
      <c r="E122" s="37" t="s">
        <v>212</v>
      </c>
      <c r="F122" s="40">
        <v>0.91666666666666663</v>
      </c>
      <c r="G122" s="40"/>
      <c r="H122" s="37" t="s">
        <v>213</v>
      </c>
      <c r="I122" s="68" t="s">
        <v>214</v>
      </c>
    </row>
    <row r="123" spans="3:9">
      <c r="C123" s="59">
        <v>19</v>
      </c>
      <c r="D123" s="51" t="s">
        <v>125</v>
      </c>
      <c r="E123" s="37" t="s">
        <v>207</v>
      </c>
      <c r="F123" s="40">
        <v>0.91666666666666663</v>
      </c>
      <c r="G123" s="40"/>
      <c r="H123" s="75" t="s">
        <v>215</v>
      </c>
      <c r="I123" s="75" t="s">
        <v>216</v>
      </c>
    </row>
    <row r="124" spans="3:9">
      <c r="C124" s="59">
        <v>19</v>
      </c>
      <c r="D124" s="51" t="s">
        <v>125</v>
      </c>
      <c r="E124" s="37" t="s">
        <v>212</v>
      </c>
      <c r="F124" s="40">
        <v>0.91666666666666663</v>
      </c>
      <c r="G124" s="40"/>
      <c r="H124" s="37" t="s">
        <v>217</v>
      </c>
      <c r="I124" s="68" t="s">
        <v>218</v>
      </c>
    </row>
    <row r="125" spans="3:9">
      <c r="C125" s="59">
        <v>20</v>
      </c>
      <c r="D125" s="51" t="s">
        <v>118</v>
      </c>
      <c r="F125" s="40"/>
      <c r="G125" s="40"/>
      <c r="I125" s="68" t="s">
        <v>219</v>
      </c>
    </row>
    <row r="126" spans="3:9">
      <c r="C126" s="59">
        <v>20</v>
      </c>
      <c r="D126" s="51" t="s">
        <v>118</v>
      </c>
      <c r="E126" s="37" t="s">
        <v>207</v>
      </c>
      <c r="F126" s="40">
        <v>0.875</v>
      </c>
      <c r="G126" s="40"/>
      <c r="H126" s="37" t="s">
        <v>220</v>
      </c>
      <c r="I126" s="68" t="s">
        <v>221</v>
      </c>
    </row>
    <row r="127" spans="3:9">
      <c r="C127" s="59">
        <v>20</v>
      </c>
      <c r="D127" s="51" t="s">
        <v>118</v>
      </c>
      <c r="E127" s="37" t="s">
        <v>207</v>
      </c>
      <c r="F127" s="40">
        <v>0.91666666666666663</v>
      </c>
      <c r="G127" s="40"/>
      <c r="H127" s="75" t="s">
        <v>222</v>
      </c>
      <c r="I127" s="75" t="s">
        <v>223</v>
      </c>
    </row>
    <row r="128" spans="3:9">
      <c r="C128" s="59">
        <v>20</v>
      </c>
      <c r="D128" s="51" t="s">
        <v>118</v>
      </c>
      <c r="E128" s="37" t="s">
        <v>207</v>
      </c>
    </row>
    <row r="129" spans="3:12">
      <c r="C129" s="59">
        <v>20</v>
      </c>
      <c r="D129" s="51" t="s">
        <v>118</v>
      </c>
      <c r="E129" s="37" t="s">
        <v>207</v>
      </c>
      <c r="F129" s="40">
        <v>0.91666666666666663</v>
      </c>
      <c r="G129" s="40"/>
      <c r="H129" s="75" t="s">
        <v>224</v>
      </c>
      <c r="I129" s="75" t="s">
        <v>225</v>
      </c>
    </row>
    <row r="130" spans="3:12">
      <c r="C130" s="59"/>
      <c r="D130" s="51" t="s">
        <v>118</v>
      </c>
      <c r="F130" s="40"/>
      <c r="G130" s="40"/>
      <c r="I130" s="68"/>
    </row>
    <row r="131" spans="3:12" ht="16.5">
      <c r="C131" s="59">
        <v>20</v>
      </c>
      <c r="D131" s="51" t="s">
        <v>118</v>
      </c>
      <c r="F131" s="40">
        <v>0.91666666666666663</v>
      </c>
      <c r="G131" s="40"/>
      <c r="H131" s="73" t="s">
        <v>226</v>
      </c>
      <c r="I131" s="68" t="s">
        <v>227</v>
      </c>
    </row>
    <row r="132" spans="3:12">
      <c r="C132" s="59">
        <v>21</v>
      </c>
      <c r="D132" s="51" t="s">
        <v>120</v>
      </c>
      <c r="F132" s="40"/>
      <c r="G132" s="40"/>
      <c r="I132" s="68"/>
    </row>
    <row r="133" spans="3:12">
      <c r="C133" s="59">
        <v>22</v>
      </c>
      <c r="D133" s="51" t="s">
        <v>121</v>
      </c>
      <c r="F133" s="40"/>
      <c r="G133" s="40"/>
    </row>
    <row r="134" spans="3:12">
      <c r="C134" s="59">
        <v>23</v>
      </c>
      <c r="D134" s="51" t="s">
        <v>122</v>
      </c>
      <c r="F134" s="40"/>
      <c r="G134" s="40"/>
      <c r="I134" s="68"/>
    </row>
    <row r="135" spans="3:12">
      <c r="C135" s="59">
        <v>24</v>
      </c>
      <c r="D135" s="51" t="s">
        <v>123</v>
      </c>
      <c r="I135" s="68"/>
    </row>
    <row r="136" spans="3:12">
      <c r="C136" s="59">
        <v>25</v>
      </c>
      <c r="D136" s="51" t="s">
        <v>124</v>
      </c>
      <c r="E136" s="37" t="s">
        <v>207</v>
      </c>
      <c r="F136" s="40">
        <v>0.91666666666666663</v>
      </c>
      <c r="G136" s="40"/>
      <c r="I136" s="75" t="s">
        <v>228</v>
      </c>
    </row>
    <row r="137" spans="3:12">
      <c r="C137" s="59">
        <v>26</v>
      </c>
      <c r="D137" s="51" t="s">
        <v>125</v>
      </c>
      <c r="E137" s="37" t="s">
        <v>207</v>
      </c>
      <c r="F137" s="40">
        <v>0.91666666666666663</v>
      </c>
      <c r="G137" s="40"/>
      <c r="H137" s="37" t="s">
        <v>229</v>
      </c>
      <c r="I137" s="75" t="s">
        <v>230</v>
      </c>
      <c r="L137" s="38">
        <v>222</v>
      </c>
    </row>
    <row r="138" spans="3:12">
      <c r="C138" s="59">
        <v>27</v>
      </c>
      <c r="D138" s="51" t="s">
        <v>118</v>
      </c>
      <c r="E138" s="37" t="s">
        <v>207</v>
      </c>
      <c r="F138" s="40">
        <v>0.55208333333333337</v>
      </c>
      <c r="G138" s="40"/>
      <c r="H138" s="74" t="s">
        <v>231</v>
      </c>
      <c r="I138" s="75" t="s">
        <v>232</v>
      </c>
    </row>
    <row r="139" spans="3:12">
      <c r="C139" s="59">
        <v>27</v>
      </c>
      <c r="D139" s="51" t="s">
        <v>118</v>
      </c>
      <c r="E139" s="37" t="s">
        <v>207</v>
      </c>
      <c r="F139" s="40">
        <v>0.91666666666666663</v>
      </c>
      <c r="G139" s="40"/>
      <c r="H139" s="74" t="s">
        <v>233</v>
      </c>
      <c r="I139" s="75" t="s">
        <v>234</v>
      </c>
    </row>
    <row r="140" spans="3:12" ht="30">
      <c r="C140" s="59">
        <v>28</v>
      </c>
      <c r="D140" s="51" t="s">
        <v>120</v>
      </c>
      <c r="H140" s="76" t="s">
        <v>235</v>
      </c>
      <c r="I140" s="78" t="s">
        <v>236</v>
      </c>
    </row>
    <row r="141" spans="3:12">
      <c r="C141" s="59">
        <v>28</v>
      </c>
      <c r="D141" s="51" t="s">
        <v>120</v>
      </c>
      <c r="F141" s="40">
        <v>0.67708333333333337</v>
      </c>
      <c r="G141" s="40"/>
      <c r="H141" s="75" t="s">
        <v>237</v>
      </c>
      <c r="I141" s="75" t="s">
        <v>238</v>
      </c>
    </row>
    <row r="142" spans="3:12">
      <c r="C142" s="59">
        <v>29</v>
      </c>
      <c r="D142" s="51" t="s">
        <v>121</v>
      </c>
      <c r="F142" s="40"/>
      <c r="G142" s="40"/>
      <c r="I142" s="68"/>
    </row>
    <row r="143" spans="3:12">
      <c r="C143" s="60">
        <v>30</v>
      </c>
      <c r="D143" s="61" t="s">
        <v>122</v>
      </c>
      <c r="E143" s="62"/>
      <c r="F143" s="62"/>
      <c r="G143" s="62"/>
      <c r="H143" s="62"/>
      <c r="I143" s="69"/>
    </row>
    <row r="144" spans="3:12">
      <c r="C144" s="45"/>
      <c r="D144" s="45"/>
      <c r="E144" s="45"/>
      <c r="F144" s="45"/>
      <c r="G144" s="45"/>
      <c r="H144" s="45"/>
      <c r="I144" s="45"/>
    </row>
    <row r="145" spans="3:9" ht="15.75" thickBot="1">
      <c r="C145" s="45"/>
      <c r="D145" s="45"/>
      <c r="E145" s="45"/>
      <c r="F145" s="45"/>
      <c r="G145" s="45"/>
      <c r="H145" s="45"/>
      <c r="I145" s="45"/>
    </row>
    <row r="146" spans="3:9">
      <c r="C146" s="95">
        <v>44682</v>
      </c>
      <c r="D146" s="103" t="s">
        <v>108</v>
      </c>
      <c r="E146" s="66" t="s">
        <v>110</v>
      </c>
      <c r="F146" s="66" t="s">
        <v>204</v>
      </c>
      <c r="G146" s="66"/>
      <c r="H146" s="66" t="s">
        <v>205</v>
      </c>
      <c r="I146" s="67" t="s">
        <v>203</v>
      </c>
    </row>
    <row r="147" spans="3:9">
      <c r="C147" s="59">
        <v>1</v>
      </c>
      <c r="D147" s="51" t="s">
        <v>123</v>
      </c>
      <c r="F147" s="40"/>
      <c r="G147" s="40"/>
      <c r="H147" s="53"/>
      <c r="I147" s="68"/>
    </row>
    <row r="148" spans="3:9">
      <c r="C148" s="59">
        <v>2</v>
      </c>
      <c r="D148" s="51" t="s">
        <v>124</v>
      </c>
      <c r="I148" s="68"/>
    </row>
    <row r="149" spans="3:9">
      <c r="C149" s="59">
        <v>3</v>
      </c>
      <c r="D149" s="51" t="s">
        <v>125</v>
      </c>
      <c r="F149" s="40"/>
      <c r="G149" s="40"/>
    </row>
    <row r="150" spans="3:9">
      <c r="C150" s="59">
        <v>4</v>
      </c>
      <c r="D150" s="51" t="s">
        <v>118</v>
      </c>
      <c r="E150" s="37" t="s">
        <v>212</v>
      </c>
      <c r="F150" s="40">
        <v>0.91666666666666663</v>
      </c>
      <c r="G150" s="40"/>
      <c r="H150" s="37" t="s">
        <v>239</v>
      </c>
      <c r="I150" s="68" t="s">
        <v>240</v>
      </c>
    </row>
    <row r="151" spans="3:9" ht="30">
      <c r="C151" s="59">
        <v>5</v>
      </c>
      <c r="D151" s="51" t="s">
        <v>120</v>
      </c>
      <c r="E151" s="37" t="s">
        <v>212</v>
      </c>
      <c r="F151" s="40">
        <v>0.91666666666666663</v>
      </c>
      <c r="G151" s="40"/>
      <c r="H151" s="77" t="s">
        <v>241</v>
      </c>
      <c r="I151" s="78" t="s">
        <v>242</v>
      </c>
    </row>
    <row r="152" spans="3:9">
      <c r="C152" s="59">
        <v>5</v>
      </c>
      <c r="D152" s="51" t="s">
        <v>120</v>
      </c>
      <c r="E152" s="37" t="s">
        <v>207</v>
      </c>
      <c r="H152" s="74" t="s">
        <v>243</v>
      </c>
      <c r="I152" s="75" t="s">
        <v>244</v>
      </c>
    </row>
    <row r="153" spans="3:9">
      <c r="C153" s="59"/>
      <c r="D153" s="51"/>
      <c r="F153" s="40"/>
      <c r="G153" s="40"/>
      <c r="H153" s="74"/>
      <c r="I153" s="75"/>
    </row>
    <row r="154" spans="3:9">
      <c r="C154" s="59">
        <v>6</v>
      </c>
      <c r="D154" s="51" t="s">
        <v>121</v>
      </c>
      <c r="E154" s="37" t="s">
        <v>207</v>
      </c>
      <c r="F154" s="40">
        <v>0.29166666666666669</v>
      </c>
      <c r="G154" s="40"/>
      <c r="H154" s="74" t="s">
        <v>245</v>
      </c>
      <c r="I154" s="75" t="s">
        <v>246</v>
      </c>
    </row>
    <row r="155" spans="3:9">
      <c r="C155" s="59">
        <v>7</v>
      </c>
      <c r="D155" s="51" t="s">
        <v>122</v>
      </c>
      <c r="F155" s="40"/>
      <c r="G155" s="40"/>
      <c r="I155" s="68"/>
    </row>
    <row r="156" spans="3:9">
      <c r="C156" s="59">
        <v>8</v>
      </c>
      <c r="D156" s="51" t="s">
        <v>123</v>
      </c>
      <c r="F156" s="40"/>
      <c r="G156" s="40"/>
      <c r="I156" s="68"/>
    </row>
    <row r="157" spans="3:9">
      <c r="C157" s="59">
        <v>9</v>
      </c>
      <c r="D157" s="51" t="s">
        <v>124</v>
      </c>
      <c r="E157" s="37" t="s">
        <v>207</v>
      </c>
      <c r="F157" s="40"/>
      <c r="G157" s="40"/>
      <c r="I157" s="75" t="s">
        <v>247</v>
      </c>
    </row>
    <row r="158" spans="3:9">
      <c r="C158" s="59">
        <v>10</v>
      </c>
      <c r="D158" s="51" t="s">
        <v>125</v>
      </c>
      <c r="F158" s="40"/>
      <c r="G158" s="40"/>
      <c r="I158" s="68"/>
    </row>
    <row r="159" spans="3:9">
      <c r="C159" s="59">
        <v>11</v>
      </c>
      <c r="D159" s="51" t="s">
        <v>118</v>
      </c>
      <c r="E159" s="37" t="s">
        <v>207</v>
      </c>
      <c r="F159" s="40"/>
      <c r="G159" s="40"/>
      <c r="I159" s="75" t="s">
        <v>248</v>
      </c>
    </row>
    <row r="160" spans="3:9">
      <c r="C160" s="59">
        <v>11</v>
      </c>
      <c r="D160" s="51" t="s">
        <v>118</v>
      </c>
      <c r="E160" s="37" t="s">
        <v>207</v>
      </c>
      <c r="F160" s="40"/>
      <c r="G160" s="40"/>
      <c r="H160" s="37" t="s">
        <v>249</v>
      </c>
      <c r="I160" s="75" t="s">
        <v>250</v>
      </c>
    </row>
    <row r="161" spans="3:9">
      <c r="C161" s="59">
        <v>11</v>
      </c>
      <c r="D161" s="51" t="s">
        <v>118</v>
      </c>
      <c r="E161" s="37" t="s">
        <v>212</v>
      </c>
      <c r="F161" s="40">
        <v>0.91666666666666663</v>
      </c>
      <c r="G161" s="40"/>
      <c r="H161" s="37" t="s">
        <v>251</v>
      </c>
      <c r="I161" s="75" t="s">
        <v>252</v>
      </c>
    </row>
    <row r="162" spans="3:9">
      <c r="C162" s="59">
        <v>12</v>
      </c>
      <c r="D162" s="51" t="s">
        <v>120</v>
      </c>
      <c r="E162" s="37" t="s">
        <v>207</v>
      </c>
      <c r="F162" s="40"/>
      <c r="G162" s="40"/>
      <c r="H162" s="74" t="s">
        <v>253</v>
      </c>
      <c r="I162" s="75" t="s">
        <v>254</v>
      </c>
    </row>
    <row r="163" spans="3:9">
      <c r="C163" s="59">
        <v>12</v>
      </c>
      <c r="D163" s="51" t="s">
        <v>120</v>
      </c>
      <c r="E163" s="37" t="s">
        <v>212</v>
      </c>
      <c r="F163" s="40">
        <v>0.91666666666666663</v>
      </c>
      <c r="G163" s="40"/>
      <c r="H163" s="37" t="s">
        <v>255</v>
      </c>
      <c r="I163" s="68" t="s">
        <v>256</v>
      </c>
    </row>
    <row r="164" spans="3:9">
      <c r="C164" s="59">
        <v>13</v>
      </c>
      <c r="D164" s="51" t="s">
        <v>121</v>
      </c>
      <c r="F164" s="40"/>
      <c r="G164" s="40"/>
      <c r="I164" s="68"/>
    </row>
    <row r="165" spans="3:9">
      <c r="C165" s="59">
        <v>14</v>
      </c>
      <c r="D165" s="51" t="s">
        <v>122</v>
      </c>
      <c r="F165" s="40"/>
      <c r="G165" s="40"/>
      <c r="I165" s="68"/>
    </row>
    <row r="166" spans="3:9">
      <c r="C166" s="59">
        <v>15</v>
      </c>
      <c r="D166" s="51" t="s">
        <v>123</v>
      </c>
      <c r="F166" s="40"/>
      <c r="G166" s="40"/>
      <c r="I166" s="68"/>
    </row>
    <row r="167" spans="3:9">
      <c r="C167" s="59">
        <v>16</v>
      </c>
      <c r="D167" s="51" t="s">
        <v>124</v>
      </c>
      <c r="F167" s="40"/>
      <c r="G167" s="40"/>
      <c r="I167" s="68"/>
    </row>
    <row r="168" spans="3:9">
      <c r="C168" s="59">
        <v>17</v>
      </c>
      <c r="D168" s="51" t="s">
        <v>125</v>
      </c>
      <c r="E168" s="37" t="s">
        <v>207</v>
      </c>
      <c r="F168" s="40"/>
      <c r="G168" s="40"/>
      <c r="I168" s="75" t="s">
        <v>257</v>
      </c>
    </row>
    <row r="169" spans="3:9">
      <c r="C169" s="59">
        <v>18</v>
      </c>
      <c r="D169" s="51" t="s">
        <v>118</v>
      </c>
      <c r="F169" s="40"/>
      <c r="G169" s="40"/>
      <c r="I169" s="68"/>
    </row>
    <row r="170" spans="3:9">
      <c r="C170" s="59">
        <v>19</v>
      </c>
      <c r="D170" s="51" t="s">
        <v>120</v>
      </c>
      <c r="E170" s="37" t="s">
        <v>207</v>
      </c>
      <c r="F170" s="40"/>
      <c r="G170" s="40"/>
      <c r="I170" s="75" t="s">
        <v>258</v>
      </c>
    </row>
    <row r="171" spans="3:9">
      <c r="C171" s="59">
        <v>19</v>
      </c>
      <c r="D171" s="51" t="s">
        <v>120</v>
      </c>
      <c r="E171" s="37" t="s">
        <v>212</v>
      </c>
      <c r="F171" s="40">
        <v>0.91666666666666663</v>
      </c>
      <c r="G171" s="40"/>
      <c r="H171" s="37" t="s">
        <v>259</v>
      </c>
      <c r="I171" s="68" t="s">
        <v>260</v>
      </c>
    </row>
    <row r="172" spans="3:9">
      <c r="C172" s="59">
        <v>19</v>
      </c>
      <c r="D172" s="51" t="s">
        <v>120</v>
      </c>
      <c r="E172" s="37" t="s">
        <v>212</v>
      </c>
      <c r="F172" s="40">
        <v>0.91666666666666663</v>
      </c>
      <c r="G172" s="40"/>
      <c r="H172" s="37" t="s">
        <v>261</v>
      </c>
      <c r="I172" s="68" t="s">
        <v>262</v>
      </c>
    </row>
    <row r="173" spans="3:9">
      <c r="C173" s="59">
        <v>20</v>
      </c>
      <c r="D173" s="51" t="s">
        <v>121</v>
      </c>
      <c r="E173" s="37" t="s">
        <v>207</v>
      </c>
      <c r="F173" s="40"/>
      <c r="G173" s="40"/>
      <c r="I173" s="68" t="s">
        <v>263</v>
      </c>
    </row>
    <row r="174" spans="3:9">
      <c r="C174" s="59">
        <v>21</v>
      </c>
      <c r="D174" s="51" t="s">
        <v>122</v>
      </c>
      <c r="E174" s="37" t="s">
        <v>212</v>
      </c>
      <c r="F174" s="40"/>
      <c r="G174" s="40"/>
      <c r="H174" s="37" t="s">
        <v>264</v>
      </c>
      <c r="I174" s="68" t="s">
        <v>265</v>
      </c>
    </row>
    <row r="175" spans="3:9">
      <c r="C175" s="59">
        <v>21</v>
      </c>
      <c r="D175" s="51" t="s">
        <v>122</v>
      </c>
      <c r="E175" s="37" t="s">
        <v>207</v>
      </c>
      <c r="F175" s="40"/>
      <c r="G175" s="40"/>
      <c r="H175" s="37" t="s">
        <v>264</v>
      </c>
      <c r="I175" s="68" t="s">
        <v>265</v>
      </c>
    </row>
    <row r="176" spans="3:9">
      <c r="C176" s="59">
        <v>22</v>
      </c>
      <c r="D176" s="51" t="s">
        <v>123</v>
      </c>
      <c r="F176" s="40"/>
      <c r="G176" s="40"/>
      <c r="I176" s="68"/>
    </row>
    <row r="177" spans="3:9">
      <c r="C177" s="59">
        <v>23</v>
      </c>
      <c r="D177" s="51" t="s">
        <v>124</v>
      </c>
      <c r="E177" s="37" t="s">
        <v>207</v>
      </c>
      <c r="F177" s="40"/>
      <c r="G177" s="40"/>
      <c r="I177" s="75" t="s">
        <v>266</v>
      </c>
    </row>
    <row r="178" spans="3:9">
      <c r="C178" s="59">
        <v>24</v>
      </c>
      <c r="D178" s="51" t="s">
        <v>125</v>
      </c>
      <c r="F178" s="40"/>
      <c r="G178" s="40"/>
      <c r="I178" s="68"/>
    </row>
    <row r="179" spans="3:9">
      <c r="C179" s="59">
        <v>25</v>
      </c>
      <c r="D179" s="51" t="s">
        <v>118</v>
      </c>
      <c r="E179" s="37" t="s">
        <v>207</v>
      </c>
      <c r="F179" s="40"/>
      <c r="G179" s="40"/>
      <c r="I179" s="75" t="s">
        <v>267</v>
      </c>
    </row>
    <row r="180" spans="3:9">
      <c r="C180" s="59">
        <v>26</v>
      </c>
      <c r="D180" s="51" t="s">
        <v>120</v>
      </c>
      <c r="E180" s="37" t="s">
        <v>268</v>
      </c>
      <c r="F180" s="40"/>
      <c r="G180" s="40"/>
      <c r="I180" s="68" t="s">
        <v>269</v>
      </c>
    </row>
    <row r="181" spans="3:9">
      <c r="C181" s="59">
        <v>26</v>
      </c>
      <c r="D181" s="51" t="s">
        <v>121</v>
      </c>
      <c r="E181" s="37" t="s">
        <v>207</v>
      </c>
      <c r="F181" s="40">
        <v>0.91666666666666663</v>
      </c>
      <c r="G181" s="40"/>
      <c r="I181" s="68" t="s">
        <v>270</v>
      </c>
    </row>
    <row r="182" spans="3:9">
      <c r="C182" s="59">
        <v>27</v>
      </c>
      <c r="D182" s="51" t="s">
        <v>121</v>
      </c>
      <c r="F182" s="40"/>
      <c r="G182" s="40"/>
      <c r="I182" s="68"/>
    </row>
    <row r="183" spans="3:9">
      <c r="C183" s="59">
        <v>28</v>
      </c>
      <c r="D183" s="51" t="s">
        <v>122</v>
      </c>
      <c r="I183" s="68"/>
    </row>
    <row r="184" spans="3:9">
      <c r="C184" s="59">
        <v>29</v>
      </c>
      <c r="D184" s="51" t="s">
        <v>123</v>
      </c>
      <c r="F184" s="40"/>
      <c r="G184" s="40"/>
      <c r="I184" s="68"/>
    </row>
    <row r="185" spans="3:9">
      <c r="C185" s="59">
        <v>30</v>
      </c>
      <c r="D185" s="51" t="s">
        <v>124</v>
      </c>
      <c r="F185" s="40"/>
      <c r="G185" s="40"/>
      <c r="I185" s="68"/>
    </row>
    <row r="186" spans="3:9">
      <c r="C186" s="70">
        <v>31</v>
      </c>
      <c r="D186" s="51" t="s">
        <v>125</v>
      </c>
      <c r="E186" s="62"/>
      <c r="F186" s="71"/>
      <c r="G186" s="71"/>
      <c r="H186" s="62"/>
      <c r="I186" s="69"/>
    </row>
    <row r="187" spans="3:9">
      <c r="C187" s="45"/>
      <c r="D187" s="45"/>
      <c r="E187" s="45"/>
      <c r="F187" s="72"/>
      <c r="G187" s="72"/>
      <c r="H187" s="45"/>
      <c r="I187" s="45"/>
    </row>
    <row r="188" spans="3:9" ht="15.75" thickBot="1">
      <c r="C188" s="45"/>
      <c r="D188" s="45"/>
      <c r="E188" s="45"/>
      <c r="F188" s="45"/>
      <c r="G188" s="45"/>
      <c r="H188" s="45"/>
      <c r="I188" s="45"/>
    </row>
    <row r="189" spans="3:9">
      <c r="C189" s="95">
        <v>44713</v>
      </c>
      <c r="D189" s="103" t="s">
        <v>108</v>
      </c>
      <c r="E189" s="66" t="s">
        <v>110</v>
      </c>
      <c r="F189" s="66" t="s">
        <v>204</v>
      </c>
      <c r="G189" s="66"/>
      <c r="H189" s="66" t="s">
        <v>205</v>
      </c>
      <c r="I189" s="67" t="s">
        <v>203</v>
      </c>
    </row>
    <row r="190" spans="3:9">
      <c r="C190" s="59">
        <v>1</v>
      </c>
      <c r="D190" s="51" t="s">
        <v>118</v>
      </c>
      <c r="F190" s="40"/>
      <c r="G190" s="40"/>
      <c r="I190" s="68"/>
    </row>
    <row r="191" spans="3:9">
      <c r="C191" s="59">
        <v>2</v>
      </c>
      <c r="D191" s="51" t="s">
        <v>120</v>
      </c>
      <c r="E191" s="37" t="s">
        <v>268</v>
      </c>
      <c r="I191" s="68" t="s">
        <v>271</v>
      </c>
    </row>
    <row r="192" spans="3:9">
      <c r="C192" s="59">
        <v>3</v>
      </c>
      <c r="D192" s="51" t="s">
        <v>121</v>
      </c>
      <c r="E192" s="37" t="s">
        <v>272</v>
      </c>
      <c r="F192" s="40"/>
      <c r="G192" s="40"/>
      <c r="I192" s="68" t="s">
        <v>273</v>
      </c>
    </row>
    <row r="193" spans="3:10">
      <c r="C193" s="59">
        <v>4</v>
      </c>
      <c r="D193" s="51" t="s">
        <v>122</v>
      </c>
      <c r="F193" s="40"/>
      <c r="G193" s="40"/>
      <c r="I193" s="68"/>
    </row>
    <row r="194" spans="3:10">
      <c r="C194" s="59">
        <v>5</v>
      </c>
      <c r="D194" s="51" t="s">
        <v>123</v>
      </c>
      <c r="F194" s="40"/>
      <c r="G194" s="40"/>
      <c r="I194" s="68"/>
    </row>
    <row r="195" spans="3:10">
      <c r="C195" s="59">
        <v>6</v>
      </c>
      <c r="D195" s="51" t="s">
        <v>124</v>
      </c>
      <c r="E195" s="37" t="s">
        <v>268</v>
      </c>
      <c r="F195" s="40"/>
      <c r="G195" s="40"/>
      <c r="I195" s="68" t="s">
        <v>274</v>
      </c>
    </row>
    <row r="196" spans="3:10">
      <c r="C196" s="59">
        <v>6</v>
      </c>
      <c r="D196" s="51" t="s">
        <v>124</v>
      </c>
      <c r="E196" s="37" t="s">
        <v>212</v>
      </c>
      <c r="F196" s="40">
        <v>0.91666666666666663</v>
      </c>
      <c r="G196" s="40"/>
      <c r="H196" s="37" t="s">
        <v>275</v>
      </c>
      <c r="I196" s="68" t="s">
        <v>276</v>
      </c>
    </row>
    <row r="197" spans="3:10">
      <c r="C197" s="59">
        <v>7</v>
      </c>
      <c r="D197" s="51" t="s">
        <v>125</v>
      </c>
      <c r="E197" s="37" t="s">
        <v>207</v>
      </c>
      <c r="F197" s="40"/>
      <c r="G197" s="40"/>
      <c r="I197" s="75" t="s">
        <v>277</v>
      </c>
    </row>
    <row r="198" spans="3:10">
      <c r="C198" s="59">
        <v>8</v>
      </c>
      <c r="D198" s="51" t="s">
        <v>118</v>
      </c>
      <c r="F198" s="40"/>
      <c r="G198" s="40"/>
      <c r="I198" s="68"/>
    </row>
    <row r="199" spans="3:10">
      <c r="C199" s="59">
        <v>9</v>
      </c>
      <c r="D199" s="51" t="s">
        <v>120</v>
      </c>
      <c r="E199" s="37" t="s">
        <v>268</v>
      </c>
      <c r="F199" s="40"/>
      <c r="G199" s="40"/>
      <c r="I199" s="68" t="s">
        <v>278</v>
      </c>
    </row>
    <row r="200" spans="3:10">
      <c r="C200" s="59">
        <v>10</v>
      </c>
      <c r="D200" s="51" t="s">
        <v>121</v>
      </c>
      <c r="F200" s="40"/>
      <c r="G200" s="40"/>
      <c r="I200" s="68"/>
    </row>
    <row r="201" spans="3:10">
      <c r="C201" s="59">
        <v>11</v>
      </c>
      <c r="D201" s="51" t="s">
        <v>122</v>
      </c>
      <c r="F201" s="40"/>
      <c r="G201" s="40"/>
      <c r="I201" s="68"/>
    </row>
    <row r="202" spans="3:10">
      <c r="C202" s="59">
        <v>12</v>
      </c>
      <c r="D202" s="51" t="s">
        <v>123</v>
      </c>
      <c r="F202" s="40"/>
      <c r="G202" s="40"/>
      <c r="I202" s="68"/>
    </row>
    <row r="203" spans="3:10">
      <c r="C203" s="59">
        <v>13</v>
      </c>
      <c r="D203" s="51" t="s">
        <v>124</v>
      </c>
      <c r="F203" s="40"/>
      <c r="G203" s="40"/>
      <c r="I203" s="68"/>
    </row>
    <row r="204" spans="3:10">
      <c r="C204" s="59">
        <v>14</v>
      </c>
      <c r="D204" s="51" t="s">
        <v>125</v>
      </c>
      <c r="E204" s="37" t="s">
        <v>268</v>
      </c>
      <c r="F204" s="40"/>
      <c r="G204" s="40"/>
      <c r="I204" s="68" t="s">
        <v>279</v>
      </c>
    </row>
    <row r="205" spans="3:10">
      <c r="C205" s="59">
        <v>15</v>
      </c>
      <c r="D205" s="51" t="s">
        <v>118</v>
      </c>
      <c r="E205" s="37" t="s">
        <v>280</v>
      </c>
      <c r="F205" s="40">
        <v>0.875</v>
      </c>
      <c r="G205" s="40"/>
      <c r="I205" s="978" t="s">
        <v>281</v>
      </c>
      <c r="J205" s="979"/>
    </row>
    <row r="206" spans="3:10">
      <c r="C206" s="59">
        <v>16</v>
      </c>
      <c r="D206" s="51" t="s">
        <v>120</v>
      </c>
      <c r="E206" s="37" t="s">
        <v>268</v>
      </c>
      <c r="F206" s="40"/>
      <c r="G206" s="40"/>
      <c r="I206" s="68"/>
    </row>
    <row r="207" spans="3:10">
      <c r="C207" s="59">
        <v>17</v>
      </c>
      <c r="D207" s="51" t="s">
        <v>121</v>
      </c>
      <c r="F207" s="40"/>
      <c r="G207" s="40"/>
      <c r="I207" s="68"/>
    </row>
    <row r="208" spans="3:10">
      <c r="C208" s="59">
        <v>18</v>
      </c>
      <c r="D208" s="51" t="s">
        <v>122</v>
      </c>
      <c r="E208" s="37" t="s">
        <v>212</v>
      </c>
      <c r="F208" s="40">
        <v>0.375</v>
      </c>
      <c r="G208" s="40"/>
      <c r="H208" s="37" t="s">
        <v>282</v>
      </c>
      <c r="I208" s="68" t="s">
        <v>283</v>
      </c>
    </row>
    <row r="209" spans="3:9">
      <c r="C209" s="59">
        <v>19</v>
      </c>
      <c r="D209" s="51" t="s">
        <v>123</v>
      </c>
      <c r="F209" s="40"/>
      <c r="G209" s="40"/>
      <c r="I209" s="68"/>
    </row>
    <row r="210" spans="3:9">
      <c r="C210" s="59">
        <v>20</v>
      </c>
      <c r="D210" s="51" t="s">
        <v>124</v>
      </c>
      <c r="F210" s="40"/>
      <c r="G210" s="40"/>
      <c r="I210" s="68"/>
    </row>
    <row r="211" spans="3:9">
      <c r="C211" s="59">
        <v>21</v>
      </c>
      <c r="D211" s="51" t="s">
        <v>125</v>
      </c>
      <c r="E211" s="37" t="s">
        <v>268</v>
      </c>
      <c r="F211" s="40"/>
      <c r="G211" s="40"/>
      <c r="I211" s="68" t="s">
        <v>284</v>
      </c>
    </row>
    <row r="212" spans="3:9">
      <c r="C212" s="59">
        <v>22</v>
      </c>
      <c r="D212" s="51" t="s">
        <v>118</v>
      </c>
      <c r="F212" s="40"/>
      <c r="G212" s="40"/>
      <c r="I212" s="68"/>
    </row>
    <row r="213" spans="3:9">
      <c r="C213" s="59">
        <v>23</v>
      </c>
      <c r="D213" s="51" t="s">
        <v>120</v>
      </c>
      <c r="F213" s="40"/>
      <c r="G213" s="40"/>
      <c r="I213" s="68"/>
    </row>
    <row r="214" spans="3:9">
      <c r="C214" s="59">
        <v>24</v>
      </c>
      <c r="D214" s="51" t="s">
        <v>121</v>
      </c>
      <c r="F214" s="40"/>
      <c r="G214" s="40"/>
      <c r="I214" s="68"/>
    </row>
    <row r="215" spans="3:9">
      <c r="C215" s="59">
        <v>25</v>
      </c>
      <c r="D215" s="51" t="s">
        <v>122</v>
      </c>
      <c r="E215" s="37" t="s">
        <v>212</v>
      </c>
      <c r="F215" s="40">
        <v>0.375</v>
      </c>
      <c r="G215" s="40"/>
      <c r="H215" s="37" t="s">
        <v>285</v>
      </c>
      <c r="I215" s="68" t="s">
        <v>286</v>
      </c>
    </row>
    <row r="216" spans="3:9">
      <c r="C216" s="59">
        <v>26</v>
      </c>
      <c r="D216" s="51" t="s">
        <v>123</v>
      </c>
      <c r="F216" s="40"/>
      <c r="G216" s="40"/>
      <c r="I216" s="68"/>
    </row>
    <row r="217" spans="3:9">
      <c r="C217" s="59">
        <v>27</v>
      </c>
      <c r="D217" s="51" t="s">
        <v>124</v>
      </c>
      <c r="F217" s="40"/>
      <c r="G217" s="40"/>
      <c r="I217" s="68"/>
    </row>
    <row r="218" spans="3:9">
      <c r="C218" s="59">
        <v>28</v>
      </c>
      <c r="D218" s="51" t="s">
        <v>125</v>
      </c>
      <c r="F218" s="40"/>
      <c r="G218" s="40"/>
      <c r="I218" s="68"/>
    </row>
    <row r="219" spans="3:9">
      <c r="C219" s="59">
        <v>29</v>
      </c>
      <c r="D219" s="51" t="s">
        <v>118</v>
      </c>
      <c r="F219" s="40"/>
      <c r="G219" s="40"/>
      <c r="I219" s="68"/>
    </row>
    <row r="220" spans="3:9">
      <c r="C220" s="60">
        <v>30</v>
      </c>
      <c r="D220" s="51" t="s">
        <v>120</v>
      </c>
      <c r="E220" s="62"/>
      <c r="F220" s="62"/>
      <c r="G220" s="62"/>
      <c r="H220" s="62"/>
      <c r="I220" s="69"/>
    </row>
    <row r="221" spans="3:9">
      <c r="C221" s="45"/>
      <c r="D221" s="45"/>
      <c r="E221" s="45"/>
      <c r="F221" s="45"/>
      <c r="G221" s="45"/>
      <c r="H221" s="45"/>
      <c r="I221" s="45"/>
    </row>
    <row r="222" spans="3:9" ht="15.75" thickBot="1">
      <c r="C222" s="45"/>
      <c r="D222" s="45"/>
      <c r="E222" s="45"/>
      <c r="F222" s="45"/>
      <c r="G222" s="45"/>
      <c r="H222" s="45"/>
      <c r="I222" s="45"/>
    </row>
    <row r="223" spans="3:9">
      <c r="C223" s="95">
        <v>44743</v>
      </c>
      <c r="D223" s="103" t="s">
        <v>108</v>
      </c>
      <c r="E223" s="66" t="s">
        <v>110</v>
      </c>
      <c r="F223" s="66" t="s">
        <v>204</v>
      </c>
      <c r="G223" s="66"/>
      <c r="H223" s="66" t="s">
        <v>205</v>
      </c>
      <c r="I223" s="67" t="s">
        <v>203</v>
      </c>
    </row>
    <row r="224" spans="3:9">
      <c r="C224" s="59">
        <v>1</v>
      </c>
      <c r="D224" s="51" t="s">
        <v>121</v>
      </c>
      <c r="F224" s="40"/>
      <c r="G224" s="40"/>
      <c r="H224" s="53"/>
      <c r="I224" s="68"/>
    </row>
    <row r="225" spans="3:9">
      <c r="C225" s="59">
        <v>2</v>
      </c>
      <c r="D225" s="51" t="s">
        <v>122</v>
      </c>
      <c r="I225" s="68"/>
    </row>
    <row r="226" spans="3:9">
      <c r="C226" s="59">
        <v>3</v>
      </c>
      <c r="D226" s="51" t="s">
        <v>123</v>
      </c>
      <c r="F226" s="40"/>
      <c r="G226" s="40"/>
      <c r="I226" s="68"/>
    </row>
    <row r="227" spans="3:9">
      <c r="C227" s="59">
        <v>4</v>
      </c>
      <c r="D227" s="51" t="s">
        <v>124</v>
      </c>
      <c r="F227" s="40"/>
      <c r="G227" s="40"/>
      <c r="I227" s="68"/>
    </row>
    <row r="228" spans="3:9">
      <c r="C228" s="59">
        <v>5</v>
      </c>
      <c r="D228" s="51" t="s">
        <v>125</v>
      </c>
      <c r="I228" s="68"/>
    </row>
    <row r="229" spans="3:9">
      <c r="C229" s="59">
        <v>6</v>
      </c>
      <c r="D229" s="51" t="s">
        <v>118</v>
      </c>
      <c r="F229" s="40"/>
      <c r="G229" s="40"/>
      <c r="I229" s="68"/>
    </row>
    <row r="230" spans="3:9">
      <c r="C230" s="59">
        <v>7</v>
      </c>
      <c r="D230" s="51" t="s">
        <v>120</v>
      </c>
      <c r="F230" s="40"/>
      <c r="G230" s="40"/>
      <c r="I230" s="68"/>
    </row>
    <row r="231" spans="3:9">
      <c r="C231" s="59">
        <v>8</v>
      </c>
      <c r="D231" s="51" t="s">
        <v>121</v>
      </c>
      <c r="F231" s="40"/>
      <c r="G231" s="40"/>
      <c r="H231" s="53"/>
      <c r="I231" s="68"/>
    </row>
    <row r="232" spans="3:9">
      <c r="C232" s="59">
        <v>9</v>
      </c>
      <c r="D232" s="51" t="s">
        <v>122</v>
      </c>
      <c r="E232" s="82" t="s">
        <v>212</v>
      </c>
      <c r="F232" s="83">
        <v>0.375</v>
      </c>
      <c r="G232" s="83"/>
      <c r="H232" s="82" t="s">
        <v>287</v>
      </c>
      <c r="I232" s="84" t="s">
        <v>288</v>
      </c>
    </row>
    <row r="233" spans="3:9">
      <c r="C233" s="59">
        <v>10</v>
      </c>
      <c r="D233" s="51" t="s">
        <v>123</v>
      </c>
      <c r="F233" s="40"/>
      <c r="G233" s="40"/>
      <c r="I233" s="68"/>
    </row>
    <row r="234" spans="3:9">
      <c r="C234" s="59">
        <v>11</v>
      </c>
      <c r="D234" s="51" t="s">
        <v>124</v>
      </c>
      <c r="F234" s="40"/>
      <c r="G234" s="40"/>
      <c r="I234" s="68"/>
    </row>
    <row r="235" spans="3:9">
      <c r="C235" s="59">
        <v>12</v>
      </c>
      <c r="D235" s="51" t="s">
        <v>125</v>
      </c>
      <c r="I235" s="68"/>
    </row>
    <row r="236" spans="3:9">
      <c r="C236" s="59">
        <v>13</v>
      </c>
      <c r="D236" s="51" t="s">
        <v>118</v>
      </c>
      <c r="F236" s="40"/>
      <c r="G236" s="40"/>
      <c r="I236" s="68"/>
    </row>
    <row r="237" spans="3:9">
      <c r="C237" s="59">
        <v>14</v>
      </c>
      <c r="D237" s="51" t="s">
        <v>120</v>
      </c>
      <c r="I237" s="68"/>
    </row>
    <row r="238" spans="3:9">
      <c r="C238" s="59">
        <v>15</v>
      </c>
      <c r="D238" s="51" t="s">
        <v>121</v>
      </c>
      <c r="F238" s="40"/>
      <c r="G238" s="40"/>
      <c r="H238" s="53"/>
      <c r="I238" s="68"/>
    </row>
    <row r="239" spans="3:9">
      <c r="C239" s="59">
        <v>16</v>
      </c>
      <c r="D239" s="51" t="s">
        <v>122</v>
      </c>
      <c r="E239" s="37" t="s">
        <v>272</v>
      </c>
      <c r="F239" s="40">
        <v>0.375</v>
      </c>
      <c r="G239" s="40"/>
      <c r="H239" s="37" t="s">
        <v>289</v>
      </c>
      <c r="I239" s="68" t="s">
        <v>290</v>
      </c>
    </row>
    <row r="240" spans="3:9">
      <c r="C240" s="59">
        <v>17</v>
      </c>
      <c r="D240" s="51" t="s">
        <v>123</v>
      </c>
      <c r="I240" s="68"/>
    </row>
    <row r="241" spans="3:9">
      <c r="C241" s="59">
        <v>18</v>
      </c>
      <c r="D241" s="51" t="s">
        <v>124</v>
      </c>
      <c r="F241" s="40"/>
      <c r="G241" s="40"/>
      <c r="I241" s="68"/>
    </row>
    <row r="242" spans="3:9">
      <c r="C242" s="59">
        <v>19</v>
      </c>
      <c r="D242" s="51" t="s">
        <v>125</v>
      </c>
      <c r="F242" s="40"/>
      <c r="G242" s="40"/>
      <c r="I242" s="68"/>
    </row>
    <row r="243" spans="3:9">
      <c r="C243" s="59">
        <v>20</v>
      </c>
      <c r="D243" s="51" t="s">
        <v>118</v>
      </c>
      <c r="F243" s="40"/>
      <c r="G243" s="40"/>
      <c r="I243" s="68"/>
    </row>
    <row r="244" spans="3:9">
      <c r="C244" s="59">
        <v>21</v>
      </c>
      <c r="D244" s="51" t="s">
        <v>120</v>
      </c>
      <c r="F244" s="40"/>
      <c r="G244" s="40"/>
      <c r="I244" s="68"/>
    </row>
    <row r="245" spans="3:9">
      <c r="C245" s="59">
        <v>22</v>
      </c>
      <c r="D245" s="51" t="s">
        <v>121</v>
      </c>
      <c r="F245" s="40"/>
      <c r="G245" s="40"/>
      <c r="I245" s="68"/>
    </row>
    <row r="246" spans="3:9">
      <c r="C246" s="59">
        <v>23</v>
      </c>
      <c r="D246" s="51" t="s">
        <v>122</v>
      </c>
      <c r="E246" s="37" t="s">
        <v>212</v>
      </c>
      <c r="F246" s="40">
        <v>0.375</v>
      </c>
      <c r="G246" s="40"/>
      <c r="H246" s="37" t="s">
        <v>291</v>
      </c>
      <c r="I246" s="68" t="s">
        <v>292</v>
      </c>
    </row>
    <row r="247" spans="3:9">
      <c r="C247" s="59">
        <v>24</v>
      </c>
      <c r="D247" s="51" t="s">
        <v>123</v>
      </c>
      <c r="F247" s="40"/>
      <c r="G247" s="40"/>
      <c r="I247" s="68"/>
    </row>
    <row r="248" spans="3:9">
      <c r="C248" s="59">
        <v>25</v>
      </c>
      <c r="D248" s="51" t="s">
        <v>124</v>
      </c>
      <c r="F248" s="40"/>
      <c r="G248" s="40"/>
      <c r="I248" s="68"/>
    </row>
    <row r="249" spans="3:9">
      <c r="C249" s="59">
        <v>26</v>
      </c>
      <c r="D249" s="51" t="s">
        <v>125</v>
      </c>
      <c r="F249" s="40"/>
      <c r="G249" s="40"/>
      <c r="I249" s="68"/>
    </row>
    <row r="250" spans="3:9">
      <c r="C250" s="59">
        <v>27</v>
      </c>
      <c r="D250" s="51" t="s">
        <v>118</v>
      </c>
      <c r="F250" s="40"/>
      <c r="G250" s="40"/>
      <c r="I250" s="68"/>
    </row>
    <row r="251" spans="3:9">
      <c r="C251" s="59">
        <v>28</v>
      </c>
      <c r="D251" s="51" t="s">
        <v>120</v>
      </c>
      <c r="F251" s="40"/>
      <c r="G251" s="40"/>
      <c r="I251" s="68"/>
    </row>
    <row r="252" spans="3:9">
      <c r="C252" s="59">
        <v>29</v>
      </c>
      <c r="D252" s="51" t="s">
        <v>121</v>
      </c>
      <c r="F252" s="40"/>
      <c r="G252" s="40"/>
      <c r="I252" s="68"/>
    </row>
    <row r="253" spans="3:9">
      <c r="C253" s="59">
        <v>30</v>
      </c>
      <c r="D253" s="51" t="s">
        <v>122</v>
      </c>
      <c r="I253" s="68"/>
    </row>
    <row r="254" spans="3:9">
      <c r="C254" s="60">
        <v>31</v>
      </c>
      <c r="D254" s="51" t="s">
        <v>123</v>
      </c>
      <c r="E254" s="62"/>
      <c r="F254" s="62"/>
      <c r="G254" s="62"/>
      <c r="H254" s="62"/>
      <c r="I254" s="69"/>
    </row>
    <row r="255" spans="3:9">
      <c r="C255" s="45"/>
      <c r="D255" s="45"/>
      <c r="E255" s="45"/>
      <c r="F255" s="45"/>
      <c r="G255" s="45"/>
      <c r="H255" s="45"/>
      <c r="I255" s="45"/>
    </row>
    <row r="256" spans="3:9" ht="15.75" thickBot="1">
      <c r="C256" s="45"/>
      <c r="D256" s="45"/>
      <c r="E256" s="45"/>
      <c r="F256" s="45"/>
      <c r="G256" s="45"/>
      <c r="H256" s="45"/>
      <c r="I256" s="45"/>
    </row>
    <row r="257" spans="3:9">
      <c r="C257" s="95">
        <v>44774</v>
      </c>
      <c r="D257" s="103" t="s">
        <v>108</v>
      </c>
      <c r="E257" s="66" t="s">
        <v>110</v>
      </c>
      <c r="F257" s="66" t="s">
        <v>204</v>
      </c>
      <c r="G257" s="66"/>
      <c r="H257" s="66" t="s">
        <v>205</v>
      </c>
      <c r="I257" s="67" t="s">
        <v>203</v>
      </c>
    </row>
    <row r="258" spans="3:9">
      <c r="C258" s="59">
        <v>1</v>
      </c>
      <c r="D258" s="51" t="s">
        <v>124</v>
      </c>
      <c r="F258" s="40"/>
      <c r="G258" s="40"/>
      <c r="H258" s="53"/>
      <c r="I258" s="68"/>
    </row>
    <row r="259" spans="3:9">
      <c r="C259" s="59">
        <v>2</v>
      </c>
      <c r="D259" s="51" t="s">
        <v>125</v>
      </c>
      <c r="I259" s="68"/>
    </row>
    <row r="260" spans="3:9">
      <c r="C260" s="59">
        <v>3</v>
      </c>
      <c r="D260" s="51" t="s">
        <v>118</v>
      </c>
      <c r="F260" s="40"/>
      <c r="G260" s="40"/>
      <c r="I260" s="68"/>
    </row>
    <row r="261" spans="3:9">
      <c r="C261" s="59">
        <v>4</v>
      </c>
      <c r="D261" s="51" t="s">
        <v>120</v>
      </c>
      <c r="F261" s="40"/>
      <c r="G261" s="40"/>
      <c r="I261" s="68"/>
    </row>
    <row r="262" spans="3:9">
      <c r="C262" s="59">
        <v>5</v>
      </c>
      <c r="D262" s="51" t="s">
        <v>121</v>
      </c>
      <c r="I262" s="68"/>
    </row>
    <row r="263" spans="3:9">
      <c r="C263" s="59">
        <v>6</v>
      </c>
      <c r="D263" s="51" t="s">
        <v>122</v>
      </c>
      <c r="E263" s="37" t="s">
        <v>212</v>
      </c>
      <c r="F263" s="40">
        <v>0.375</v>
      </c>
      <c r="G263" s="40"/>
      <c r="H263" s="37" t="s">
        <v>293</v>
      </c>
      <c r="I263" s="68" t="s">
        <v>294</v>
      </c>
    </row>
    <row r="264" spans="3:9">
      <c r="C264" s="59">
        <v>7</v>
      </c>
      <c r="D264" s="51" t="s">
        <v>123</v>
      </c>
      <c r="F264" s="40"/>
      <c r="G264" s="40"/>
      <c r="I264" s="68"/>
    </row>
    <row r="265" spans="3:9">
      <c r="C265" s="59">
        <v>8</v>
      </c>
      <c r="D265" s="51" t="s">
        <v>124</v>
      </c>
      <c r="F265" s="40"/>
      <c r="G265" s="40"/>
      <c r="H265" s="53"/>
      <c r="I265" s="68"/>
    </row>
    <row r="266" spans="3:9">
      <c r="C266" s="59">
        <v>9</v>
      </c>
      <c r="D266" s="51" t="s">
        <v>125</v>
      </c>
      <c r="F266" s="40"/>
      <c r="G266" s="40"/>
      <c r="I266" s="68"/>
    </row>
    <row r="267" spans="3:9">
      <c r="C267" s="59">
        <v>10</v>
      </c>
      <c r="D267" s="51" t="s">
        <v>118</v>
      </c>
      <c r="F267" s="40"/>
      <c r="G267" s="40"/>
      <c r="I267" s="68"/>
    </row>
    <row r="268" spans="3:9">
      <c r="C268" s="59">
        <v>11</v>
      </c>
      <c r="D268" s="51" t="s">
        <v>120</v>
      </c>
      <c r="F268" s="40"/>
      <c r="G268" s="40"/>
      <c r="I268" s="68"/>
    </row>
    <row r="269" spans="3:9">
      <c r="C269" s="59">
        <v>12</v>
      </c>
      <c r="D269" s="51" t="s">
        <v>121</v>
      </c>
      <c r="I269" s="68"/>
    </row>
    <row r="270" spans="3:9">
      <c r="C270" s="59">
        <v>13</v>
      </c>
      <c r="D270" s="51" t="s">
        <v>122</v>
      </c>
      <c r="F270" s="40"/>
      <c r="G270" s="40"/>
      <c r="I270" s="68"/>
    </row>
    <row r="271" spans="3:9">
      <c r="C271" s="59">
        <v>14</v>
      </c>
      <c r="D271" s="51" t="s">
        <v>123</v>
      </c>
      <c r="I271" s="68"/>
    </row>
    <row r="272" spans="3:9">
      <c r="C272" s="59">
        <v>15</v>
      </c>
      <c r="D272" s="51" t="s">
        <v>124</v>
      </c>
      <c r="F272" s="40"/>
      <c r="G272" s="40"/>
      <c r="H272" s="53"/>
      <c r="I272" s="68"/>
    </row>
    <row r="273" spans="3:9">
      <c r="C273" s="59">
        <v>16</v>
      </c>
      <c r="D273" s="51" t="s">
        <v>125</v>
      </c>
      <c r="F273" s="40"/>
      <c r="G273" s="40"/>
      <c r="I273" s="68"/>
    </row>
    <row r="274" spans="3:9">
      <c r="C274" s="59">
        <v>17</v>
      </c>
      <c r="D274" s="51" t="s">
        <v>118</v>
      </c>
      <c r="I274" s="68"/>
    </row>
    <row r="275" spans="3:9">
      <c r="C275" s="59">
        <v>18</v>
      </c>
      <c r="D275" s="51" t="s">
        <v>120</v>
      </c>
      <c r="E275" s="37" t="s">
        <v>280</v>
      </c>
      <c r="F275" s="40">
        <v>0.91666666666666663</v>
      </c>
      <c r="G275" s="40"/>
      <c r="H275" s="37" t="s">
        <v>295</v>
      </c>
      <c r="I275" s="68" t="s">
        <v>296</v>
      </c>
    </row>
    <row r="276" spans="3:9">
      <c r="C276" s="59">
        <v>19</v>
      </c>
      <c r="D276" s="51" t="s">
        <v>121</v>
      </c>
      <c r="F276" s="40"/>
      <c r="G276" s="40"/>
      <c r="I276" s="68"/>
    </row>
    <row r="277" spans="3:9">
      <c r="C277" s="59">
        <v>20</v>
      </c>
      <c r="D277" s="51" t="s">
        <v>122</v>
      </c>
      <c r="E277" s="37" t="s">
        <v>272</v>
      </c>
      <c r="F277" s="40">
        <v>0.375</v>
      </c>
      <c r="G277" s="40"/>
      <c r="H277" s="37" t="s">
        <v>297</v>
      </c>
      <c r="I277" s="68" t="s">
        <v>298</v>
      </c>
    </row>
    <row r="278" spans="3:9">
      <c r="C278" s="59">
        <v>21</v>
      </c>
      <c r="D278" s="51" t="s">
        <v>123</v>
      </c>
      <c r="I278" s="68"/>
    </row>
    <row r="279" spans="3:9">
      <c r="C279" s="59">
        <v>22</v>
      </c>
      <c r="D279" s="51" t="s">
        <v>124</v>
      </c>
      <c r="F279" s="40"/>
      <c r="G279" s="40"/>
      <c r="I279" s="68"/>
    </row>
    <row r="280" spans="3:9">
      <c r="C280" s="59">
        <v>23</v>
      </c>
      <c r="D280" s="51" t="s">
        <v>125</v>
      </c>
      <c r="F280" s="40"/>
      <c r="G280" s="40"/>
      <c r="I280" s="68"/>
    </row>
    <row r="281" spans="3:9">
      <c r="C281" s="59">
        <v>24</v>
      </c>
      <c r="D281" s="51" t="s">
        <v>118</v>
      </c>
      <c r="I281" s="68"/>
    </row>
    <row r="282" spans="3:9">
      <c r="C282" s="59">
        <v>25</v>
      </c>
      <c r="D282" s="51" t="s">
        <v>120</v>
      </c>
      <c r="F282" s="40"/>
      <c r="G282" s="40"/>
      <c r="I282" s="68"/>
    </row>
    <row r="283" spans="3:9">
      <c r="C283" s="59">
        <v>26</v>
      </c>
      <c r="D283" s="51" t="s">
        <v>121</v>
      </c>
      <c r="F283" s="40"/>
      <c r="G283" s="40"/>
      <c r="I283" s="68"/>
    </row>
    <row r="284" spans="3:9">
      <c r="C284" s="59">
        <v>27</v>
      </c>
      <c r="D284" s="51" t="s">
        <v>122</v>
      </c>
      <c r="I284" s="68"/>
    </row>
    <row r="285" spans="3:9">
      <c r="C285" s="59">
        <v>28</v>
      </c>
      <c r="D285" s="51" t="s">
        <v>123</v>
      </c>
      <c r="I285" s="68"/>
    </row>
    <row r="286" spans="3:9">
      <c r="C286" s="59">
        <v>29</v>
      </c>
      <c r="D286" s="51" t="s">
        <v>124</v>
      </c>
      <c r="F286" s="40"/>
      <c r="G286" s="40"/>
      <c r="I286" s="68"/>
    </row>
    <row r="287" spans="3:9">
      <c r="C287" s="59">
        <v>30</v>
      </c>
      <c r="D287" s="51" t="s">
        <v>125</v>
      </c>
      <c r="I287" s="68"/>
    </row>
    <row r="288" spans="3:9">
      <c r="C288" s="60">
        <v>31</v>
      </c>
      <c r="D288" s="51" t="s">
        <v>118</v>
      </c>
      <c r="E288" s="62"/>
      <c r="F288" s="62"/>
      <c r="G288" s="62"/>
      <c r="H288" s="62"/>
      <c r="I288" s="69"/>
    </row>
    <row r="289" spans="3:9">
      <c r="C289" s="45"/>
      <c r="D289" s="45"/>
      <c r="E289" s="45"/>
      <c r="F289" s="45"/>
      <c r="G289" s="45"/>
      <c r="H289" s="45"/>
      <c r="I289" s="45"/>
    </row>
    <row r="290" spans="3:9" ht="15.75" thickBot="1">
      <c r="C290" s="45"/>
      <c r="D290" s="45"/>
      <c r="E290" s="45"/>
      <c r="F290" s="45"/>
      <c r="G290" s="45"/>
      <c r="H290" s="45"/>
      <c r="I290" s="45"/>
    </row>
    <row r="291" spans="3:9">
      <c r="C291" s="95" t="s">
        <v>299</v>
      </c>
      <c r="D291" s="103" t="s">
        <v>108</v>
      </c>
      <c r="E291" s="57" t="s">
        <v>110</v>
      </c>
      <c r="F291" s="57" t="s">
        <v>204</v>
      </c>
      <c r="G291" s="57"/>
      <c r="H291" s="57" t="s">
        <v>205</v>
      </c>
      <c r="I291" s="58" t="s">
        <v>203</v>
      </c>
    </row>
    <row r="292" spans="3:9">
      <c r="C292" s="94">
        <v>44805</v>
      </c>
      <c r="D292" s="51" t="s">
        <v>120</v>
      </c>
      <c r="E292" s="86"/>
      <c r="F292" s="87"/>
      <c r="G292" s="87"/>
      <c r="H292" s="88"/>
      <c r="I292" s="86"/>
    </row>
    <row r="293" spans="3:9">
      <c r="C293" s="94">
        <v>44806</v>
      </c>
      <c r="D293" s="51" t="s">
        <v>121</v>
      </c>
      <c r="E293" s="86"/>
      <c r="F293" s="86"/>
      <c r="G293" s="86"/>
      <c r="H293" s="86"/>
      <c r="I293" s="86"/>
    </row>
    <row r="294" spans="3:9">
      <c r="C294" s="94">
        <v>44807</v>
      </c>
      <c r="D294" s="51" t="s">
        <v>122</v>
      </c>
      <c r="E294" s="86"/>
      <c r="F294" s="86"/>
      <c r="G294" s="86"/>
      <c r="H294" s="86"/>
      <c r="I294" s="86"/>
    </row>
    <row r="295" spans="3:9">
      <c r="C295" s="94">
        <v>44808</v>
      </c>
      <c r="D295" s="51" t="s">
        <v>123</v>
      </c>
      <c r="E295" s="86"/>
      <c r="F295" s="86"/>
      <c r="G295" s="86"/>
      <c r="H295" s="86"/>
      <c r="I295" s="86"/>
    </row>
    <row r="296" spans="3:9">
      <c r="C296" s="94">
        <v>44809</v>
      </c>
      <c r="D296" s="51" t="s">
        <v>124</v>
      </c>
      <c r="E296" s="86"/>
      <c r="F296" s="86"/>
      <c r="G296" s="86"/>
      <c r="H296" s="86"/>
      <c r="I296" s="86"/>
    </row>
    <row r="297" spans="3:9">
      <c r="C297" s="94">
        <v>44810</v>
      </c>
      <c r="D297" s="51" t="s">
        <v>125</v>
      </c>
      <c r="E297" s="86"/>
      <c r="F297" s="86"/>
      <c r="G297" s="86"/>
      <c r="H297" s="86"/>
      <c r="I297" s="86"/>
    </row>
    <row r="298" spans="3:9">
      <c r="C298" s="94">
        <v>44811</v>
      </c>
      <c r="D298" s="51" t="s">
        <v>118</v>
      </c>
      <c r="E298" s="86"/>
      <c r="F298" s="86"/>
      <c r="G298" s="86"/>
      <c r="H298" s="86"/>
      <c r="I298" s="86"/>
    </row>
    <row r="299" spans="3:9">
      <c r="C299" s="94">
        <v>44812</v>
      </c>
      <c r="D299" s="51" t="s">
        <v>120</v>
      </c>
      <c r="E299" s="86"/>
      <c r="F299" s="86"/>
      <c r="G299" s="86"/>
      <c r="H299" s="86"/>
      <c r="I299" s="104"/>
    </row>
    <row r="300" spans="3:9">
      <c r="C300" s="94">
        <v>44813</v>
      </c>
      <c r="D300" s="51" t="s">
        <v>121</v>
      </c>
      <c r="E300" s="86"/>
      <c r="F300" s="86"/>
      <c r="G300" s="86"/>
      <c r="H300" s="86"/>
      <c r="I300" s="86"/>
    </row>
    <row r="301" spans="3:9" ht="69" customHeight="1">
      <c r="C301" s="94">
        <v>44814</v>
      </c>
      <c r="D301" s="85" t="s">
        <v>122</v>
      </c>
      <c r="E301" s="86"/>
      <c r="F301" s="87">
        <v>0.375</v>
      </c>
      <c r="G301" s="87">
        <v>0.45833333333333331</v>
      </c>
      <c r="H301" s="86"/>
      <c r="I301" s="105" t="s">
        <v>300</v>
      </c>
    </row>
    <row r="302" spans="3:9">
      <c r="C302" s="94">
        <v>44815</v>
      </c>
      <c r="D302" s="51" t="s">
        <v>123</v>
      </c>
      <c r="E302" s="86"/>
      <c r="F302" s="87">
        <v>0.375</v>
      </c>
      <c r="G302" s="87">
        <v>0.45833333333333331</v>
      </c>
      <c r="H302" s="86"/>
      <c r="I302" s="86"/>
    </row>
    <row r="303" spans="3:9">
      <c r="C303" s="94">
        <v>44816</v>
      </c>
      <c r="D303" s="51" t="s">
        <v>124</v>
      </c>
      <c r="E303" s="86" t="s">
        <v>272</v>
      </c>
      <c r="F303" s="87">
        <v>0.375</v>
      </c>
      <c r="G303" s="87">
        <v>0.45833333333333331</v>
      </c>
      <c r="H303" s="86"/>
      <c r="I303" s="86" t="s">
        <v>301</v>
      </c>
    </row>
    <row r="304" spans="3:9">
      <c r="C304" s="94">
        <v>44817</v>
      </c>
      <c r="D304" s="51" t="s">
        <v>125</v>
      </c>
      <c r="E304" s="86"/>
      <c r="F304" s="87">
        <v>0.375</v>
      </c>
      <c r="G304" s="87">
        <v>0.45833333333333331</v>
      </c>
      <c r="H304" s="86"/>
      <c r="I304" s="86"/>
    </row>
    <row r="305" spans="3:9" ht="30">
      <c r="C305" s="94">
        <v>44818</v>
      </c>
      <c r="D305" s="51" t="s">
        <v>118</v>
      </c>
      <c r="E305" s="86" t="s">
        <v>272</v>
      </c>
      <c r="F305" s="87">
        <v>0.375</v>
      </c>
      <c r="G305" s="87">
        <v>0.45833333333333331</v>
      </c>
      <c r="H305" s="86"/>
      <c r="I305" s="105" t="s">
        <v>302</v>
      </c>
    </row>
    <row r="306" spans="3:9" ht="30">
      <c r="C306" s="94">
        <v>44819</v>
      </c>
      <c r="D306" s="51" t="s">
        <v>120</v>
      </c>
      <c r="E306" s="86" t="s">
        <v>272</v>
      </c>
      <c r="F306" s="87">
        <v>0.375</v>
      </c>
      <c r="G306" s="87">
        <v>0.45833333333333331</v>
      </c>
      <c r="H306" s="88"/>
      <c r="I306" s="105" t="s">
        <v>303</v>
      </c>
    </row>
    <row r="307" spans="3:9">
      <c r="C307" s="94">
        <v>44820</v>
      </c>
      <c r="D307" s="51" t="s">
        <v>121</v>
      </c>
      <c r="E307" s="86"/>
      <c r="F307" s="87">
        <v>0.375</v>
      </c>
      <c r="G307" s="87">
        <v>0.45833333333333331</v>
      </c>
      <c r="H307" s="86"/>
      <c r="I307" s="86"/>
    </row>
    <row r="308" spans="3:9">
      <c r="C308" s="94">
        <v>44821</v>
      </c>
      <c r="D308" s="51" t="s">
        <v>122</v>
      </c>
      <c r="E308" s="86" t="s">
        <v>268</v>
      </c>
      <c r="F308" s="87">
        <v>0.375</v>
      </c>
      <c r="G308" s="87">
        <v>0.45833333333333331</v>
      </c>
      <c r="H308" s="86"/>
      <c r="I308" s="86" t="s">
        <v>304</v>
      </c>
    </row>
    <row r="309" spans="3:9">
      <c r="C309" s="94">
        <v>44822</v>
      </c>
      <c r="D309" s="51" t="s">
        <v>123</v>
      </c>
      <c r="E309" s="86"/>
      <c r="F309" s="87">
        <v>0.375</v>
      </c>
      <c r="G309" s="87">
        <v>0.45833333333333331</v>
      </c>
      <c r="H309" s="86"/>
      <c r="I309" s="86"/>
    </row>
    <row r="310" spans="3:9">
      <c r="C310" s="94">
        <v>44823</v>
      </c>
      <c r="D310" s="51" t="s">
        <v>124</v>
      </c>
      <c r="E310" s="86" t="s">
        <v>272</v>
      </c>
      <c r="F310" s="87">
        <v>0.375</v>
      </c>
      <c r="G310" s="87">
        <v>0.45833333333333331</v>
      </c>
      <c r="H310" s="86"/>
      <c r="I310" s="86" t="s">
        <v>305</v>
      </c>
    </row>
    <row r="311" spans="3:9">
      <c r="C311" s="94">
        <v>44824</v>
      </c>
      <c r="D311" s="51" t="s">
        <v>125</v>
      </c>
      <c r="E311" s="86"/>
      <c r="F311" s="86"/>
      <c r="G311" s="86"/>
      <c r="H311" s="86"/>
      <c r="I311" s="106" t="s">
        <v>306</v>
      </c>
    </row>
    <row r="312" spans="3:9">
      <c r="C312" s="94">
        <v>44825</v>
      </c>
      <c r="D312" s="51" t="s">
        <v>118</v>
      </c>
      <c r="E312" s="86"/>
      <c r="F312" s="86"/>
      <c r="G312" s="86"/>
      <c r="H312" s="86"/>
      <c r="I312" s="75" t="s">
        <v>307</v>
      </c>
    </row>
    <row r="313" spans="3:9">
      <c r="C313" s="94">
        <v>44826</v>
      </c>
      <c r="D313" s="51" t="s">
        <v>120</v>
      </c>
      <c r="E313" s="86" t="s">
        <v>272</v>
      </c>
      <c r="F313" s="87"/>
      <c r="G313" s="87"/>
      <c r="H313" s="86"/>
      <c r="I313" s="107" t="s">
        <v>308</v>
      </c>
    </row>
    <row r="314" spans="3:9">
      <c r="C314" s="94">
        <v>44827</v>
      </c>
      <c r="D314" s="51" t="s">
        <v>121</v>
      </c>
      <c r="E314" s="86"/>
      <c r="F314" s="87"/>
      <c r="G314" s="87"/>
      <c r="H314" s="86"/>
      <c r="I314" s="86"/>
    </row>
    <row r="315" spans="3:9" ht="51" customHeight="1">
      <c r="C315" s="94">
        <v>44828</v>
      </c>
      <c r="D315" s="51" t="s">
        <v>122</v>
      </c>
      <c r="E315" s="86" t="s">
        <v>272</v>
      </c>
      <c r="F315" s="86"/>
      <c r="G315" s="86"/>
      <c r="H315" s="86"/>
      <c r="I315" s="105" t="s">
        <v>309</v>
      </c>
    </row>
    <row r="316" spans="3:9">
      <c r="C316" s="94">
        <v>44829</v>
      </c>
      <c r="D316" s="51" t="s">
        <v>123</v>
      </c>
      <c r="E316" s="86"/>
      <c r="F316" s="87"/>
      <c r="G316" s="87"/>
      <c r="H316" s="86"/>
      <c r="I316" s="86"/>
    </row>
    <row r="317" spans="3:9">
      <c r="C317" s="94">
        <v>44830</v>
      </c>
      <c r="D317" s="51" t="s">
        <v>124</v>
      </c>
      <c r="E317" s="86"/>
      <c r="F317" s="87"/>
      <c r="G317" s="87"/>
      <c r="H317" s="86"/>
      <c r="I317" s="86"/>
    </row>
    <row r="318" spans="3:9">
      <c r="C318" s="94">
        <v>44831</v>
      </c>
      <c r="D318" s="51" t="s">
        <v>125</v>
      </c>
      <c r="E318" s="86"/>
      <c r="F318" s="86"/>
      <c r="G318" s="86"/>
      <c r="H318" s="86"/>
      <c r="I318" s="86"/>
    </row>
    <row r="319" spans="3:9">
      <c r="C319" s="94">
        <v>44832</v>
      </c>
      <c r="D319" s="51" t="s">
        <v>118</v>
      </c>
      <c r="E319" s="86"/>
      <c r="F319" s="86"/>
      <c r="G319" s="86"/>
      <c r="H319" s="86"/>
      <c r="I319" s="86"/>
    </row>
    <row r="320" spans="3:9" ht="15.75" thickBot="1">
      <c r="C320" s="94">
        <v>44833</v>
      </c>
      <c r="D320" s="61" t="s">
        <v>120</v>
      </c>
      <c r="E320" s="86"/>
      <c r="F320" s="87"/>
      <c r="G320" s="87"/>
      <c r="H320" s="86"/>
      <c r="I320" s="86"/>
    </row>
    <row r="321" spans="3:9" ht="15.75" thickBot="1">
      <c r="C321" s="94">
        <v>44834</v>
      </c>
      <c r="D321" s="61" t="s">
        <v>121</v>
      </c>
      <c r="E321" s="86"/>
      <c r="F321" s="86"/>
      <c r="G321" s="86"/>
      <c r="H321" s="86"/>
      <c r="I321" s="86"/>
    </row>
    <row r="322" spans="3:9">
      <c r="C322" s="45"/>
      <c r="D322" s="45"/>
      <c r="E322" s="45"/>
      <c r="F322" s="45"/>
      <c r="G322" s="45"/>
      <c r="H322" s="45"/>
      <c r="I322" s="45"/>
    </row>
    <row r="323" spans="3:9" ht="15.75" thickBot="1">
      <c r="C323" s="45"/>
      <c r="D323" s="45"/>
      <c r="E323" s="45"/>
      <c r="F323" s="45"/>
      <c r="G323" s="45"/>
      <c r="H323" s="45"/>
      <c r="I323" s="45"/>
    </row>
    <row r="324" spans="3:9">
      <c r="C324" s="100">
        <v>44835</v>
      </c>
      <c r="D324" s="108" t="s">
        <v>108</v>
      </c>
      <c r="E324" s="89" t="s">
        <v>110</v>
      </c>
      <c r="F324" s="89" t="s">
        <v>204</v>
      </c>
      <c r="G324" s="89"/>
      <c r="H324" s="89" t="s">
        <v>205</v>
      </c>
      <c r="I324" s="90" t="s">
        <v>203</v>
      </c>
    </row>
    <row r="325" spans="3:9">
      <c r="C325" s="59">
        <v>1</v>
      </c>
      <c r="D325" s="51" t="s">
        <v>121</v>
      </c>
      <c r="E325" s="86"/>
      <c r="F325" s="86"/>
      <c r="G325" s="86"/>
      <c r="H325" s="86"/>
      <c r="I325" s="86"/>
    </row>
    <row r="326" spans="3:9">
      <c r="C326" s="59">
        <v>2</v>
      </c>
      <c r="D326" s="51" t="s">
        <v>122</v>
      </c>
      <c r="E326" s="86"/>
      <c r="F326" s="86"/>
      <c r="G326" s="86"/>
      <c r="H326" s="86"/>
      <c r="I326" s="86"/>
    </row>
    <row r="327" spans="3:9">
      <c r="C327" s="59">
        <v>3</v>
      </c>
      <c r="D327" s="51" t="s">
        <v>123</v>
      </c>
      <c r="E327" s="86"/>
      <c r="F327" s="86"/>
      <c r="G327" s="86"/>
      <c r="H327" s="86"/>
      <c r="I327" s="86"/>
    </row>
    <row r="328" spans="3:9">
      <c r="C328" s="59">
        <v>4</v>
      </c>
      <c r="D328" s="51" t="s">
        <v>124</v>
      </c>
      <c r="E328" s="86"/>
      <c r="F328" s="86"/>
      <c r="G328" s="86"/>
      <c r="H328" s="86"/>
      <c r="I328" s="86"/>
    </row>
    <row r="329" spans="3:9">
      <c r="C329" s="59">
        <v>5</v>
      </c>
      <c r="D329" s="51" t="s">
        <v>125</v>
      </c>
      <c r="E329" s="86"/>
      <c r="F329" s="86"/>
      <c r="G329" s="86"/>
      <c r="H329" s="86"/>
      <c r="I329" s="86"/>
    </row>
    <row r="330" spans="3:9">
      <c r="C330" s="59">
        <v>6</v>
      </c>
      <c r="D330" s="51" t="s">
        <v>118</v>
      </c>
      <c r="E330" s="86"/>
      <c r="F330" s="86"/>
      <c r="G330" s="86"/>
      <c r="H330" s="86"/>
      <c r="I330" s="86"/>
    </row>
    <row r="331" spans="3:9">
      <c r="C331" s="59">
        <v>7</v>
      </c>
      <c r="D331" s="51" t="s">
        <v>120</v>
      </c>
      <c r="E331" s="86"/>
      <c r="F331" s="86"/>
      <c r="G331" s="86"/>
      <c r="H331" s="86"/>
      <c r="I331" s="86"/>
    </row>
    <row r="332" spans="3:9">
      <c r="C332" s="59">
        <v>8</v>
      </c>
      <c r="D332" s="51" t="s">
        <v>121</v>
      </c>
      <c r="E332" s="86"/>
      <c r="F332" s="86"/>
      <c r="G332" s="86"/>
      <c r="H332" s="86"/>
      <c r="I332" s="86"/>
    </row>
    <row r="333" spans="3:9">
      <c r="C333" s="59">
        <v>9</v>
      </c>
      <c r="D333" s="51" t="s">
        <v>122</v>
      </c>
      <c r="E333" s="86"/>
      <c r="F333" s="86"/>
      <c r="G333" s="86"/>
      <c r="H333" s="86"/>
      <c r="I333" s="86"/>
    </row>
    <row r="334" spans="3:9">
      <c r="C334" s="59">
        <v>10</v>
      </c>
      <c r="D334" s="51" t="s">
        <v>123</v>
      </c>
      <c r="E334" s="86"/>
      <c r="F334" s="86"/>
      <c r="G334" s="86"/>
      <c r="H334" s="86"/>
      <c r="I334" s="86"/>
    </row>
    <row r="335" spans="3:9">
      <c r="C335" s="59">
        <v>11</v>
      </c>
      <c r="D335" s="51" t="s">
        <v>124</v>
      </c>
      <c r="E335" s="86"/>
      <c r="F335" s="86"/>
      <c r="G335" s="86"/>
      <c r="H335" s="86"/>
      <c r="I335" s="86"/>
    </row>
    <row r="336" spans="3:9">
      <c r="C336" s="59">
        <v>12</v>
      </c>
      <c r="D336" s="51" t="s">
        <v>125</v>
      </c>
      <c r="E336" s="86"/>
      <c r="F336" s="86"/>
      <c r="G336" s="86"/>
      <c r="H336" s="86"/>
      <c r="I336" s="86"/>
    </row>
    <row r="337" spans="3:9">
      <c r="C337" s="59">
        <v>13</v>
      </c>
      <c r="D337" s="51" t="s">
        <v>118</v>
      </c>
      <c r="E337" s="86"/>
      <c r="F337" s="86"/>
      <c r="G337" s="86"/>
      <c r="H337" s="86"/>
      <c r="I337" s="86"/>
    </row>
    <row r="338" spans="3:9">
      <c r="C338" s="59">
        <v>14</v>
      </c>
      <c r="D338" s="51" t="s">
        <v>120</v>
      </c>
      <c r="E338" s="86"/>
      <c r="F338" s="86"/>
      <c r="G338" s="86"/>
      <c r="H338" s="86"/>
      <c r="I338" s="86"/>
    </row>
    <row r="339" spans="3:9">
      <c r="C339" s="59">
        <v>15</v>
      </c>
      <c r="D339" s="51" t="s">
        <v>121</v>
      </c>
      <c r="E339" s="86"/>
      <c r="F339" s="86"/>
      <c r="G339" s="86"/>
      <c r="H339" s="86"/>
      <c r="I339" s="86"/>
    </row>
    <row r="340" spans="3:9">
      <c r="C340" s="59">
        <v>14</v>
      </c>
      <c r="D340" s="51" t="s">
        <v>120</v>
      </c>
      <c r="E340" s="86"/>
      <c r="F340" s="86"/>
      <c r="G340" s="86"/>
      <c r="H340" s="86"/>
      <c r="I340" s="86"/>
    </row>
    <row r="341" spans="3:9">
      <c r="C341" s="59">
        <v>16</v>
      </c>
      <c r="D341" s="51" t="s">
        <v>122</v>
      </c>
      <c r="E341" s="86"/>
      <c r="F341" s="86"/>
      <c r="G341" s="86"/>
      <c r="H341" s="86"/>
      <c r="I341" s="86"/>
    </row>
    <row r="342" spans="3:9">
      <c r="C342" s="59">
        <v>17</v>
      </c>
      <c r="D342" s="51" t="s">
        <v>123</v>
      </c>
      <c r="E342" s="86"/>
      <c r="F342" s="86"/>
      <c r="G342" s="86"/>
      <c r="H342" s="86"/>
      <c r="I342" s="86"/>
    </row>
    <row r="343" spans="3:9">
      <c r="C343" s="59">
        <v>18</v>
      </c>
      <c r="D343" s="51" t="s">
        <v>124</v>
      </c>
      <c r="E343" s="86"/>
      <c r="F343" s="86"/>
      <c r="G343" s="86"/>
      <c r="H343" s="86"/>
      <c r="I343" s="86"/>
    </row>
    <row r="344" spans="3:9">
      <c r="C344" s="59">
        <v>19</v>
      </c>
      <c r="D344" s="51" t="s">
        <v>125</v>
      </c>
      <c r="E344" s="86"/>
      <c r="F344" s="86"/>
      <c r="G344" s="86"/>
      <c r="H344" s="86"/>
      <c r="I344" s="86"/>
    </row>
    <row r="345" spans="3:9">
      <c r="C345" s="59">
        <v>20</v>
      </c>
      <c r="D345" s="51" t="s">
        <v>118</v>
      </c>
      <c r="E345" s="86"/>
      <c r="F345" s="86"/>
      <c r="G345" s="86"/>
      <c r="H345" s="86"/>
      <c r="I345" s="86"/>
    </row>
    <row r="346" spans="3:9">
      <c r="C346" s="59">
        <v>21</v>
      </c>
      <c r="D346" s="51" t="s">
        <v>120</v>
      </c>
      <c r="E346" s="86"/>
      <c r="F346" s="86"/>
      <c r="G346" s="86"/>
      <c r="H346" s="86"/>
      <c r="I346" s="86"/>
    </row>
    <row r="347" spans="3:9">
      <c r="C347" s="59">
        <v>21</v>
      </c>
      <c r="D347" s="51" t="s">
        <v>310</v>
      </c>
      <c r="E347" s="86"/>
      <c r="F347" s="86"/>
      <c r="G347" s="86"/>
      <c r="H347" s="86"/>
      <c r="I347" s="86"/>
    </row>
    <row r="348" spans="3:9">
      <c r="C348" s="59">
        <v>21</v>
      </c>
      <c r="D348" s="51" t="s">
        <v>120</v>
      </c>
      <c r="E348" s="86"/>
      <c r="F348" s="86"/>
      <c r="G348" s="86"/>
      <c r="H348" s="86"/>
      <c r="I348" s="86"/>
    </row>
    <row r="349" spans="3:9">
      <c r="C349" s="59">
        <v>22</v>
      </c>
      <c r="D349" s="51" t="s">
        <v>121</v>
      </c>
      <c r="E349" s="86"/>
      <c r="F349" s="86"/>
      <c r="G349" s="86"/>
      <c r="H349" s="86"/>
      <c r="I349" s="86"/>
    </row>
    <row r="350" spans="3:9">
      <c r="C350" s="59">
        <v>23</v>
      </c>
      <c r="D350" s="51" t="s">
        <v>122</v>
      </c>
      <c r="E350" s="86"/>
      <c r="F350" s="86"/>
      <c r="G350" s="86"/>
      <c r="H350" s="86"/>
      <c r="I350" s="86"/>
    </row>
    <row r="351" spans="3:9">
      <c r="C351" s="59">
        <v>24</v>
      </c>
      <c r="D351" s="51" t="s">
        <v>123</v>
      </c>
      <c r="E351" s="86"/>
      <c r="F351" s="86"/>
      <c r="G351" s="86"/>
      <c r="H351" s="86"/>
      <c r="I351" s="86"/>
    </row>
    <row r="352" spans="3:9">
      <c r="C352" s="59">
        <v>25</v>
      </c>
      <c r="D352" s="51" t="s">
        <v>124</v>
      </c>
      <c r="E352" s="86"/>
      <c r="F352" s="86"/>
      <c r="G352" s="86"/>
      <c r="H352" s="86"/>
      <c r="I352" s="86"/>
    </row>
    <row r="353" spans="3:9" ht="15.75" customHeight="1">
      <c r="C353" s="59">
        <v>26</v>
      </c>
      <c r="D353" s="51" t="s">
        <v>125</v>
      </c>
      <c r="E353" s="86"/>
      <c r="F353" s="86"/>
      <c r="G353" s="86"/>
      <c r="H353" s="86"/>
      <c r="I353" s="86"/>
    </row>
    <row r="354" spans="3:9" ht="19.5" customHeight="1">
      <c r="C354" s="59">
        <v>27</v>
      </c>
      <c r="D354" s="51" t="s">
        <v>118</v>
      </c>
      <c r="E354" s="86"/>
      <c r="F354" s="86"/>
      <c r="G354" s="86"/>
      <c r="H354" s="86"/>
      <c r="I354" s="86"/>
    </row>
    <row r="355" spans="3:9">
      <c r="C355" s="59">
        <v>28</v>
      </c>
      <c r="D355" s="51" t="s">
        <v>120</v>
      </c>
      <c r="E355" s="86"/>
      <c r="F355" s="86"/>
      <c r="G355" s="86"/>
      <c r="H355" s="86"/>
      <c r="I355" s="86"/>
    </row>
    <row r="356" spans="3:9">
      <c r="C356" s="59">
        <v>29</v>
      </c>
      <c r="D356" s="51" t="s">
        <v>121</v>
      </c>
      <c r="E356" s="86"/>
      <c r="F356" s="86"/>
      <c r="G356" s="86"/>
      <c r="H356" s="86"/>
      <c r="I356" s="86"/>
    </row>
    <row r="357" spans="3:9">
      <c r="C357" s="59">
        <v>30</v>
      </c>
      <c r="D357" s="51" t="s">
        <v>122</v>
      </c>
      <c r="E357" s="86"/>
      <c r="F357" s="86"/>
      <c r="G357" s="86"/>
      <c r="H357" s="86"/>
      <c r="I357" s="86"/>
    </row>
    <row r="358" spans="3:9">
      <c r="C358" s="60">
        <v>31</v>
      </c>
      <c r="D358" s="61" t="s">
        <v>123</v>
      </c>
      <c r="E358" s="86"/>
      <c r="F358" s="86"/>
      <c r="G358" s="86"/>
      <c r="H358" s="86"/>
      <c r="I358" s="86"/>
    </row>
    <row r="359" spans="3:9">
      <c r="C359" s="45"/>
      <c r="D359" s="45"/>
      <c r="E359" s="45"/>
      <c r="F359" s="45"/>
      <c r="G359" s="45"/>
      <c r="H359" s="45"/>
      <c r="I359" s="45"/>
    </row>
    <row r="360" spans="3:9" ht="15.75" thickBot="1">
      <c r="C360" s="45"/>
      <c r="D360" s="45"/>
      <c r="E360" s="45"/>
      <c r="F360" s="45"/>
      <c r="G360" s="45"/>
      <c r="H360" s="45"/>
      <c r="I360" s="45"/>
    </row>
    <row r="361" spans="3:9" ht="15.75" thickBot="1">
      <c r="C361" s="109">
        <v>44866</v>
      </c>
      <c r="D361" s="110" t="s">
        <v>108</v>
      </c>
      <c r="E361" s="57" t="s">
        <v>110</v>
      </c>
      <c r="F361" s="57" t="s">
        <v>204</v>
      </c>
      <c r="G361" s="57"/>
      <c r="H361" s="57" t="s">
        <v>205</v>
      </c>
      <c r="I361" s="58" t="s">
        <v>203</v>
      </c>
    </row>
    <row r="362" spans="3:9">
      <c r="C362" s="63">
        <v>1</v>
      </c>
      <c r="D362" s="64" t="s">
        <v>124</v>
      </c>
      <c r="E362" s="65"/>
      <c r="F362" s="65"/>
      <c r="G362" s="65"/>
      <c r="H362" s="65"/>
      <c r="I362" s="81"/>
    </row>
    <row r="363" spans="3:9">
      <c r="C363" s="59">
        <v>2</v>
      </c>
      <c r="D363" s="51" t="s">
        <v>125</v>
      </c>
      <c r="I363" s="68"/>
    </row>
    <row r="364" spans="3:9">
      <c r="C364" s="59">
        <v>3</v>
      </c>
      <c r="D364" s="51" t="s">
        <v>118</v>
      </c>
      <c r="I364" s="68"/>
    </row>
    <row r="365" spans="3:9">
      <c r="C365" s="59">
        <v>4</v>
      </c>
      <c r="D365" s="51" t="s">
        <v>120</v>
      </c>
      <c r="I365" s="68"/>
    </row>
    <row r="366" spans="3:9">
      <c r="C366" s="59">
        <v>5</v>
      </c>
      <c r="D366" s="51" t="s">
        <v>121</v>
      </c>
      <c r="I366" s="68"/>
    </row>
    <row r="367" spans="3:9">
      <c r="C367" s="59">
        <v>6</v>
      </c>
      <c r="D367" s="51" t="s">
        <v>122</v>
      </c>
      <c r="I367" s="68"/>
    </row>
    <row r="368" spans="3:9">
      <c r="C368" s="59">
        <v>7</v>
      </c>
      <c r="D368" s="51" t="s">
        <v>123</v>
      </c>
      <c r="I368" s="68"/>
    </row>
    <row r="369" spans="3:9">
      <c r="C369" s="59">
        <v>8</v>
      </c>
      <c r="D369" s="51" t="s">
        <v>124</v>
      </c>
      <c r="I369" s="68"/>
    </row>
    <row r="370" spans="3:9">
      <c r="C370" s="59">
        <v>9</v>
      </c>
      <c r="D370" s="51" t="s">
        <v>125</v>
      </c>
      <c r="I370" s="68"/>
    </row>
    <row r="371" spans="3:9">
      <c r="C371" s="59">
        <v>10</v>
      </c>
      <c r="D371" s="51" t="s">
        <v>118</v>
      </c>
      <c r="I371" s="68"/>
    </row>
    <row r="372" spans="3:9">
      <c r="C372" s="59">
        <v>11</v>
      </c>
      <c r="D372" s="51" t="s">
        <v>120</v>
      </c>
      <c r="I372" s="68"/>
    </row>
    <row r="373" spans="3:9">
      <c r="C373" s="59">
        <v>12</v>
      </c>
      <c r="D373" s="51" t="s">
        <v>121</v>
      </c>
      <c r="I373" s="68"/>
    </row>
    <row r="374" spans="3:9">
      <c r="C374" s="59">
        <v>13</v>
      </c>
      <c r="D374" s="51" t="s">
        <v>311</v>
      </c>
      <c r="I374" s="68"/>
    </row>
    <row r="375" spans="3:9">
      <c r="C375" s="59">
        <v>14</v>
      </c>
      <c r="D375" s="51" t="s">
        <v>123</v>
      </c>
      <c r="I375" s="68"/>
    </row>
    <row r="376" spans="3:9">
      <c r="C376" s="59">
        <v>15</v>
      </c>
      <c r="D376" s="51" t="s">
        <v>124</v>
      </c>
      <c r="I376" s="68"/>
    </row>
    <row r="377" spans="3:9">
      <c r="C377" s="59">
        <v>16</v>
      </c>
      <c r="D377" s="51" t="s">
        <v>125</v>
      </c>
      <c r="I377" s="68"/>
    </row>
    <row r="378" spans="3:9">
      <c r="C378" s="59">
        <v>17</v>
      </c>
      <c r="D378" s="51" t="s">
        <v>118</v>
      </c>
      <c r="I378" s="68"/>
    </row>
    <row r="379" spans="3:9">
      <c r="C379" s="59">
        <v>18</v>
      </c>
      <c r="D379" s="51" t="s">
        <v>120</v>
      </c>
      <c r="I379" s="68"/>
    </row>
    <row r="380" spans="3:9">
      <c r="C380" s="59">
        <v>19</v>
      </c>
      <c r="D380" s="51" t="s">
        <v>121</v>
      </c>
      <c r="I380" s="68"/>
    </row>
    <row r="381" spans="3:9">
      <c r="C381" s="59">
        <v>20</v>
      </c>
      <c r="D381" s="51" t="s">
        <v>122</v>
      </c>
      <c r="I381" s="68"/>
    </row>
    <row r="382" spans="3:9">
      <c r="C382" s="59">
        <v>21</v>
      </c>
      <c r="D382" s="51" t="s">
        <v>123</v>
      </c>
      <c r="I382" s="68"/>
    </row>
    <row r="383" spans="3:9">
      <c r="C383" s="59">
        <v>22</v>
      </c>
      <c r="D383" s="51" t="s">
        <v>124</v>
      </c>
      <c r="I383" s="68"/>
    </row>
    <row r="384" spans="3:9">
      <c r="C384" s="59">
        <v>23</v>
      </c>
      <c r="D384" s="51" t="s">
        <v>125</v>
      </c>
      <c r="I384" s="68"/>
    </row>
    <row r="385" spans="3:9">
      <c r="C385" s="59">
        <v>24</v>
      </c>
      <c r="D385" s="51" t="s">
        <v>118</v>
      </c>
      <c r="I385" s="68"/>
    </row>
    <row r="386" spans="3:9">
      <c r="C386" s="59">
        <v>25</v>
      </c>
      <c r="D386" s="51" t="s">
        <v>120</v>
      </c>
      <c r="I386" s="68"/>
    </row>
    <row r="387" spans="3:9">
      <c r="C387" s="59">
        <v>26</v>
      </c>
      <c r="D387" s="51" t="s">
        <v>121</v>
      </c>
      <c r="I387" s="68"/>
    </row>
    <row r="388" spans="3:9">
      <c r="C388" s="59">
        <v>27</v>
      </c>
      <c r="D388" s="51" t="s">
        <v>122</v>
      </c>
      <c r="I388" s="68"/>
    </row>
    <row r="389" spans="3:9">
      <c r="C389" s="59">
        <v>28</v>
      </c>
      <c r="D389" s="51" t="s">
        <v>123</v>
      </c>
      <c r="I389" s="68"/>
    </row>
    <row r="390" spans="3:9">
      <c r="C390" s="59">
        <v>29</v>
      </c>
      <c r="D390" s="51" t="s">
        <v>124</v>
      </c>
      <c r="I390" s="68"/>
    </row>
    <row r="391" spans="3:9" ht="15.75" thickBot="1">
      <c r="C391" s="60">
        <v>30</v>
      </c>
      <c r="D391" s="61" t="s">
        <v>125</v>
      </c>
      <c r="E391" s="62"/>
      <c r="F391" s="62"/>
      <c r="G391" s="62"/>
      <c r="H391" s="62"/>
      <c r="I391" s="69"/>
    </row>
    <row r="392" spans="3:9">
      <c r="C392" s="45"/>
      <c r="D392" s="45"/>
      <c r="E392" s="45"/>
      <c r="F392" s="45"/>
      <c r="G392" s="45"/>
      <c r="H392" s="45"/>
    </row>
    <row r="393" spans="3:9" ht="15.75" thickBot="1">
      <c r="C393" s="45"/>
      <c r="D393" s="45"/>
      <c r="E393" s="45"/>
      <c r="F393" s="45"/>
      <c r="G393" s="45"/>
      <c r="H393" s="45"/>
      <c r="I393" s="45"/>
    </row>
    <row r="394" spans="3:9">
      <c r="C394" s="109">
        <v>44896</v>
      </c>
      <c r="D394" s="110" t="s">
        <v>108</v>
      </c>
      <c r="E394" s="57" t="s">
        <v>110</v>
      </c>
      <c r="F394" s="57" t="s">
        <v>204</v>
      </c>
      <c r="G394" s="57"/>
      <c r="H394" s="57" t="s">
        <v>205</v>
      </c>
      <c r="I394" s="58" t="s">
        <v>203</v>
      </c>
    </row>
    <row r="395" spans="3:9">
      <c r="C395" s="59">
        <v>1</v>
      </c>
      <c r="D395" s="51" t="s">
        <v>118</v>
      </c>
      <c r="I395" s="68"/>
    </row>
    <row r="396" spans="3:9">
      <c r="C396" s="59">
        <v>2</v>
      </c>
      <c r="D396" s="51" t="s">
        <v>120</v>
      </c>
      <c r="I396" s="68"/>
    </row>
    <row r="397" spans="3:9">
      <c r="C397" s="59">
        <v>3</v>
      </c>
      <c r="D397" s="51" t="s">
        <v>121</v>
      </c>
      <c r="I397" s="68"/>
    </row>
    <row r="398" spans="3:9">
      <c r="C398" s="59">
        <v>4</v>
      </c>
      <c r="D398" s="51" t="s">
        <v>122</v>
      </c>
      <c r="I398" s="68"/>
    </row>
    <row r="399" spans="3:9">
      <c r="C399" s="59">
        <v>5</v>
      </c>
      <c r="D399" s="51" t="s">
        <v>123</v>
      </c>
      <c r="I399" s="68"/>
    </row>
    <row r="400" spans="3:9">
      <c r="C400" s="59">
        <v>6</v>
      </c>
      <c r="D400" s="51" t="s">
        <v>124</v>
      </c>
      <c r="I400" s="68"/>
    </row>
    <row r="401" spans="3:9">
      <c r="C401" s="59">
        <v>7</v>
      </c>
      <c r="D401" s="51" t="s">
        <v>125</v>
      </c>
      <c r="I401" s="68"/>
    </row>
    <row r="402" spans="3:9">
      <c r="C402" s="59">
        <v>8</v>
      </c>
      <c r="D402" s="51" t="s">
        <v>118</v>
      </c>
      <c r="I402" s="68"/>
    </row>
    <row r="403" spans="3:9">
      <c r="C403" s="59">
        <v>9</v>
      </c>
      <c r="D403" s="51" t="s">
        <v>120</v>
      </c>
      <c r="I403" s="68"/>
    </row>
    <row r="404" spans="3:9">
      <c r="C404" s="59">
        <v>10</v>
      </c>
      <c r="D404" s="51" t="s">
        <v>121</v>
      </c>
      <c r="I404" s="68"/>
    </row>
    <row r="405" spans="3:9">
      <c r="C405" s="59">
        <v>11</v>
      </c>
      <c r="D405" s="51" t="s">
        <v>122</v>
      </c>
      <c r="I405" s="68"/>
    </row>
    <row r="406" spans="3:9">
      <c r="C406" s="59">
        <v>12</v>
      </c>
      <c r="D406" s="51" t="s">
        <v>123</v>
      </c>
      <c r="I406" s="68"/>
    </row>
    <row r="407" spans="3:9">
      <c r="C407" s="59">
        <v>13</v>
      </c>
      <c r="D407" s="51" t="s">
        <v>124</v>
      </c>
      <c r="I407" s="68"/>
    </row>
    <row r="408" spans="3:9">
      <c r="C408" s="59">
        <v>14</v>
      </c>
      <c r="D408" s="51" t="s">
        <v>125</v>
      </c>
      <c r="I408" s="68"/>
    </row>
    <row r="409" spans="3:9">
      <c r="C409" s="59">
        <v>15</v>
      </c>
      <c r="D409" s="51" t="s">
        <v>118</v>
      </c>
      <c r="I409" s="68"/>
    </row>
    <row r="410" spans="3:9">
      <c r="C410" s="59">
        <v>16</v>
      </c>
      <c r="D410" s="51" t="s">
        <v>120</v>
      </c>
      <c r="I410" s="68"/>
    </row>
    <row r="411" spans="3:9">
      <c r="C411" s="59">
        <v>17</v>
      </c>
      <c r="D411" s="51" t="s">
        <v>121</v>
      </c>
      <c r="I411" s="68"/>
    </row>
    <row r="412" spans="3:9">
      <c r="C412" s="59">
        <v>18</v>
      </c>
      <c r="D412" s="51" t="s">
        <v>122</v>
      </c>
      <c r="I412" s="68"/>
    </row>
    <row r="413" spans="3:9">
      <c r="C413" s="59">
        <v>19</v>
      </c>
      <c r="D413" s="51" t="s">
        <v>123</v>
      </c>
      <c r="I413" s="68"/>
    </row>
    <row r="414" spans="3:9">
      <c r="C414" s="59">
        <v>20</v>
      </c>
      <c r="D414" s="51" t="s">
        <v>124</v>
      </c>
      <c r="I414" s="68"/>
    </row>
    <row r="415" spans="3:9">
      <c r="C415" s="59">
        <v>21</v>
      </c>
      <c r="D415" s="51" t="s">
        <v>125</v>
      </c>
      <c r="I415" s="68"/>
    </row>
    <row r="416" spans="3:9">
      <c r="C416" s="59">
        <v>22</v>
      </c>
      <c r="D416" s="51" t="s">
        <v>118</v>
      </c>
      <c r="I416" s="68"/>
    </row>
    <row r="417" spans="3:9">
      <c r="C417" s="59">
        <v>23</v>
      </c>
      <c r="D417" s="51" t="s">
        <v>120</v>
      </c>
      <c r="I417" s="68"/>
    </row>
    <row r="418" spans="3:9">
      <c r="C418" s="59">
        <v>24</v>
      </c>
      <c r="D418" s="51" t="s">
        <v>121</v>
      </c>
      <c r="I418" s="68"/>
    </row>
    <row r="419" spans="3:9">
      <c r="C419" s="59">
        <v>25</v>
      </c>
      <c r="D419" s="51" t="s">
        <v>122</v>
      </c>
      <c r="I419" s="68"/>
    </row>
    <row r="420" spans="3:9">
      <c r="C420" s="59">
        <v>26</v>
      </c>
      <c r="D420" s="51" t="s">
        <v>123</v>
      </c>
      <c r="I420" s="68"/>
    </row>
    <row r="421" spans="3:9">
      <c r="C421" s="59">
        <v>27</v>
      </c>
      <c r="D421" s="51" t="s">
        <v>124</v>
      </c>
      <c r="I421" s="68"/>
    </row>
    <row r="422" spans="3:9">
      <c r="C422" s="59">
        <v>28</v>
      </c>
      <c r="D422" s="51" t="s">
        <v>125</v>
      </c>
      <c r="I422" s="68"/>
    </row>
    <row r="423" spans="3:9">
      <c r="C423" s="59">
        <v>29</v>
      </c>
      <c r="D423" s="51" t="s">
        <v>118</v>
      </c>
      <c r="I423" s="68"/>
    </row>
    <row r="424" spans="3:9">
      <c r="C424" s="59">
        <v>30</v>
      </c>
      <c r="D424" s="51" t="s">
        <v>120</v>
      </c>
      <c r="I424" s="68"/>
    </row>
    <row r="425" spans="3:9" ht="15.75" thickBot="1">
      <c r="C425" s="60">
        <v>31</v>
      </c>
      <c r="D425" s="61" t="s">
        <v>121</v>
      </c>
      <c r="E425" s="62"/>
      <c r="F425" s="62"/>
      <c r="G425" s="62"/>
      <c r="H425" s="62"/>
      <c r="I425" s="69"/>
    </row>
  </sheetData>
  <mergeCells count="1">
    <mergeCell ref="I205:J205"/>
  </mergeCells>
  <conditionalFormatting sqref="C2:D2">
    <cfRule type="cellIs" dxfId="158" priority="273" operator="equal">
      <formula>"M"</formula>
    </cfRule>
    <cfRule type="cellIs" dxfId="157" priority="274" operator="equal">
      <formula>"G"</formula>
    </cfRule>
    <cfRule type="cellIs" dxfId="156" priority="275" operator="equal">
      <formula>"V"</formula>
    </cfRule>
  </conditionalFormatting>
  <conditionalFormatting sqref="C36:D36">
    <cfRule type="cellIs" dxfId="155" priority="270" operator="equal">
      <formula>"M"</formula>
    </cfRule>
    <cfRule type="cellIs" dxfId="154" priority="271" operator="equal">
      <formula>"G"</formula>
    </cfRule>
    <cfRule type="cellIs" dxfId="153" priority="272" operator="equal">
      <formula>"V"</formula>
    </cfRule>
  </conditionalFormatting>
  <conditionalFormatting sqref="C70:D70">
    <cfRule type="cellIs" dxfId="152" priority="186" operator="equal">
      <formula>"M"</formula>
    </cfRule>
    <cfRule type="cellIs" dxfId="151" priority="187" operator="equal">
      <formula>"G"</formula>
    </cfRule>
    <cfRule type="cellIs" dxfId="150" priority="188" operator="equal">
      <formula>"V"</formula>
    </cfRule>
  </conditionalFormatting>
  <conditionalFormatting sqref="C104:D104">
    <cfRule type="cellIs" dxfId="149" priority="171" operator="equal">
      <formula>"M"</formula>
    </cfRule>
    <cfRule type="cellIs" dxfId="148" priority="172" operator="equal">
      <formula>"G"</formula>
    </cfRule>
    <cfRule type="cellIs" dxfId="147" priority="173" operator="equal">
      <formula>"V"</formula>
    </cfRule>
  </conditionalFormatting>
  <conditionalFormatting sqref="C146:D146">
    <cfRule type="cellIs" dxfId="146" priority="162" operator="equal">
      <formula>"M"</formula>
    </cfRule>
    <cfRule type="cellIs" dxfId="145" priority="163" operator="equal">
      <formula>"G"</formula>
    </cfRule>
    <cfRule type="cellIs" dxfId="144" priority="164" operator="equal">
      <formula>"V"</formula>
    </cfRule>
  </conditionalFormatting>
  <conditionalFormatting sqref="C189:D189">
    <cfRule type="cellIs" dxfId="143" priority="151" operator="equal">
      <formula>"M"</formula>
    </cfRule>
    <cfRule type="cellIs" dxfId="142" priority="152" operator="equal">
      <formula>"G"</formula>
    </cfRule>
    <cfRule type="cellIs" dxfId="141" priority="153" operator="equal">
      <formula>"V"</formula>
    </cfRule>
  </conditionalFormatting>
  <conditionalFormatting sqref="C223:D223">
    <cfRule type="cellIs" dxfId="140" priority="142" operator="equal">
      <formula>"M"</formula>
    </cfRule>
    <cfRule type="cellIs" dxfId="139" priority="143" operator="equal">
      <formula>"G"</formula>
    </cfRule>
    <cfRule type="cellIs" dxfId="138" priority="144" operator="equal">
      <formula>"V"</formula>
    </cfRule>
  </conditionalFormatting>
  <conditionalFormatting sqref="C257:D257">
    <cfRule type="cellIs" dxfId="137" priority="131" operator="equal">
      <formula>"M"</formula>
    </cfRule>
    <cfRule type="cellIs" dxfId="136" priority="132" operator="equal">
      <formula>"G"</formula>
    </cfRule>
    <cfRule type="cellIs" dxfId="135" priority="133" operator="equal">
      <formula>"V"</formula>
    </cfRule>
  </conditionalFormatting>
  <conditionalFormatting sqref="C291:D291">
    <cfRule type="cellIs" dxfId="134" priority="120" operator="equal">
      <formula>"M"</formula>
    </cfRule>
    <cfRule type="cellIs" dxfId="133" priority="121" operator="equal">
      <formula>"G"</formula>
    </cfRule>
    <cfRule type="cellIs" dxfId="132" priority="122" operator="equal">
      <formula>"V"</formula>
    </cfRule>
  </conditionalFormatting>
  <conditionalFormatting sqref="C324:D324">
    <cfRule type="cellIs" dxfId="131" priority="107" operator="equal">
      <formula>"M"</formula>
    </cfRule>
    <cfRule type="cellIs" dxfId="130" priority="108" operator="equal">
      <formula>"G"</formula>
    </cfRule>
    <cfRule type="cellIs" dxfId="129" priority="109" operator="equal">
      <formula>"V"</formula>
    </cfRule>
  </conditionalFormatting>
  <conditionalFormatting sqref="C361:D361">
    <cfRule type="cellIs" dxfId="128" priority="90" operator="equal">
      <formula>"M"</formula>
    </cfRule>
    <cfRule type="cellIs" dxfId="127" priority="91" operator="equal">
      <formula>"G"</formula>
    </cfRule>
    <cfRule type="cellIs" dxfId="126" priority="92" operator="equal">
      <formula>"V"</formula>
    </cfRule>
  </conditionalFormatting>
  <conditionalFormatting sqref="C394:D394">
    <cfRule type="cellIs" dxfId="125" priority="67" operator="equal">
      <formula>"M"</formula>
    </cfRule>
    <cfRule type="cellIs" dxfId="124" priority="68" operator="equal">
      <formula>"G"</formula>
    </cfRule>
    <cfRule type="cellIs" dxfId="123" priority="69" operator="equal">
      <formula>"V"</formula>
    </cfRule>
  </conditionalFormatting>
  <conditionalFormatting sqref="E3:E34">
    <cfRule type="cellIs" dxfId="122" priority="45" operator="equal">
      <formula>"JMAB"</formula>
    </cfRule>
    <cfRule type="cellIs" dxfId="121" priority="46" operator="equal">
      <formula>"JAB"</formula>
    </cfRule>
  </conditionalFormatting>
  <conditionalFormatting sqref="E37:E68">
    <cfRule type="cellIs" dxfId="120" priority="178" operator="equal">
      <formula>"JMAB"</formula>
    </cfRule>
    <cfRule type="cellIs" dxfId="119" priority="179" operator="equal">
      <formula>"JAB"</formula>
    </cfRule>
  </conditionalFormatting>
  <conditionalFormatting sqref="E71:E102">
    <cfRule type="cellIs" dxfId="118" priority="43" operator="equal">
      <formula>"JMAB"</formula>
    </cfRule>
    <cfRule type="cellIs" dxfId="117" priority="44" operator="equal">
      <formula>"JAB"</formula>
    </cfRule>
  </conditionalFormatting>
  <conditionalFormatting sqref="E105:E144">
    <cfRule type="cellIs" dxfId="116" priority="21" operator="equal">
      <formula>"JMAB"</formula>
    </cfRule>
    <cfRule type="cellIs" dxfId="115" priority="22" operator="equal">
      <formula>"JAB"</formula>
    </cfRule>
  </conditionalFormatting>
  <conditionalFormatting sqref="E147:E187">
    <cfRule type="cellIs" dxfId="114" priority="13" operator="equal">
      <formula>"JMAB"</formula>
    </cfRule>
    <cfRule type="cellIs" dxfId="113" priority="14" operator="equal">
      <formula>"JAB"</formula>
    </cfRule>
  </conditionalFormatting>
  <conditionalFormatting sqref="E190:E221">
    <cfRule type="cellIs" dxfId="112" priority="7" operator="equal">
      <formula>"JMAB"</formula>
    </cfRule>
    <cfRule type="cellIs" dxfId="111" priority="8" operator="equal">
      <formula>"JAB"</formula>
    </cfRule>
  </conditionalFormatting>
  <conditionalFormatting sqref="E224:E253">
    <cfRule type="cellIs" dxfId="110" priority="5" operator="equal">
      <formula>"JMAB"</formula>
    </cfRule>
    <cfRule type="cellIs" dxfId="109" priority="6" operator="equal">
      <formula>"JAB"</formula>
    </cfRule>
  </conditionalFormatting>
  <conditionalFormatting sqref="E258:E287">
    <cfRule type="cellIs" dxfId="108" priority="1" operator="equal">
      <formula>"JMAB"</formula>
    </cfRule>
    <cfRule type="cellIs" dxfId="107" priority="2" operator="equal">
      <formula>"JAB"</formula>
    </cfRule>
  </conditionalFormatting>
  <conditionalFormatting sqref="E292:E322">
    <cfRule type="cellIs" dxfId="106" priority="112" operator="equal">
      <formula>"JMAB"</formula>
    </cfRule>
    <cfRule type="cellIs" dxfId="105" priority="113" operator="equal">
      <formula>"JAB"</formula>
    </cfRule>
  </conditionalFormatting>
  <conditionalFormatting sqref="E325:E358">
    <cfRule type="cellIs" dxfId="104" priority="29" operator="equal">
      <formula>"JMAB"</formula>
    </cfRule>
    <cfRule type="cellIs" dxfId="103" priority="30" operator="equal">
      <formula>"JAB"</formula>
    </cfRule>
  </conditionalFormatting>
  <conditionalFormatting sqref="E362:E391">
    <cfRule type="cellIs" dxfId="102" priority="25" operator="equal">
      <formula>"JMAB"</formula>
    </cfRule>
    <cfRule type="cellIs" dxfId="101" priority="26" operator="equal">
      <formula>"JAB"</formula>
    </cfRule>
  </conditionalFormatting>
  <conditionalFormatting sqref="E395:E425">
    <cfRule type="cellIs" dxfId="100" priority="23" operator="equal">
      <formula>"JMAB"</formula>
    </cfRule>
    <cfRule type="cellIs" dxfId="99" priority="24" operator="equal">
      <formula>"JAB"</formula>
    </cfRule>
  </conditionalFormatting>
  <dataValidations count="1">
    <dataValidation type="list" allowBlank="1" showInputMessage="1" showErrorMessage="1" sqref="E362:E391 E3:E34 E37:E68 E395:E425 E71:E102 E147:E187 E224:E253 E190:E221 E325:E358 E105:E144 E258:E287 E292:E322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05BB-88A6-4CE3-B457-2D0B6E76D22A}">
  <dimension ref="A1:D5"/>
  <sheetViews>
    <sheetView workbookViewId="0">
      <selection activeCell="B13" sqref="B13"/>
    </sheetView>
  </sheetViews>
  <sheetFormatPr defaultColWidth="11.42578125" defaultRowHeight="15"/>
  <cols>
    <col min="1" max="1" width="25.42578125" style="37" customWidth="1"/>
    <col min="2" max="2" width="32.7109375" style="37" customWidth="1"/>
    <col min="3" max="3" width="15.42578125" style="37" customWidth="1"/>
    <col min="4" max="4" width="45.42578125" style="37" customWidth="1"/>
    <col min="5" max="16384" width="11.42578125" style="37"/>
  </cols>
  <sheetData>
    <row r="1" spans="1:4">
      <c r="A1" s="111" t="s">
        <v>174</v>
      </c>
      <c r="B1" s="111" t="s">
        <v>312</v>
      </c>
      <c r="C1" s="111" t="s">
        <v>313</v>
      </c>
      <c r="D1" s="111" t="s">
        <v>314</v>
      </c>
    </row>
    <row r="2" spans="1:4">
      <c r="A2" s="112" t="s">
        <v>315</v>
      </c>
      <c r="B2" s="112" t="s">
        <v>316</v>
      </c>
      <c r="C2" s="112">
        <v>910506075</v>
      </c>
      <c r="D2" s="113" t="s">
        <v>317</v>
      </c>
    </row>
    <row r="3" spans="1:4">
      <c r="A3" s="112" t="s">
        <v>318</v>
      </c>
      <c r="B3" s="112" t="s">
        <v>172</v>
      </c>
      <c r="C3" s="112">
        <v>651577705</v>
      </c>
      <c r="D3" s="113" t="s">
        <v>317</v>
      </c>
    </row>
    <row r="4" spans="1:4">
      <c r="A4" s="132" t="s">
        <v>319</v>
      </c>
      <c r="B4" s="132" t="s">
        <v>320</v>
      </c>
      <c r="C4" s="132">
        <v>911753531</v>
      </c>
      <c r="D4" s="113" t="s">
        <v>321</v>
      </c>
    </row>
    <row r="5" spans="1:4">
      <c r="A5" s="132" t="s">
        <v>322</v>
      </c>
      <c r="B5" s="132" t="s">
        <v>323</v>
      </c>
      <c r="C5" s="132">
        <v>665277179</v>
      </c>
      <c r="D5" s="141" t="s">
        <v>324</v>
      </c>
    </row>
  </sheetData>
  <hyperlinks>
    <hyperlink ref="D4" r:id="rId1" xr:uid="{87015D06-1BD5-4404-A910-BFB312E04A60}"/>
    <hyperlink ref="D5" r:id="rId2" xr:uid="{102FDFA6-89C0-4FAB-A593-DD99BB438678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309A-88B6-4CAB-B44C-BBC4263DE71C}">
  <dimension ref="A2:AW160"/>
  <sheetViews>
    <sheetView topLeftCell="A80" zoomScale="77" zoomScaleNormal="77" workbookViewId="0">
      <pane xSplit="1" topLeftCell="B60" activePane="topRight" state="frozen"/>
      <selection pane="topRight" activeCell="P71" sqref="P71"/>
    </sheetView>
  </sheetViews>
  <sheetFormatPr defaultColWidth="9.140625" defaultRowHeight="18" customHeight="1"/>
  <cols>
    <col min="1" max="1" width="32.7109375" style="623" customWidth="1"/>
    <col min="2" max="32" width="9.28515625" style="623" customWidth="1"/>
    <col min="33" max="33" width="9.140625" style="623"/>
    <col min="34" max="34" width="8.5703125" style="840" customWidth="1"/>
    <col min="35" max="35" width="9.140625" style="840"/>
    <col min="36" max="41" width="9.140625" style="623"/>
    <col min="42" max="42" width="36.85546875" style="623" customWidth="1"/>
    <col min="43" max="43" width="19.42578125" style="623" customWidth="1"/>
    <col min="44" max="16384" width="9.140625" style="623"/>
  </cols>
  <sheetData>
    <row r="2" spans="1:32" ht="18" customHeight="1">
      <c r="A2" s="767" t="s">
        <v>325</v>
      </c>
      <c r="B2" s="862" t="s">
        <v>326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  <c r="O2" s="862"/>
      <c r="P2" s="862"/>
      <c r="Q2" s="862"/>
      <c r="R2" s="862"/>
      <c r="S2" s="862"/>
      <c r="T2" s="862"/>
      <c r="U2" s="862"/>
      <c r="V2" s="862"/>
      <c r="W2" s="862"/>
      <c r="X2" s="862"/>
      <c r="Y2" s="862"/>
      <c r="Z2" s="862"/>
      <c r="AA2" s="862"/>
      <c r="AB2" s="862"/>
      <c r="AC2" s="862"/>
      <c r="AD2" s="862"/>
      <c r="AE2" s="862"/>
      <c r="AF2" s="863"/>
    </row>
    <row r="3" spans="1:32" ht="18" customHeight="1">
      <c r="A3" s="768" t="s">
        <v>327</v>
      </c>
      <c r="B3" s="864" t="s">
        <v>328</v>
      </c>
      <c r="C3" s="864"/>
      <c r="D3" s="864"/>
      <c r="E3" s="864"/>
      <c r="F3" s="864"/>
      <c r="G3" s="864"/>
      <c r="H3" s="864"/>
      <c r="I3" s="864"/>
      <c r="J3" s="864"/>
      <c r="K3" s="864"/>
      <c r="L3" s="864"/>
      <c r="M3" s="864"/>
      <c r="N3" s="864"/>
      <c r="O3" s="864"/>
      <c r="P3" s="864"/>
      <c r="Q3" s="864"/>
      <c r="R3" s="864"/>
      <c r="S3" s="864"/>
      <c r="T3" s="864"/>
      <c r="U3" s="864"/>
      <c r="V3" s="864"/>
      <c r="W3" s="864"/>
      <c r="X3" s="864"/>
      <c r="Y3" s="864"/>
      <c r="Z3" s="864"/>
      <c r="AA3" s="864"/>
      <c r="AB3" s="864"/>
      <c r="AC3" s="864"/>
      <c r="AD3" s="864"/>
      <c r="AE3" s="864"/>
      <c r="AF3" s="865"/>
    </row>
    <row r="4" spans="1:32" ht="18" customHeight="1">
      <c r="A4" s="704" t="s">
        <v>329</v>
      </c>
      <c r="B4" s="866" t="s">
        <v>330</v>
      </c>
      <c r="C4" s="866"/>
      <c r="D4" s="866"/>
      <c r="E4" s="866"/>
      <c r="F4" s="866"/>
      <c r="G4" s="866"/>
      <c r="H4" s="866"/>
      <c r="I4" s="866"/>
      <c r="J4" s="866"/>
      <c r="K4" s="866"/>
      <c r="L4" s="866"/>
      <c r="M4" s="866"/>
      <c r="N4" s="866"/>
      <c r="O4" s="866"/>
      <c r="P4" s="866"/>
      <c r="Q4" s="866"/>
      <c r="R4" s="866"/>
      <c r="S4" s="866"/>
      <c r="T4" s="866"/>
      <c r="U4" s="866"/>
      <c r="V4" s="866"/>
      <c r="W4" s="866"/>
      <c r="X4" s="866"/>
      <c r="Y4" s="866"/>
      <c r="Z4" s="866"/>
      <c r="AA4" s="866"/>
      <c r="AB4" s="866"/>
      <c r="AC4" s="866"/>
      <c r="AD4" s="866"/>
      <c r="AE4" s="866"/>
      <c r="AF4" s="867"/>
    </row>
    <row r="5" spans="1:32" ht="18" customHeight="1">
      <c r="A5" s="611" t="s">
        <v>331</v>
      </c>
      <c r="B5" s="868" t="s">
        <v>332</v>
      </c>
      <c r="C5" s="866"/>
      <c r="D5" s="866"/>
      <c r="E5" s="866"/>
      <c r="F5" s="866"/>
      <c r="G5" s="866"/>
      <c r="H5" s="866"/>
      <c r="I5" s="866"/>
      <c r="J5" s="866"/>
      <c r="K5" s="866"/>
      <c r="L5" s="866"/>
      <c r="M5" s="866"/>
      <c r="N5" s="866"/>
      <c r="O5" s="866"/>
      <c r="P5" s="866"/>
      <c r="Q5" s="866"/>
      <c r="R5" s="866"/>
      <c r="S5" s="866"/>
      <c r="T5" s="866"/>
      <c r="U5" s="866"/>
      <c r="V5" s="866"/>
      <c r="W5" s="866"/>
      <c r="X5" s="866"/>
      <c r="Y5" s="866"/>
      <c r="Z5" s="866"/>
      <c r="AA5" s="866"/>
      <c r="AB5" s="866"/>
      <c r="AC5" s="866"/>
      <c r="AD5" s="866"/>
      <c r="AE5" s="866"/>
      <c r="AF5" s="867"/>
    </row>
    <row r="6" spans="1:32" ht="18" customHeight="1">
      <c r="A6" s="611" t="s">
        <v>14</v>
      </c>
      <c r="B6" s="855" t="s">
        <v>46</v>
      </c>
      <c r="C6" s="855"/>
      <c r="D6" s="855"/>
      <c r="E6" s="855"/>
      <c r="F6" s="855"/>
      <c r="G6" s="855"/>
      <c r="H6" s="855"/>
      <c r="I6" s="855"/>
      <c r="J6" s="855"/>
      <c r="K6" s="855"/>
      <c r="L6" s="855"/>
      <c r="M6" s="855"/>
      <c r="N6" s="855"/>
      <c r="O6" s="855"/>
      <c r="P6" s="855"/>
      <c r="Q6" s="855"/>
      <c r="R6" s="855"/>
      <c r="S6" s="855"/>
      <c r="T6" s="855"/>
      <c r="U6" s="855"/>
      <c r="V6" s="855"/>
      <c r="W6" s="855"/>
      <c r="X6" s="855"/>
      <c r="Y6" s="855"/>
      <c r="Z6" s="855"/>
      <c r="AA6" s="855"/>
      <c r="AB6" s="855"/>
      <c r="AC6" s="855"/>
      <c r="AD6" s="855"/>
      <c r="AE6" s="855"/>
      <c r="AF6" s="856"/>
    </row>
    <row r="7" spans="1:32" ht="18" customHeight="1">
      <c r="A7" s="769" t="s">
        <v>9</v>
      </c>
      <c r="B7" s="855" t="s">
        <v>333</v>
      </c>
      <c r="C7" s="855"/>
      <c r="D7" s="855"/>
      <c r="E7" s="855"/>
      <c r="F7" s="855"/>
      <c r="G7" s="855"/>
      <c r="H7" s="855"/>
      <c r="I7" s="855"/>
      <c r="J7" s="855"/>
      <c r="K7" s="855"/>
      <c r="L7" s="855"/>
      <c r="M7" s="855"/>
      <c r="N7" s="855"/>
      <c r="O7" s="855"/>
      <c r="P7" s="855"/>
      <c r="Q7" s="855"/>
      <c r="R7" s="855"/>
      <c r="S7" s="855"/>
      <c r="T7" s="855"/>
      <c r="U7" s="855"/>
      <c r="V7" s="855"/>
      <c r="W7" s="855"/>
      <c r="X7" s="855"/>
      <c r="Y7" s="855"/>
      <c r="Z7" s="855"/>
      <c r="AA7" s="855"/>
      <c r="AB7" s="855"/>
      <c r="AC7" s="855"/>
      <c r="AD7" s="855"/>
      <c r="AE7" s="855"/>
      <c r="AF7" s="856"/>
    </row>
    <row r="8" spans="1:32" ht="18" customHeight="1">
      <c r="A8" s="770" t="s">
        <v>9</v>
      </c>
      <c r="B8" s="857" t="s">
        <v>334</v>
      </c>
      <c r="C8" s="858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8"/>
      <c r="O8" s="858"/>
      <c r="P8" s="858"/>
      <c r="Q8" s="858"/>
      <c r="R8" s="858"/>
      <c r="S8" s="858"/>
      <c r="T8" s="858"/>
      <c r="U8" s="858"/>
      <c r="V8" s="858"/>
      <c r="W8" s="858"/>
      <c r="X8" s="858"/>
      <c r="Y8" s="858"/>
      <c r="Z8" s="858"/>
      <c r="AA8" s="858"/>
      <c r="AB8" s="858"/>
      <c r="AC8" s="858"/>
      <c r="AD8" s="858"/>
      <c r="AE8" s="858"/>
      <c r="AF8" s="859"/>
    </row>
    <row r="9" spans="1:32" ht="18" customHeight="1">
      <c r="A9" s="771" t="s">
        <v>93</v>
      </c>
      <c r="B9" s="860" t="s">
        <v>335</v>
      </c>
      <c r="C9" s="860"/>
      <c r="D9" s="860"/>
      <c r="E9" s="860"/>
      <c r="F9" s="860"/>
      <c r="G9" s="860"/>
      <c r="H9" s="860"/>
      <c r="I9" s="860"/>
      <c r="J9" s="860"/>
      <c r="K9" s="860"/>
      <c r="L9" s="860"/>
      <c r="M9" s="860"/>
      <c r="N9" s="860"/>
      <c r="O9" s="860"/>
      <c r="P9" s="860"/>
      <c r="Q9" s="860"/>
      <c r="R9" s="860"/>
      <c r="S9" s="860"/>
      <c r="T9" s="860"/>
      <c r="U9" s="860"/>
      <c r="V9" s="860"/>
      <c r="W9" s="860"/>
      <c r="X9" s="860"/>
      <c r="Y9" s="860"/>
      <c r="Z9" s="860"/>
      <c r="AA9" s="860"/>
      <c r="AB9" s="860"/>
      <c r="AC9" s="860"/>
      <c r="AD9" s="860"/>
      <c r="AE9" s="860"/>
      <c r="AF9" s="861"/>
    </row>
    <row r="10" spans="1:32" ht="18" customHeight="1">
      <c r="A10" s="772" t="s">
        <v>336</v>
      </c>
      <c r="B10" s="860" t="s">
        <v>337</v>
      </c>
      <c r="C10" s="860"/>
      <c r="D10" s="860"/>
      <c r="E10" s="860"/>
      <c r="F10" s="860"/>
      <c r="G10" s="860"/>
      <c r="H10" s="860"/>
      <c r="I10" s="860"/>
      <c r="J10" s="860"/>
      <c r="K10" s="860"/>
      <c r="L10" s="860"/>
      <c r="M10" s="860"/>
      <c r="N10" s="860"/>
      <c r="O10" s="860"/>
      <c r="P10" s="860"/>
      <c r="Q10" s="860"/>
      <c r="R10" s="860"/>
      <c r="S10" s="860"/>
      <c r="T10" s="860"/>
      <c r="U10" s="860"/>
      <c r="V10" s="860"/>
      <c r="W10" s="860"/>
      <c r="X10" s="860"/>
      <c r="Y10" s="860"/>
      <c r="Z10" s="860"/>
      <c r="AA10" s="860"/>
      <c r="AB10" s="860"/>
      <c r="AC10" s="860"/>
      <c r="AD10" s="860"/>
      <c r="AE10" s="860"/>
      <c r="AF10" s="861"/>
    </row>
    <row r="11" spans="1:32" ht="18" customHeight="1">
      <c r="A11" s="773" t="s">
        <v>12</v>
      </c>
      <c r="B11" s="860" t="s">
        <v>338</v>
      </c>
      <c r="C11" s="860"/>
      <c r="D11" s="860"/>
      <c r="E11" s="860"/>
      <c r="F11" s="860"/>
      <c r="G11" s="860"/>
      <c r="H11" s="860"/>
      <c r="I11" s="860"/>
      <c r="J11" s="860"/>
      <c r="K11" s="860"/>
      <c r="L11" s="860"/>
      <c r="M11" s="860"/>
      <c r="N11" s="860"/>
      <c r="O11" s="860"/>
      <c r="P11" s="860"/>
      <c r="Q11" s="860"/>
      <c r="R11" s="860"/>
      <c r="S11" s="860"/>
      <c r="T11" s="860"/>
      <c r="U11" s="860"/>
      <c r="V11" s="860"/>
      <c r="W11" s="860"/>
      <c r="X11" s="860"/>
      <c r="Y11" s="860"/>
      <c r="Z11" s="860"/>
      <c r="AA11" s="860"/>
      <c r="AB11" s="860"/>
      <c r="AC11" s="860"/>
      <c r="AD11" s="860"/>
      <c r="AE11" s="860"/>
      <c r="AF11" s="861"/>
    </row>
    <row r="12" spans="1:32" ht="18" customHeight="1">
      <c r="A12" s="630"/>
      <c r="B12" s="853" t="s">
        <v>339</v>
      </c>
      <c r="C12" s="853"/>
      <c r="D12" s="853"/>
      <c r="E12" s="853"/>
      <c r="F12" s="853"/>
      <c r="G12" s="853"/>
      <c r="H12" s="853"/>
      <c r="I12" s="853"/>
      <c r="J12" s="853"/>
      <c r="K12" s="853"/>
      <c r="L12" s="853"/>
      <c r="M12" s="853"/>
      <c r="N12" s="853"/>
      <c r="O12" s="853"/>
      <c r="P12" s="853"/>
      <c r="Q12" s="853"/>
      <c r="R12" s="853"/>
      <c r="S12" s="853"/>
      <c r="T12" s="853"/>
      <c r="U12" s="853"/>
      <c r="V12" s="853"/>
      <c r="W12" s="853"/>
      <c r="X12" s="853"/>
      <c r="Y12" s="853"/>
      <c r="Z12" s="853"/>
      <c r="AA12" s="853"/>
      <c r="AB12" s="853"/>
      <c r="AC12" s="853"/>
      <c r="AD12" s="853"/>
      <c r="AE12" s="853"/>
      <c r="AF12" s="854"/>
    </row>
    <row r="13" spans="1:32" ht="18" customHeight="1">
      <c r="A13" s="631"/>
      <c r="AF13" s="632"/>
    </row>
    <row r="14" spans="1:32" ht="39" customHeight="1">
      <c r="A14" s="874">
        <v>2026</v>
      </c>
      <c r="B14" s="875"/>
      <c r="C14" s="875"/>
      <c r="D14" s="875"/>
      <c r="E14" s="875"/>
      <c r="F14" s="875"/>
      <c r="G14" s="875"/>
      <c r="H14" s="875"/>
      <c r="I14" s="875"/>
      <c r="J14" s="875"/>
      <c r="K14" s="875"/>
      <c r="L14" s="875"/>
      <c r="M14" s="875"/>
      <c r="N14" s="875"/>
      <c r="O14" s="875"/>
      <c r="P14" s="875"/>
      <c r="Q14" s="875"/>
      <c r="R14" s="875"/>
      <c r="S14" s="875"/>
      <c r="T14" s="875"/>
      <c r="U14" s="875"/>
      <c r="V14" s="875"/>
      <c r="W14" s="875"/>
      <c r="X14" s="875"/>
      <c r="Y14" s="875"/>
      <c r="Z14" s="875"/>
      <c r="AA14" s="875"/>
      <c r="AB14" s="875"/>
      <c r="AC14" s="875"/>
      <c r="AD14" s="875"/>
      <c r="AE14" s="875"/>
      <c r="AF14" s="876"/>
    </row>
    <row r="15" spans="1:32" ht="18" customHeight="1">
      <c r="A15" s="631"/>
      <c r="AF15" s="632"/>
    </row>
    <row r="16" spans="1:32" ht="25.5" customHeight="1">
      <c r="A16" s="631"/>
      <c r="B16" s="877" t="s">
        <v>340</v>
      </c>
      <c r="C16" s="878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O16" s="878"/>
      <c r="P16" s="878"/>
      <c r="Q16" s="878"/>
      <c r="R16" s="878"/>
      <c r="S16" s="878"/>
      <c r="T16" s="878"/>
      <c r="U16" s="878"/>
      <c r="V16" s="878"/>
      <c r="W16" s="878"/>
      <c r="X16" s="878"/>
      <c r="Y16" s="878"/>
      <c r="Z16" s="878"/>
      <c r="AA16" s="878"/>
      <c r="AB16" s="878"/>
      <c r="AC16" s="878"/>
      <c r="AD16" s="878"/>
      <c r="AE16" s="878"/>
      <c r="AF16" s="879"/>
    </row>
    <row r="17" spans="1:49" ht="25.5" customHeight="1">
      <c r="A17" s="880" t="s">
        <v>341</v>
      </c>
      <c r="B17" s="633" t="s">
        <v>28</v>
      </c>
      <c r="C17" s="634" t="s">
        <v>9</v>
      </c>
      <c r="D17" s="634" t="s">
        <v>84</v>
      </c>
      <c r="E17" s="635" t="s">
        <v>85</v>
      </c>
      <c r="F17" s="634" t="s">
        <v>86</v>
      </c>
      <c r="G17" s="634" t="s">
        <v>87</v>
      </c>
      <c r="H17" s="634" t="s">
        <v>44</v>
      </c>
      <c r="I17" s="634" t="s">
        <v>28</v>
      </c>
      <c r="J17" s="634" t="s">
        <v>9</v>
      </c>
      <c r="K17" s="634" t="s">
        <v>84</v>
      </c>
      <c r="L17" s="635" t="s">
        <v>85</v>
      </c>
      <c r="M17" s="634" t="s">
        <v>86</v>
      </c>
      <c r="N17" s="634" t="s">
        <v>87</v>
      </c>
      <c r="O17" s="634" t="s">
        <v>44</v>
      </c>
      <c r="P17" s="634" t="s">
        <v>28</v>
      </c>
      <c r="Q17" s="634" t="s">
        <v>9</v>
      </c>
      <c r="R17" s="634" t="s">
        <v>84</v>
      </c>
      <c r="S17" s="635" t="s">
        <v>85</v>
      </c>
      <c r="T17" s="634" t="s">
        <v>86</v>
      </c>
      <c r="U17" s="634" t="s">
        <v>87</v>
      </c>
      <c r="V17" s="634" t="s">
        <v>44</v>
      </c>
      <c r="W17" s="634" t="s">
        <v>28</v>
      </c>
      <c r="X17" s="634" t="s">
        <v>9</v>
      </c>
      <c r="Y17" s="634" t="s">
        <v>84</v>
      </c>
      <c r="Z17" s="635" t="s">
        <v>85</v>
      </c>
      <c r="AA17" s="634" t="s">
        <v>86</v>
      </c>
      <c r="AB17" s="634" t="s">
        <v>87</v>
      </c>
      <c r="AC17" s="634" t="s">
        <v>44</v>
      </c>
      <c r="AD17" s="634" t="s">
        <v>28</v>
      </c>
      <c r="AE17" s="634" t="s">
        <v>9</v>
      </c>
      <c r="AF17" s="636" t="s">
        <v>84</v>
      </c>
    </row>
    <row r="18" spans="1:49" ht="25.5" customHeight="1">
      <c r="A18" s="881"/>
      <c r="B18" s="765">
        <v>1</v>
      </c>
      <c r="C18" s="675">
        <v>2</v>
      </c>
      <c r="D18" s="685">
        <v>3</v>
      </c>
      <c r="E18" s="685">
        <v>4</v>
      </c>
      <c r="F18" s="640">
        <v>5</v>
      </c>
      <c r="G18" s="685">
        <v>6</v>
      </c>
      <c r="H18" s="640">
        <v>7</v>
      </c>
      <c r="I18" s="820">
        <v>8</v>
      </c>
      <c r="J18" s="820">
        <v>9</v>
      </c>
      <c r="K18" s="821">
        <v>10</v>
      </c>
      <c r="L18" s="821">
        <v>11</v>
      </c>
      <c r="M18" s="820">
        <v>12</v>
      </c>
      <c r="N18" s="820">
        <v>13</v>
      </c>
      <c r="O18" s="820">
        <v>14</v>
      </c>
      <c r="P18" s="820">
        <v>15</v>
      </c>
      <c r="Q18" s="820">
        <v>16</v>
      </c>
      <c r="R18" s="639">
        <v>17</v>
      </c>
      <c r="S18" s="639">
        <v>18</v>
      </c>
      <c r="T18" s="638">
        <v>19</v>
      </c>
      <c r="U18" s="638">
        <v>20</v>
      </c>
      <c r="V18" s="638">
        <v>21</v>
      </c>
      <c r="W18" s="638">
        <v>22</v>
      </c>
      <c r="X18" s="638">
        <v>23</v>
      </c>
      <c r="Y18" s="639">
        <v>24</v>
      </c>
      <c r="Z18" s="639">
        <v>25</v>
      </c>
      <c r="AA18" s="638">
        <v>26</v>
      </c>
      <c r="AB18" s="638">
        <v>27</v>
      </c>
      <c r="AC18" s="638">
        <v>28</v>
      </c>
      <c r="AD18" s="638">
        <v>29</v>
      </c>
      <c r="AE18" s="640">
        <v>30</v>
      </c>
      <c r="AF18" s="737">
        <v>31</v>
      </c>
      <c r="AH18" s="840" t="s">
        <v>342</v>
      </c>
      <c r="AI18" s="840" t="s">
        <v>9</v>
      </c>
      <c r="AL18" s="623" t="s">
        <v>343</v>
      </c>
      <c r="AQ18" s="623" t="s">
        <v>344</v>
      </c>
    </row>
    <row r="19" spans="1:49" ht="25.5" customHeight="1">
      <c r="A19" s="650" t="s">
        <v>345</v>
      </c>
      <c r="B19" s="752" t="s">
        <v>9</v>
      </c>
      <c r="C19" s="580" t="s">
        <v>9</v>
      </c>
      <c r="D19" s="580" t="s">
        <v>9</v>
      </c>
      <c r="E19" s="580" t="s">
        <v>9</v>
      </c>
      <c r="F19" s="580" t="s">
        <v>9</v>
      </c>
      <c r="G19" s="580" t="s">
        <v>9</v>
      </c>
      <c r="H19" s="602" t="s">
        <v>329</v>
      </c>
      <c r="I19" s="602" t="s">
        <v>329</v>
      </c>
      <c r="J19" s="602" t="s">
        <v>329</v>
      </c>
      <c r="K19" s="579" t="s">
        <v>173</v>
      </c>
      <c r="L19" s="579" t="s">
        <v>173</v>
      </c>
      <c r="M19" s="602" t="s">
        <v>329</v>
      </c>
      <c r="N19" s="602" t="s">
        <v>329</v>
      </c>
      <c r="O19" s="602" t="s">
        <v>329</v>
      </c>
      <c r="P19" s="602" t="s">
        <v>329</v>
      </c>
      <c r="Q19" s="602" t="s">
        <v>329</v>
      </c>
      <c r="R19" s="579" t="s">
        <v>173</v>
      </c>
      <c r="S19" s="579" t="s">
        <v>173</v>
      </c>
      <c r="T19" s="602" t="s">
        <v>329</v>
      </c>
      <c r="U19" s="580" t="s">
        <v>9</v>
      </c>
      <c r="V19" s="602" t="s">
        <v>329</v>
      </c>
      <c r="W19" s="602" t="s">
        <v>329</v>
      </c>
      <c r="X19" s="602" t="s">
        <v>329</v>
      </c>
      <c r="Y19" s="579" t="s">
        <v>173</v>
      </c>
      <c r="Z19" s="579" t="s">
        <v>173</v>
      </c>
      <c r="AA19" s="598" t="s">
        <v>346</v>
      </c>
      <c r="AB19" s="602" t="s">
        <v>329</v>
      </c>
      <c r="AC19" s="602" t="s">
        <v>329</v>
      </c>
      <c r="AD19" s="602" t="s">
        <v>329</v>
      </c>
      <c r="AE19" s="602" t="s">
        <v>329</v>
      </c>
      <c r="AF19" s="711" t="s">
        <v>173</v>
      </c>
      <c r="AH19" s="840">
        <v>13</v>
      </c>
      <c r="AI19" s="840">
        <v>4</v>
      </c>
      <c r="AJ19" s="623">
        <f>AH19*8</f>
        <v>104</v>
      </c>
      <c r="AK19" s="623">
        <f>AI19*7</f>
        <v>28</v>
      </c>
      <c r="AL19" s="623">
        <f>SUM(AJ19,AK19)</f>
        <v>132</v>
      </c>
      <c r="AP19" s="841" t="s">
        <v>345</v>
      </c>
      <c r="AQ19" s="623">
        <f>SUM(AL19,AL31,AL43,AL55,AL67,AL79,AL91,AL103,AL115,AL127,AL139,AL151)</f>
        <v>1823</v>
      </c>
      <c r="AS19" s="623">
        <f>SUM(AI19,AI31,AI43,AI55,AI67,AI79,AI115,AI127,AI139,AI151)</f>
        <v>39</v>
      </c>
      <c r="AU19" s="623">
        <v>11</v>
      </c>
      <c r="AV19" s="623">
        <v>12</v>
      </c>
      <c r="AW19" s="623">
        <f>AV19*8</f>
        <v>96</v>
      </c>
    </row>
    <row r="20" spans="1:49" ht="25.5" customHeight="1">
      <c r="A20" s="646" t="s">
        <v>347</v>
      </c>
      <c r="B20" s="607" t="s">
        <v>9</v>
      </c>
      <c r="C20" s="597" t="s">
        <v>9</v>
      </c>
      <c r="D20" s="597" t="s">
        <v>9</v>
      </c>
      <c r="E20" s="597" t="s">
        <v>9</v>
      </c>
      <c r="F20" s="597" t="s">
        <v>9</v>
      </c>
      <c r="G20" s="597" t="s">
        <v>9</v>
      </c>
      <c r="H20" s="600" t="s">
        <v>329</v>
      </c>
      <c r="I20" s="600" t="s">
        <v>329</v>
      </c>
      <c r="J20" s="600" t="s">
        <v>329</v>
      </c>
      <c r="K20" s="574" t="s">
        <v>173</v>
      </c>
      <c r="L20" s="574" t="s">
        <v>173</v>
      </c>
      <c r="M20" s="600" t="s">
        <v>329</v>
      </c>
      <c r="N20" s="600" t="s">
        <v>329</v>
      </c>
      <c r="O20" s="578" t="s">
        <v>348</v>
      </c>
      <c r="P20" s="578" t="s">
        <v>348</v>
      </c>
      <c r="Q20" s="578" t="s">
        <v>348</v>
      </c>
      <c r="R20" s="578" t="s">
        <v>348</v>
      </c>
      <c r="S20" s="574" t="s">
        <v>173</v>
      </c>
      <c r="T20" s="600" t="s">
        <v>329</v>
      </c>
      <c r="U20" s="578" t="s">
        <v>348</v>
      </c>
      <c r="V20" s="600" t="s">
        <v>329</v>
      </c>
      <c r="W20" s="600" t="s">
        <v>329</v>
      </c>
      <c r="X20" s="600" t="s">
        <v>329</v>
      </c>
      <c r="Y20" s="574" t="s">
        <v>173</v>
      </c>
      <c r="Z20" s="574" t="s">
        <v>173</v>
      </c>
      <c r="AA20" s="600" t="s">
        <v>329</v>
      </c>
      <c r="AB20" s="600" t="s">
        <v>329</v>
      </c>
      <c r="AC20" s="600" t="s">
        <v>329</v>
      </c>
      <c r="AD20" s="600" t="s">
        <v>329</v>
      </c>
      <c r="AE20" s="600" t="s">
        <v>329</v>
      </c>
      <c r="AF20" s="712" t="s">
        <v>173</v>
      </c>
      <c r="AH20" s="840">
        <v>15</v>
      </c>
      <c r="AI20" s="840">
        <v>4</v>
      </c>
      <c r="AJ20" s="623">
        <f t="shared" ref="AJ20:AJ26" si="0">AH20*8</f>
        <v>120</v>
      </c>
      <c r="AK20" s="623">
        <f t="shared" ref="AK20:AK26" si="1">AI20*7</f>
        <v>28</v>
      </c>
      <c r="AL20" s="623">
        <f t="shared" ref="AL20:AL26" si="2">SUM(AJ20,AK20)</f>
        <v>148</v>
      </c>
      <c r="AP20" s="842" t="s">
        <v>347</v>
      </c>
      <c r="AQ20" s="623">
        <f t="shared" ref="AQ20:AQ26" si="3">SUM(AL20,AL32,AL44,AL56,AL68,AL80,AL92,AL104,AL116,AL128,AL140,AL152)</f>
        <v>1886</v>
      </c>
      <c r="AS20" s="623">
        <f t="shared" ref="AS20:AS26" si="4">SUM(AI20,AI32,AI44,AI56,AI68,AI80,AI116,AI128,AI140,AI152)</f>
        <v>38</v>
      </c>
    </row>
    <row r="21" spans="1:49" ht="25.5" customHeight="1">
      <c r="A21" s="650" t="s">
        <v>349</v>
      </c>
      <c r="B21" s="655" t="s">
        <v>173</v>
      </c>
      <c r="C21" s="573" t="s">
        <v>327</v>
      </c>
      <c r="D21" s="574" t="s">
        <v>173</v>
      </c>
      <c r="E21" s="574" t="s">
        <v>173</v>
      </c>
      <c r="F21" s="573" t="s">
        <v>327</v>
      </c>
      <c r="G21" s="597" t="s">
        <v>9</v>
      </c>
      <c r="H21" s="597" t="s">
        <v>9</v>
      </c>
      <c r="I21" s="597" t="s">
        <v>9</v>
      </c>
      <c r="J21" s="597" t="s">
        <v>9</v>
      </c>
      <c r="K21" s="597" t="s">
        <v>9</v>
      </c>
      <c r="L21" s="597" t="s">
        <v>9</v>
      </c>
      <c r="M21" s="573" t="s">
        <v>327</v>
      </c>
      <c r="N21" s="573" t="s">
        <v>327</v>
      </c>
      <c r="O21" s="578" t="s">
        <v>350</v>
      </c>
      <c r="P21" s="597" t="s">
        <v>9</v>
      </c>
      <c r="Q21" s="578" t="s">
        <v>351</v>
      </c>
      <c r="R21" s="578" t="s">
        <v>352</v>
      </c>
      <c r="S21" s="574" t="s">
        <v>173</v>
      </c>
      <c r="T21" s="573" t="s">
        <v>327</v>
      </c>
      <c r="U21" s="573" t="s">
        <v>327</v>
      </c>
      <c r="V21" s="573" t="s">
        <v>327</v>
      </c>
      <c r="W21" s="573" t="s">
        <v>327</v>
      </c>
      <c r="X21" s="573" t="s">
        <v>327</v>
      </c>
      <c r="Y21" s="574" t="s">
        <v>173</v>
      </c>
      <c r="Z21" s="574" t="s">
        <v>173</v>
      </c>
      <c r="AA21" s="573" t="s">
        <v>327</v>
      </c>
      <c r="AB21" s="573" t="s">
        <v>327</v>
      </c>
      <c r="AC21" s="573" t="s">
        <v>327</v>
      </c>
      <c r="AD21" s="573" t="s">
        <v>327</v>
      </c>
      <c r="AE21" s="597" t="s">
        <v>9</v>
      </c>
      <c r="AF21" s="707" t="s">
        <v>9</v>
      </c>
      <c r="AH21" s="840">
        <v>12</v>
      </c>
      <c r="AI21" s="840">
        <v>3</v>
      </c>
      <c r="AJ21" s="623">
        <f t="shared" si="0"/>
        <v>96</v>
      </c>
      <c r="AK21" s="623">
        <f t="shared" si="1"/>
        <v>21</v>
      </c>
      <c r="AL21" s="623">
        <f t="shared" si="2"/>
        <v>117</v>
      </c>
      <c r="AP21" s="843" t="s">
        <v>349</v>
      </c>
      <c r="AQ21" s="623">
        <f t="shared" si="3"/>
        <v>1831</v>
      </c>
      <c r="AS21" s="623">
        <f t="shared" si="4"/>
        <v>37</v>
      </c>
    </row>
    <row r="22" spans="1:49" ht="25.5" customHeight="1">
      <c r="A22" s="654" t="s">
        <v>353</v>
      </c>
      <c r="B22" s="607" t="s">
        <v>9</v>
      </c>
      <c r="C22" s="597" t="s">
        <v>9</v>
      </c>
      <c r="D22" s="597" t="s">
        <v>9</v>
      </c>
      <c r="E22" s="597" t="s">
        <v>9</v>
      </c>
      <c r="F22" s="597" t="s">
        <v>9</v>
      </c>
      <c r="G22" s="597" t="s">
        <v>9</v>
      </c>
      <c r="H22" s="573" t="s">
        <v>327</v>
      </c>
      <c r="I22" s="573" t="s">
        <v>327</v>
      </c>
      <c r="J22" s="573" t="s">
        <v>327</v>
      </c>
      <c r="K22" s="574" t="s">
        <v>173</v>
      </c>
      <c r="L22" s="574" t="s">
        <v>173</v>
      </c>
      <c r="M22" s="600" t="s">
        <v>329</v>
      </c>
      <c r="N22" s="600" t="s">
        <v>329</v>
      </c>
      <c r="O22" s="600" t="s">
        <v>329</v>
      </c>
      <c r="P22" s="600" t="s">
        <v>329</v>
      </c>
      <c r="Q22" s="600" t="s">
        <v>329</v>
      </c>
      <c r="R22" s="574" t="s">
        <v>173</v>
      </c>
      <c r="S22" s="574" t="s">
        <v>173</v>
      </c>
      <c r="T22" s="573" t="s">
        <v>327</v>
      </c>
      <c r="U22" s="573" t="s">
        <v>327</v>
      </c>
      <c r="V22" s="573" t="s">
        <v>327</v>
      </c>
      <c r="W22" s="573" t="s">
        <v>327</v>
      </c>
      <c r="X22" s="573" t="s">
        <v>327</v>
      </c>
      <c r="Y22" s="597" t="s">
        <v>9</v>
      </c>
      <c r="Z22" s="597" t="s">
        <v>9</v>
      </c>
      <c r="AA22" s="597" t="s">
        <v>9</v>
      </c>
      <c r="AB22" s="597" t="s">
        <v>9</v>
      </c>
      <c r="AC22" s="600" t="s">
        <v>329</v>
      </c>
      <c r="AD22" s="600" t="s">
        <v>329</v>
      </c>
      <c r="AE22" s="600" t="s">
        <v>329</v>
      </c>
      <c r="AF22" s="712" t="s">
        <v>173</v>
      </c>
      <c r="AH22" s="840">
        <v>12</v>
      </c>
      <c r="AI22" s="840">
        <v>4</v>
      </c>
      <c r="AJ22" s="623">
        <f t="shared" si="0"/>
        <v>96</v>
      </c>
      <c r="AK22" s="623">
        <f t="shared" si="1"/>
        <v>28</v>
      </c>
      <c r="AL22" s="623">
        <f t="shared" si="2"/>
        <v>124</v>
      </c>
      <c r="AP22" s="844" t="s">
        <v>353</v>
      </c>
      <c r="AQ22" s="623">
        <f t="shared" si="3"/>
        <v>1877</v>
      </c>
      <c r="AS22" s="623">
        <f t="shared" si="4"/>
        <v>39</v>
      </c>
    </row>
    <row r="23" spans="1:49" ht="25.5" customHeight="1">
      <c r="A23" s="659" t="s">
        <v>354</v>
      </c>
      <c r="B23" s="655" t="s">
        <v>173</v>
      </c>
      <c r="C23" s="609" t="s">
        <v>325</v>
      </c>
      <c r="D23" s="574" t="s">
        <v>173</v>
      </c>
      <c r="E23" s="574" t="s">
        <v>173</v>
      </c>
      <c r="F23" s="600" t="s">
        <v>329</v>
      </c>
      <c r="G23" s="656" t="s">
        <v>173</v>
      </c>
      <c r="H23" s="600" t="s">
        <v>329</v>
      </c>
      <c r="I23" s="600" t="s">
        <v>329</v>
      </c>
      <c r="J23" s="578" t="s">
        <v>355</v>
      </c>
      <c r="K23" s="578" t="s">
        <v>352</v>
      </c>
      <c r="L23" s="574" t="s">
        <v>356</v>
      </c>
      <c r="M23" s="576" t="s">
        <v>331</v>
      </c>
      <c r="N23" s="576" t="s">
        <v>331</v>
      </c>
      <c r="O23" s="576" t="s">
        <v>331</v>
      </c>
      <c r="P23" s="576" t="s">
        <v>331</v>
      </c>
      <c r="Q23" s="576" t="s">
        <v>331</v>
      </c>
      <c r="R23" s="576" t="s">
        <v>14</v>
      </c>
      <c r="S23" s="576" t="s">
        <v>14</v>
      </c>
      <c r="T23" s="578" t="s">
        <v>357</v>
      </c>
      <c r="U23" s="578" t="s">
        <v>357</v>
      </c>
      <c r="V23" s="609" t="s">
        <v>325</v>
      </c>
      <c r="W23" s="578" t="s">
        <v>358</v>
      </c>
      <c r="X23" s="609" t="s">
        <v>325</v>
      </c>
      <c r="Y23" s="574" t="s">
        <v>173</v>
      </c>
      <c r="Z23" s="574" t="s">
        <v>173</v>
      </c>
      <c r="AA23" s="578" t="s">
        <v>359</v>
      </c>
      <c r="AB23" s="609" t="s">
        <v>325</v>
      </c>
      <c r="AC23" s="609" t="s">
        <v>325</v>
      </c>
      <c r="AD23" s="578" t="s">
        <v>357</v>
      </c>
      <c r="AE23" s="609" t="s">
        <v>325</v>
      </c>
      <c r="AF23" s="712" t="s">
        <v>173</v>
      </c>
      <c r="AH23" s="840">
        <v>15</v>
      </c>
      <c r="AI23" s="840">
        <v>5</v>
      </c>
      <c r="AJ23" s="623">
        <f t="shared" si="0"/>
        <v>120</v>
      </c>
      <c r="AK23" s="623">
        <f t="shared" si="1"/>
        <v>35</v>
      </c>
      <c r="AL23" s="623">
        <f t="shared" si="2"/>
        <v>155</v>
      </c>
      <c r="AP23" s="845" t="s">
        <v>354</v>
      </c>
      <c r="AQ23" s="623">
        <f t="shared" si="3"/>
        <v>1803</v>
      </c>
      <c r="AS23" s="623">
        <f t="shared" si="4"/>
        <v>38</v>
      </c>
    </row>
    <row r="24" spans="1:49" ht="25.5" customHeight="1">
      <c r="A24" s="661" t="s">
        <v>360</v>
      </c>
      <c r="B24" s="662" t="s">
        <v>173</v>
      </c>
      <c r="C24" s="600" t="s">
        <v>329</v>
      </c>
      <c r="D24" s="574" t="s">
        <v>173</v>
      </c>
      <c r="E24" s="574" t="s">
        <v>173</v>
      </c>
      <c r="F24" s="576" t="s">
        <v>331</v>
      </c>
      <c r="G24" s="576" t="s">
        <v>14</v>
      </c>
      <c r="H24" s="576" t="s">
        <v>331</v>
      </c>
      <c r="I24" s="576" t="s">
        <v>331</v>
      </c>
      <c r="J24" s="576" t="s">
        <v>331</v>
      </c>
      <c r="K24" s="576" t="s">
        <v>14</v>
      </c>
      <c r="L24" s="576" t="s">
        <v>14</v>
      </c>
      <c r="M24" s="609" t="s">
        <v>325</v>
      </c>
      <c r="N24" s="609" t="s">
        <v>325</v>
      </c>
      <c r="O24" s="609" t="s">
        <v>325</v>
      </c>
      <c r="P24" s="609" t="s">
        <v>325</v>
      </c>
      <c r="Q24" s="609" t="s">
        <v>325</v>
      </c>
      <c r="R24" s="578" t="s">
        <v>361</v>
      </c>
      <c r="S24" s="574" t="s">
        <v>173</v>
      </c>
      <c r="T24" s="609" t="s">
        <v>325</v>
      </c>
      <c r="U24" s="578" t="s">
        <v>362</v>
      </c>
      <c r="V24" s="609" t="s">
        <v>325</v>
      </c>
      <c r="W24" s="609" t="s">
        <v>325</v>
      </c>
      <c r="X24" s="609" t="s">
        <v>325</v>
      </c>
      <c r="Y24" s="574" t="s">
        <v>173</v>
      </c>
      <c r="Z24" s="574" t="s">
        <v>173</v>
      </c>
      <c r="AA24" s="597" t="s">
        <v>9</v>
      </c>
      <c r="AB24" s="597" t="s">
        <v>9</v>
      </c>
      <c r="AC24" s="597" t="s">
        <v>9</v>
      </c>
      <c r="AD24" s="600" t="s">
        <v>329</v>
      </c>
      <c r="AE24" s="600" t="s">
        <v>329</v>
      </c>
      <c r="AF24" s="712" t="s">
        <v>173</v>
      </c>
      <c r="AH24" s="840">
        <v>12</v>
      </c>
      <c r="AI24" s="840">
        <v>5</v>
      </c>
      <c r="AJ24" s="623">
        <f t="shared" si="0"/>
        <v>96</v>
      </c>
      <c r="AK24" s="623">
        <f t="shared" si="1"/>
        <v>35</v>
      </c>
      <c r="AL24" s="623">
        <f t="shared" si="2"/>
        <v>131</v>
      </c>
      <c r="AP24" s="846" t="s">
        <v>360</v>
      </c>
      <c r="AQ24" s="623">
        <f t="shared" si="3"/>
        <v>1876</v>
      </c>
      <c r="AS24" s="623">
        <f t="shared" si="4"/>
        <v>40</v>
      </c>
    </row>
    <row r="25" spans="1:49" ht="25.5" customHeight="1">
      <c r="A25" s="659" t="s">
        <v>363</v>
      </c>
      <c r="B25" s="611" t="s">
        <v>14</v>
      </c>
      <c r="C25" s="576" t="s">
        <v>331</v>
      </c>
      <c r="D25" s="576" t="s">
        <v>14</v>
      </c>
      <c r="E25" s="576" t="s">
        <v>14</v>
      </c>
      <c r="F25" s="609" t="s">
        <v>325</v>
      </c>
      <c r="G25" s="656" t="s">
        <v>173</v>
      </c>
      <c r="H25" s="609" t="s">
        <v>325</v>
      </c>
      <c r="I25" s="609" t="s">
        <v>325</v>
      </c>
      <c r="J25" s="597" t="s">
        <v>9</v>
      </c>
      <c r="K25" s="597" t="s">
        <v>9</v>
      </c>
      <c r="L25" s="597" t="s">
        <v>9</v>
      </c>
      <c r="M25" s="597" t="s">
        <v>9</v>
      </c>
      <c r="N25" s="597" t="s">
        <v>9</v>
      </c>
      <c r="O25" s="597" t="s">
        <v>9</v>
      </c>
      <c r="P25" s="597" t="s">
        <v>9</v>
      </c>
      <c r="Q25" s="597" t="s">
        <v>9</v>
      </c>
      <c r="R25" s="597" t="s">
        <v>9</v>
      </c>
      <c r="S25" s="597" t="s">
        <v>9</v>
      </c>
      <c r="T25" s="600" t="s">
        <v>329</v>
      </c>
      <c r="U25" s="600" t="s">
        <v>329</v>
      </c>
      <c r="V25" s="600" t="s">
        <v>329</v>
      </c>
      <c r="W25" s="578" t="s">
        <v>346</v>
      </c>
      <c r="X25" s="578" t="s">
        <v>355</v>
      </c>
      <c r="Y25" s="578" t="s">
        <v>352</v>
      </c>
      <c r="Z25" s="574" t="s">
        <v>173</v>
      </c>
      <c r="AA25" s="576" t="s">
        <v>331</v>
      </c>
      <c r="AB25" s="576" t="s">
        <v>331</v>
      </c>
      <c r="AC25" s="576" t="s">
        <v>331</v>
      </c>
      <c r="AD25" s="576" t="s">
        <v>331</v>
      </c>
      <c r="AE25" s="576" t="s">
        <v>331</v>
      </c>
      <c r="AF25" s="610" t="s">
        <v>14</v>
      </c>
      <c r="AH25" s="840">
        <v>11</v>
      </c>
      <c r="AI25" s="840">
        <v>3</v>
      </c>
      <c r="AJ25" s="623">
        <f t="shared" si="0"/>
        <v>88</v>
      </c>
      <c r="AK25" s="623">
        <f t="shared" si="1"/>
        <v>21</v>
      </c>
      <c r="AL25" s="623">
        <f t="shared" si="2"/>
        <v>109</v>
      </c>
      <c r="AP25" s="845" t="s">
        <v>363</v>
      </c>
      <c r="AQ25" s="623">
        <f t="shared" si="3"/>
        <v>1870</v>
      </c>
      <c r="AS25" s="623">
        <f t="shared" si="4"/>
        <v>38</v>
      </c>
    </row>
    <row r="26" spans="1:49" ht="25.5" customHeight="1">
      <c r="A26" s="665" t="s">
        <v>364</v>
      </c>
      <c r="B26" s="666" t="s">
        <v>173</v>
      </c>
      <c r="C26" s="618" t="s">
        <v>325</v>
      </c>
      <c r="D26" s="617" t="s">
        <v>173</v>
      </c>
      <c r="E26" s="617" t="s">
        <v>173</v>
      </c>
      <c r="F26" s="618" t="s">
        <v>325</v>
      </c>
      <c r="G26" s="667" t="s">
        <v>173</v>
      </c>
      <c r="H26" s="618" t="s">
        <v>325</v>
      </c>
      <c r="I26" s="721" t="s">
        <v>365</v>
      </c>
      <c r="J26" s="618" t="s">
        <v>325</v>
      </c>
      <c r="K26" s="734" t="s">
        <v>9</v>
      </c>
      <c r="L26" s="734" t="s">
        <v>9</v>
      </c>
      <c r="M26" s="734" t="s">
        <v>9</v>
      </c>
      <c r="N26" s="734" t="s">
        <v>9</v>
      </c>
      <c r="O26" s="734" t="s">
        <v>9</v>
      </c>
      <c r="P26" s="734" t="s">
        <v>9</v>
      </c>
      <c r="Q26" s="734" t="s">
        <v>9</v>
      </c>
      <c r="R26" s="734" t="s">
        <v>9</v>
      </c>
      <c r="S26" s="734" t="s">
        <v>9</v>
      </c>
      <c r="T26" s="575" t="s">
        <v>331</v>
      </c>
      <c r="U26" s="575" t="s">
        <v>331</v>
      </c>
      <c r="V26" s="575" t="s">
        <v>331</v>
      </c>
      <c r="W26" s="575" t="s">
        <v>331</v>
      </c>
      <c r="X26" s="575" t="s">
        <v>331</v>
      </c>
      <c r="Y26" s="575" t="s">
        <v>14</v>
      </c>
      <c r="Z26" s="575" t="s">
        <v>14</v>
      </c>
      <c r="AA26" s="618" t="s">
        <v>325</v>
      </c>
      <c r="AB26" s="721" t="s">
        <v>357</v>
      </c>
      <c r="AC26" s="721" t="s">
        <v>357</v>
      </c>
      <c r="AD26" s="618" t="s">
        <v>325</v>
      </c>
      <c r="AE26" s="618" t="s">
        <v>325</v>
      </c>
      <c r="AF26" s="723" t="s">
        <v>173</v>
      </c>
      <c r="AH26" s="840">
        <v>11</v>
      </c>
      <c r="AI26" s="840">
        <v>4</v>
      </c>
      <c r="AJ26" s="623">
        <f t="shared" si="0"/>
        <v>88</v>
      </c>
      <c r="AK26" s="623">
        <f t="shared" si="1"/>
        <v>28</v>
      </c>
      <c r="AL26" s="623">
        <f t="shared" si="2"/>
        <v>116</v>
      </c>
      <c r="AP26" s="847" t="s">
        <v>364</v>
      </c>
      <c r="AQ26" s="623">
        <f t="shared" si="3"/>
        <v>1784</v>
      </c>
      <c r="AS26" s="623">
        <f t="shared" si="4"/>
        <v>38</v>
      </c>
    </row>
    <row r="27" spans="1:49" ht="25.5" customHeight="1">
      <c r="E27" s="781"/>
    </row>
    <row r="28" spans="1:49" ht="25.5" customHeight="1">
      <c r="A28" s="671" t="s">
        <v>173</v>
      </c>
      <c r="B28" s="882" t="s">
        <v>366</v>
      </c>
      <c r="C28" s="883"/>
      <c r="D28" s="883"/>
      <c r="E28" s="883"/>
      <c r="F28" s="883"/>
      <c r="G28" s="883"/>
      <c r="H28" s="883"/>
      <c r="I28" s="883"/>
      <c r="J28" s="883"/>
      <c r="K28" s="883"/>
      <c r="L28" s="883"/>
      <c r="M28" s="883"/>
      <c r="N28" s="883"/>
      <c r="O28" s="883"/>
      <c r="P28" s="883"/>
      <c r="Q28" s="883"/>
      <c r="R28" s="883"/>
      <c r="S28" s="883"/>
      <c r="T28" s="883"/>
      <c r="U28" s="883"/>
      <c r="V28" s="883"/>
      <c r="W28" s="883"/>
      <c r="X28" s="883"/>
      <c r="Y28" s="883"/>
      <c r="Z28" s="883"/>
      <c r="AA28" s="883"/>
      <c r="AB28" s="883"/>
      <c r="AC28" s="884"/>
    </row>
    <row r="29" spans="1:49" ht="25.5" customHeight="1">
      <c r="A29" s="885" t="s">
        <v>341</v>
      </c>
      <c r="B29" s="774" t="s">
        <v>85</v>
      </c>
      <c r="C29" s="634" t="s">
        <v>86</v>
      </c>
      <c r="D29" s="634" t="s">
        <v>87</v>
      </c>
      <c r="E29" s="634" t="s">
        <v>44</v>
      </c>
      <c r="F29" s="634" t="s">
        <v>28</v>
      </c>
      <c r="G29" s="634" t="s">
        <v>9</v>
      </c>
      <c r="H29" s="634" t="s">
        <v>84</v>
      </c>
      <c r="I29" s="635" t="s">
        <v>85</v>
      </c>
      <c r="J29" s="634" t="s">
        <v>86</v>
      </c>
      <c r="K29" s="634" t="s">
        <v>87</v>
      </c>
      <c r="L29" s="634" t="s">
        <v>44</v>
      </c>
      <c r="M29" s="634" t="s">
        <v>28</v>
      </c>
      <c r="N29" s="634" t="s">
        <v>9</v>
      </c>
      <c r="O29" s="634" t="s">
        <v>84</v>
      </c>
      <c r="P29" s="635" t="s">
        <v>85</v>
      </c>
      <c r="Q29" s="634" t="s">
        <v>86</v>
      </c>
      <c r="R29" s="634" t="s">
        <v>87</v>
      </c>
      <c r="S29" s="634" t="s">
        <v>44</v>
      </c>
      <c r="T29" s="634" t="s">
        <v>28</v>
      </c>
      <c r="U29" s="634" t="s">
        <v>9</v>
      </c>
      <c r="V29" s="634" t="s">
        <v>84</v>
      </c>
      <c r="W29" s="635" t="s">
        <v>85</v>
      </c>
      <c r="X29" s="634" t="s">
        <v>86</v>
      </c>
      <c r="Y29" s="634" t="s">
        <v>87</v>
      </c>
      <c r="Z29" s="634" t="s">
        <v>44</v>
      </c>
      <c r="AA29" s="634" t="s">
        <v>28</v>
      </c>
      <c r="AB29" s="634" t="s">
        <v>9</v>
      </c>
      <c r="AC29" s="636" t="s">
        <v>84</v>
      </c>
    </row>
    <row r="30" spans="1:49" ht="25.5" customHeight="1">
      <c r="A30" s="886"/>
      <c r="B30" s="765">
        <v>1</v>
      </c>
      <c r="C30" s="675">
        <v>2</v>
      </c>
      <c r="D30" s="822">
        <v>3</v>
      </c>
      <c r="E30" s="822">
        <v>4</v>
      </c>
      <c r="F30" s="674">
        <v>5</v>
      </c>
      <c r="G30" s="674">
        <v>6</v>
      </c>
      <c r="H30" s="639">
        <v>7</v>
      </c>
      <c r="I30" s="639">
        <v>8</v>
      </c>
      <c r="J30" s="674">
        <v>9</v>
      </c>
      <c r="K30" s="674">
        <v>10</v>
      </c>
      <c r="L30" s="674">
        <v>11</v>
      </c>
      <c r="M30" s="674">
        <v>12</v>
      </c>
      <c r="N30" s="674">
        <v>13</v>
      </c>
      <c r="O30" s="639">
        <v>14</v>
      </c>
      <c r="P30" s="639">
        <v>15</v>
      </c>
      <c r="Q30" s="674">
        <v>16</v>
      </c>
      <c r="R30" s="674">
        <v>17</v>
      </c>
      <c r="S30" s="674">
        <v>18</v>
      </c>
      <c r="T30" s="674">
        <v>19</v>
      </c>
      <c r="U30" s="674">
        <v>20</v>
      </c>
      <c r="V30" s="639">
        <v>21</v>
      </c>
      <c r="W30" s="639">
        <v>22</v>
      </c>
      <c r="X30" s="674">
        <v>23</v>
      </c>
      <c r="Y30" s="674">
        <v>24</v>
      </c>
      <c r="Z30" s="674">
        <v>25</v>
      </c>
      <c r="AA30" s="674">
        <v>26</v>
      </c>
      <c r="AB30" s="675">
        <v>27</v>
      </c>
      <c r="AC30" s="737">
        <v>28</v>
      </c>
      <c r="AH30" s="840" t="s">
        <v>342</v>
      </c>
      <c r="AI30" s="840" t="s">
        <v>9</v>
      </c>
      <c r="AL30" s="623" t="s">
        <v>343</v>
      </c>
    </row>
    <row r="31" spans="1:49" ht="25.5" customHeight="1">
      <c r="A31" s="650" t="s">
        <v>345</v>
      </c>
      <c r="B31" s="601" t="s">
        <v>173</v>
      </c>
      <c r="C31" s="602" t="s">
        <v>329</v>
      </c>
      <c r="D31" s="602" t="s">
        <v>329</v>
      </c>
      <c r="E31" s="602" t="s">
        <v>329</v>
      </c>
      <c r="F31" s="602" t="s">
        <v>329</v>
      </c>
      <c r="G31" s="602" t="s">
        <v>329</v>
      </c>
      <c r="H31" s="579" t="s">
        <v>173</v>
      </c>
      <c r="I31" s="579" t="s">
        <v>173</v>
      </c>
      <c r="J31" s="598" t="s">
        <v>367</v>
      </c>
      <c r="K31" s="602" t="s">
        <v>329</v>
      </c>
      <c r="L31" s="598" t="s">
        <v>368</v>
      </c>
      <c r="M31" s="602" t="s">
        <v>329</v>
      </c>
      <c r="N31" s="602" t="s">
        <v>329</v>
      </c>
      <c r="O31" s="579" t="s">
        <v>173</v>
      </c>
      <c r="P31" s="579" t="s">
        <v>173</v>
      </c>
      <c r="Q31" s="602" t="s">
        <v>329</v>
      </c>
      <c r="R31" s="602" t="s">
        <v>329</v>
      </c>
      <c r="S31" s="602" t="s">
        <v>329</v>
      </c>
      <c r="T31" s="602" t="s">
        <v>329</v>
      </c>
      <c r="U31" s="602" t="s">
        <v>329</v>
      </c>
      <c r="V31" s="579" t="s">
        <v>173</v>
      </c>
      <c r="W31" s="579" t="s">
        <v>173</v>
      </c>
      <c r="X31" s="602" t="s">
        <v>329</v>
      </c>
      <c r="Y31" s="602" t="s">
        <v>329</v>
      </c>
      <c r="Z31" s="598" t="s">
        <v>369</v>
      </c>
      <c r="AA31" s="602" t="s">
        <v>329</v>
      </c>
      <c r="AB31" s="602" t="s">
        <v>329</v>
      </c>
      <c r="AC31" s="711" t="s">
        <v>173</v>
      </c>
      <c r="AH31" s="840">
        <v>16</v>
      </c>
      <c r="AI31" s="840">
        <v>4</v>
      </c>
      <c r="AJ31" s="623">
        <f t="shared" ref="AJ31:AJ38" si="5">AH31*8</f>
        <v>128</v>
      </c>
      <c r="AK31" s="623">
        <f t="shared" ref="AK31:AK38" si="6">AI31*7</f>
        <v>28</v>
      </c>
      <c r="AL31" s="623">
        <f t="shared" ref="AL31:AL38" si="7">SUM(AJ31,AK31)</f>
        <v>156</v>
      </c>
    </row>
    <row r="32" spans="1:49" ht="25.5" customHeight="1">
      <c r="A32" s="678" t="s">
        <v>347</v>
      </c>
      <c r="B32" s="605" t="s">
        <v>173</v>
      </c>
      <c r="C32" s="600" t="s">
        <v>329</v>
      </c>
      <c r="D32" s="600" t="s">
        <v>329</v>
      </c>
      <c r="E32" s="600" t="s">
        <v>329</v>
      </c>
      <c r="F32" s="578" t="s">
        <v>370</v>
      </c>
      <c r="G32" s="600" t="s">
        <v>329</v>
      </c>
      <c r="H32" s="574" t="s">
        <v>173</v>
      </c>
      <c r="I32" s="574" t="s">
        <v>173</v>
      </c>
      <c r="J32" s="600" t="s">
        <v>329</v>
      </c>
      <c r="K32" s="600" t="s">
        <v>329</v>
      </c>
      <c r="L32" s="600" t="s">
        <v>329</v>
      </c>
      <c r="M32" s="578" t="s">
        <v>371</v>
      </c>
      <c r="N32" s="600" t="s">
        <v>329</v>
      </c>
      <c r="O32" s="574"/>
      <c r="P32" s="574" t="s">
        <v>173</v>
      </c>
      <c r="Q32" s="600" t="s">
        <v>329</v>
      </c>
      <c r="R32" s="600" t="s">
        <v>329</v>
      </c>
      <c r="S32" s="600" t="s">
        <v>329</v>
      </c>
      <c r="T32" s="600" t="s">
        <v>329</v>
      </c>
      <c r="U32" s="600" t="s">
        <v>329</v>
      </c>
      <c r="V32" s="574" t="s">
        <v>173</v>
      </c>
      <c r="W32" s="574" t="s">
        <v>173</v>
      </c>
      <c r="X32" s="600" t="s">
        <v>329</v>
      </c>
      <c r="Y32" s="600" t="s">
        <v>329</v>
      </c>
      <c r="Z32" s="600" t="s">
        <v>329</v>
      </c>
      <c r="AA32" s="600" t="s">
        <v>329</v>
      </c>
      <c r="AB32" s="600" t="s">
        <v>329</v>
      </c>
      <c r="AC32" s="712" t="s">
        <v>173</v>
      </c>
      <c r="AH32" s="840">
        <v>16</v>
      </c>
      <c r="AI32" s="840">
        <v>4</v>
      </c>
      <c r="AJ32" s="623">
        <f t="shared" si="5"/>
        <v>128</v>
      </c>
      <c r="AK32" s="623">
        <f t="shared" si="6"/>
        <v>28</v>
      </c>
      <c r="AL32" s="623">
        <f t="shared" si="7"/>
        <v>156</v>
      </c>
    </row>
    <row r="33" spans="1:38" ht="25.5" customHeight="1">
      <c r="A33" s="650" t="s">
        <v>349</v>
      </c>
      <c r="B33" s="607" t="s">
        <v>9</v>
      </c>
      <c r="C33" s="573" t="s">
        <v>327</v>
      </c>
      <c r="D33" s="573" t="s">
        <v>327</v>
      </c>
      <c r="E33" s="573" t="s">
        <v>327</v>
      </c>
      <c r="F33" s="578" t="s">
        <v>372</v>
      </c>
      <c r="G33" s="573" t="s">
        <v>327</v>
      </c>
      <c r="H33" s="574" t="s">
        <v>173</v>
      </c>
      <c r="I33" s="574" t="s">
        <v>173</v>
      </c>
      <c r="J33" s="573" t="s">
        <v>327</v>
      </c>
      <c r="K33" s="573" t="s">
        <v>373</v>
      </c>
      <c r="L33" s="573" t="s">
        <v>373</v>
      </c>
      <c r="M33" s="578" t="s">
        <v>374</v>
      </c>
      <c r="N33" s="573" t="s">
        <v>327</v>
      </c>
      <c r="O33" s="574" t="s">
        <v>173</v>
      </c>
      <c r="P33" s="574" t="s">
        <v>173</v>
      </c>
      <c r="Q33" s="573" t="s">
        <v>327</v>
      </c>
      <c r="R33" s="573" t="s">
        <v>327</v>
      </c>
      <c r="S33" s="573" t="s">
        <v>327</v>
      </c>
      <c r="T33" s="573" t="s">
        <v>327</v>
      </c>
      <c r="U33" s="573" t="s">
        <v>327</v>
      </c>
      <c r="V33" s="574" t="s">
        <v>173</v>
      </c>
      <c r="W33" s="574" t="s">
        <v>173</v>
      </c>
      <c r="X33" s="573" t="s">
        <v>327</v>
      </c>
      <c r="Y33" s="573" t="s">
        <v>327</v>
      </c>
      <c r="Z33" s="573" t="s">
        <v>327</v>
      </c>
      <c r="AA33" s="573" t="s">
        <v>327</v>
      </c>
      <c r="AB33" s="573" t="s">
        <v>327</v>
      </c>
      <c r="AC33" s="712" t="s">
        <v>173</v>
      </c>
      <c r="AH33" s="840">
        <v>16</v>
      </c>
      <c r="AI33" s="840">
        <v>4</v>
      </c>
      <c r="AJ33" s="623">
        <f t="shared" si="5"/>
        <v>128</v>
      </c>
      <c r="AK33" s="623">
        <f t="shared" si="6"/>
        <v>28</v>
      </c>
      <c r="AL33" s="623">
        <f t="shared" si="7"/>
        <v>156</v>
      </c>
    </row>
    <row r="34" spans="1:38" ht="25.5" customHeight="1">
      <c r="A34" s="654" t="s">
        <v>353</v>
      </c>
      <c r="B34" s="605" t="s">
        <v>173</v>
      </c>
      <c r="C34" s="573" t="s">
        <v>327</v>
      </c>
      <c r="D34" s="572" t="s">
        <v>375</v>
      </c>
      <c r="E34" s="573" t="s">
        <v>327</v>
      </c>
      <c r="F34" s="572" t="s">
        <v>376</v>
      </c>
      <c r="G34" s="573" t="s">
        <v>327</v>
      </c>
      <c r="H34" s="574" t="s">
        <v>173</v>
      </c>
      <c r="I34" s="574" t="s">
        <v>173</v>
      </c>
      <c r="J34" s="600" t="s">
        <v>329</v>
      </c>
      <c r="K34" s="600" t="s">
        <v>329</v>
      </c>
      <c r="L34" s="600" t="s">
        <v>329</v>
      </c>
      <c r="M34" s="578" t="s">
        <v>371</v>
      </c>
      <c r="N34" s="600" t="s">
        <v>329</v>
      </c>
      <c r="O34" s="574" t="s">
        <v>173</v>
      </c>
      <c r="P34" s="574" t="s">
        <v>173</v>
      </c>
      <c r="Q34" s="573" t="s">
        <v>327</v>
      </c>
      <c r="R34" s="573" t="s">
        <v>327</v>
      </c>
      <c r="S34" s="573" t="s">
        <v>327</v>
      </c>
      <c r="T34" s="573" t="s">
        <v>327</v>
      </c>
      <c r="U34" s="573" t="s">
        <v>327</v>
      </c>
      <c r="V34" s="574" t="s">
        <v>173</v>
      </c>
      <c r="W34" s="574" t="s">
        <v>173</v>
      </c>
      <c r="X34" s="600" t="s">
        <v>329</v>
      </c>
      <c r="Y34" s="600" t="s">
        <v>329</v>
      </c>
      <c r="Z34" s="600" t="s">
        <v>329</v>
      </c>
      <c r="AA34" s="600" t="s">
        <v>329</v>
      </c>
      <c r="AB34" s="600" t="s">
        <v>329</v>
      </c>
      <c r="AC34" s="712" t="s">
        <v>173</v>
      </c>
      <c r="AH34" s="840">
        <v>16</v>
      </c>
      <c r="AI34" s="840">
        <v>4</v>
      </c>
      <c r="AJ34" s="623">
        <f t="shared" si="5"/>
        <v>128</v>
      </c>
      <c r="AK34" s="623">
        <f t="shared" si="6"/>
        <v>28</v>
      </c>
      <c r="AL34" s="623">
        <f t="shared" si="7"/>
        <v>156</v>
      </c>
    </row>
    <row r="35" spans="1:38" ht="25.5" customHeight="1">
      <c r="A35" s="659" t="s">
        <v>354</v>
      </c>
      <c r="B35" s="605" t="s">
        <v>173</v>
      </c>
      <c r="C35" s="600" t="s">
        <v>329</v>
      </c>
      <c r="D35" s="600" t="s">
        <v>329</v>
      </c>
      <c r="E35" s="600" t="s">
        <v>329</v>
      </c>
      <c r="F35" s="600" t="s">
        <v>329</v>
      </c>
      <c r="G35" s="600" t="s">
        <v>329</v>
      </c>
      <c r="H35" s="574" t="s">
        <v>173</v>
      </c>
      <c r="I35" s="574" t="s">
        <v>173</v>
      </c>
      <c r="J35" s="576" t="s">
        <v>331</v>
      </c>
      <c r="K35" s="576" t="s">
        <v>331</v>
      </c>
      <c r="L35" s="576" t="s">
        <v>331</v>
      </c>
      <c r="M35" s="576" t="s">
        <v>331</v>
      </c>
      <c r="N35" s="576" t="s">
        <v>331</v>
      </c>
      <c r="O35" s="576" t="s">
        <v>14</v>
      </c>
      <c r="P35" s="576" t="s">
        <v>14</v>
      </c>
      <c r="Q35" s="609" t="s">
        <v>325</v>
      </c>
      <c r="R35" s="609" t="s">
        <v>325</v>
      </c>
      <c r="S35" s="609" t="s">
        <v>325</v>
      </c>
      <c r="T35" s="609" t="s">
        <v>325</v>
      </c>
      <c r="U35" s="609" t="s">
        <v>325</v>
      </c>
      <c r="V35" s="574" t="s">
        <v>173</v>
      </c>
      <c r="W35" s="574" t="s">
        <v>173</v>
      </c>
      <c r="X35" s="609" t="s">
        <v>325</v>
      </c>
      <c r="Y35" s="609" t="s">
        <v>325</v>
      </c>
      <c r="Z35" s="609" t="s">
        <v>325</v>
      </c>
      <c r="AA35" s="824" t="s">
        <v>377</v>
      </c>
      <c r="AB35" s="609" t="s">
        <v>325</v>
      </c>
      <c r="AC35" s="712" t="s">
        <v>173</v>
      </c>
      <c r="AH35" s="840">
        <v>16</v>
      </c>
      <c r="AI35" s="840">
        <v>4</v>
      </c>
      <c r="AJ35" s="623">
        <f t="shared" si="5"/>
        <v>128</v>
      </c>
      <c r="AK35" s="623">
        <f t="shared" si="6"/>
        <v>28</v>
      </c>
      <c r="AL35" s="623">
        <f t="shared" si="7"/>
        <v>156</v>
      </c>
    </row>
    <row r="36" spans="1:38" ht="25.5" customHeight="1">
      <c r="A36" s="661" t="s">
        <v>360</v>
      </c>
      <c r="B36" s="605" t="s">
        <v>173</v>
      </c>
      <c r="C36" s="576" t="s">
        <v>331</v>
      </c>
      <c r="D36" s="576" t="s">
        <v>331</v>
      </c>
      <c r="E36" s="576" t="s">
        <v>331</v>
      </c>
      <c r="F36" s="576" t="s">
        <v>331</v>
      </c>
      <c r="G36" s="576" t="s">
        <v>331</v>
      </c>
      <c r="H36" s="576" t="s">
        <v>14</v>
      </c>
      <c r="I36" s="576" t="s">
        <v>14</v>
      </c>
      <c r="J36" s="609" t="s">
        <v>325</v>
      </c>
      <c r="K36" s="609" t="s">
        <v>325</v>
      </c>
      <c r="L36" s="609" t="s">
        <v>325</v>
      </c>
      <c r="M36" s="609" t="s">
        <v>325</v>
      </c>
      <c r="N36" s="609" t="s">
        <v>325</v>
      </c>
      <c r="O36" s="574" t="s">
        <v>173</v>
      </c>
      <c r="P36" s="574" t="s">
        <v>173</v>
      </c>
      <c r="Q36" s="609" t="s">
        <v>325</v>
      </c>
      <c r="R36" s="609" t="s">
        <v>325</v>
      </c>
      <c r="S36" s="609" t="s">
        <v>325</v>
      </c>
      <c r="T36" s="578" t="s">
        <v>378</v>
      </c>
      <c r="U36" s="609" t="s">
        <v>325</v>
      </c>
      <c r="V36" s="574" t="s">
        <v>173</v>
      </c>
      <c r="W36" s="574" t="s">
        <v>173</v>
      </c>
      <c r="X36" s="600" t="s">
        <v>329</v>
      </c>
      <c r="Y36" s="600" t="s">
        <v>329</v>
      </c>
      <c r="Z36" s="600" t="s">
        <v>329</v>
      </c>
      <c r="AA36" s="825" t="s">
        <v>379</v>
      </c>
      <c r="AB36" s="600" t="s">
        <v>329</v>
      </c>
      <c r="AC36" s="712" t="s">
        <v>173</v>
      </c>
      <c r="AH36" s="840">
        <v>16</v>
      </c>
      <c r="AI36" s="840">
        <v>4</v>
      </c>
      <c r="AJ36" s="623">
        <f t="shared" si="5"/>
        <v>128</v>
      </c>
      <c r="AK36" s="623">
        <f t="shared" si="6"/>
        <v>28</v>
      </c>
      <c r="AL36" s="623">
        <f t="shared" si="7"/>
        <v>156</v>
      </c>
    </row>
    <row r="37" spans="1:38" ht="25.5" customHeight="1">
      <c r="A37" s="659" t="s">
        <v>363</v>
      </c>
      <c r="B37" s="611" t="s">
        <v>14</v>
      </c>
      <c r="C37" s="609" t="s">
        <v>325</v>
      </c>
      <c r="D37" s="609" t="s">
        <v>325</v>
      </c>
      <c r="E37" s="609" t="s">
        <v>325</v>
      </c>
      <c r="F37" s="609" t="s">
        <v>325</v>
      </c>
      <c r="G37" s="572" t="s">
        <v>380</v>
      </c>
      <c r="H37" s="572" t="s">
        <v>352</v>
      </c>
      <c r="I37" s="574"/>
      <c r="J37" s="609" t="s">
        <v>325</v>
      </c>
      <c r="K37" s="572" t="s">
        <v>381</v>
      </c>
      <c r="L37" s="609" t="s">
        <v>382</v>
      </c>
      <c r="M37" s="609" t="s">
        <v>325</v>
      </c>
      <c r="N37" s="609" t="s">
        <v>325</v>
      </c>
      <c r="O37" s="574"/>
      <c r="P37" s="574"/>
      <c r="Q37" s="600" t="s">
        <v>383</v>
      </c>
      <c r="R37" s="600" t="s">
        <v>383</v>
      </c>
      <c r="S37" s="600" t="s">
        <v>383</v>
      </c>
      <c r="T37" s="600" t="s">
        <v>383</v>
      </c>
      <c r="U37" s="600" t="s">
        <v>383</v>
      </c>
      <c r="V37" s="574"/>
      <c r="W37" s="574"/>
      <c r="X37" s="576" t="s">
        <v>331</v>
      </c>
      <c r="Y37" s="576" t="s">
        <v>331</v>
      </c>
      <c r="Z37" s="576" t="s">
        <v>331</v>
      </c>
      <c r="AA37" s="576" t="s">
        <v>331</v>
      </c>
      <c r="AB37" s="576" t="s">
        <v>331</v>
      </c>
      <c r="AC37" s="610" t="s">
        <v>14</v>
      </c>
      <c r="AH37" s="840">
        <v>16</v>
      </c>
      <c r="AI37" s="840">
        <v>4</v>
      </c>
      <c r="AJ37" s="623">
        <f t="shared" si="5"/>
        <v>128</v>
      </c>
      <c r="AK37" s="623">
        <f t="shared" si="6"/>
        <v>28</v>
      </c>
      <c r="AL37" s="623">
        <f t="shared" si="7"/>
        <v>156</v>
      </c>
    </row>
    <row r="38" spans="1:38" ht="25.5" customHeight="1">
      <c r="A38" s="665" t="s">
        <v>364</v>
      </c>
      <c r="B38" s="615" t="s">
        <v>173</v>
      </c>
      <c r="C38" s="618" t="s">
        <v>325</v>
      </c>
      <c r="D38" s="618" t="s">
        <v>325</v>
      </c>
      <c r="E38" s="618" t="s">
        <v>325</v>
      </c>
      <c r="F38" s="618" t="s">
        <v>325</v>
      </c>
      <c r="G38" s="599" t="s">
        <v>384</v>
      </c>
      <c r="H38" s="617" t="s">
        <v>173</v>
      </c>
      <c r="I38" s="617"/>
      <c r="J38" s="616" t="s">
        <v>329</v>
      </c>
      <c r="K38" s="823" t="s">
        <v>329</v>
      </c>
      <c r="L38" s="823" t="s">
        <v>329</v>
      </c>
      <c r="M38" s="616" t="s">
        <v>329</v>
      </c>
      <c r="N38" s="599" t="s">
        <v>355</v>
      </c>
      <c r="O38" s="599" t="s">
        <v>352</v>
      </c>
      <c r="P38" s="617" t="s">
        <v>173</v>
      </c>
      <c r="Q38" s="575" t="s">
        <v>331</v>
      </c>
      <c r="R38" s="575" t="s">
        <v>331</v>
      </c>
      <c r="S38" s="575" t="s">
        <v>331</v>
      </c>
      <c r="T38" s="575" t="s">
        <v>331</v>
      </c>
      <c r="U38" s="575" t="s">
        <v>331</v>
      </c>
      <c r="V38" s="575" t="s">
        <v>14</v>
      </c>
      <c r="W38" s="575" t="s">
        <v>14</v>
      </c>
      <c r="X38" s="618" t="s">
        <v>325</v>
      </c>
      <c r="Y38" s="618" t="s">
        <v>325</v>
      </c>
      <c r="Z38" s="618" t="s">
        <v>325</v>
      </c>
      <c r="AA38" s="618" t="s">
        <v>325</v>
      </c>
      <c r="AB38" s="618" t="s">
        <v>325</v>
      </c>
      <c r="AC38" s="723" t="s">
        <v>173</v>
      </c>
      <c r="AH38" s="840">
        <v>16</v>
      </c>
      <c r="AI38" s="840">
        <v>4</v>
      </c>
      <c r="AJ38" s="623">
        <f t="shared" si="5"/>
        <v>128</v>
      </c>
      <c r="AK38" s="623">
        <f t="shared" si="6"/>
        <v>28</v>
      </c>
      <c r="AL38" s="623">
        <f t="shared" si="7"/>
        <v>156</v>
      </c>
    </row>
    <row r="39" spans="1:38" ht="25.5" customHeight="1">
      <c r="M39" s="827"/>
      <c r="R39" s="827"/>
      <c r="T39" s="827"/>
    </row>
    <row r="40" spans="1:38" ht="25.5" customHeight="1">
      <c r="B40" s="871" t="s">
        <v>385</v>
      </c>
      <c r="C40" s="872"/>
      <c r="D40" s="872"/>
      <c r="E40" s="872"/>
      <c r="F40" s="872"/>
      <c r="G40" s="872"/>
      <c r="H40" s="872"/>
      <c r="I40" s="872"/>
      <c r="J40" s="872"/>
      <c r="K40" s="872"/>
      <c r="L40" s="872"/>
      <c r="M40" s="872"/>
      <c r="N40" s="872"/>
      <c r="O40" s="872"/>
      <c r="P40" s="872"/>
      <c r="Q40" s="872"/>
      <c r="R40" s="872"/>
      <c r="S40" s="872"/>
      <c r="T40" s="872"/>
      <c r="U40" s="872"/>
      <c r="V40" s="872"/>
      <c r="W40" s="872"/>
      <c r="X40" s="872"/>
      <c r="Y40" s="872"/>
      <c r="Z40" s="872"/>
      <c r="AA40" s="872"/>
      <c r="AB40" s="872"/>
      <c r="AC40" s="872"/>
      <c r="AD40" s="872"/>
      <c r="AE40" s="872"/>
      <c r="AF40" s="873"/>
    </row>
    <row r="41" spans="1:38" ht="25.5" customHeight="1">
      <c r="A41" s="891" t="s">
        <v>341</v>
      </c>
      <c r="B41" s="774" t="s">
        <v>85</v>
      </c>
      <c r="C41" s="634" t="s">
        <v>86</v>
      </c>
      <c r="D41" s="634" t="s">
        <v>87</v>
      </c>
      <c r="E41" s="634" t="s">
        <v>44</v>
      </c>
      <c r="F41" s="634" t="s">
        <v>28</v>
      </c>
      <c r="G41" s="634" t="s">
        <v>9</v>
      </c>
      <c r="H41" s="634" t="s">
        <v>84</v>
      </c>
      <c r="I41" s="635" t="s">
        <v>85</v>
      </c>
      <c r="J41" s="634" t="s">
        <v>86</v>
      </c>
      <c r="K41" s="634" t="s">
        <v>87</v>
      </c>
      <c r="L41" s="634" t="s">
        <v>44</v>
      </c>
      <c r="M41" s="634" t="s">
        <v>28</v>
      </c>
      <c r="N41" s="634" t="s">
        <v>9</v>
      </c>
      <c r="O41" s="634" t="s">
        <v>84</v>
      </c>
      <c r="P41" s="635" t="s">
        <v>85</v>
      </c>
      <c r="Q41" s="634" t="s">
        <v>86</v>
      </c>
      <c r="R41" s="634" t="s">
        <v>87</v>
      </c>
      <c r="S41" s="634" t="s">
        <v>44</v>
      </c>
      <c r="T41" s="634" t="s">
        <v>28</v>
      </c>
      <c r="U41" s="634" t="s">
        <v>9</v>
      </c>
      <c r="V41" s="634" t="s">
        <v>84</v>
      </c>
      <c r="W41" s="635" t="s">
        <v>85</v>
      </c>
      <c r="X41" s="634" t="s">
        <v>86</v>
      </c>
      <c r="Y41" s="634" t="s">
        <v>87</v>
      </c>
      <c r="Z41" s="634" t="s">
        <v>44</v>
      </c>
      <c r="AA41" s="634" t="s">
        <v>28</v>
      </c>
      <c r="AB41" s="634" t="s">
        <v>9</v>
      </c>
      <c r="AC41" s="634" t="s">
        <v>84</v>
      </c>
      <c r="AD41" s="635" t="s">
        <v>85</v>
      </c>
      <c r="AE41" s="634" t="s">
        <v>86</v>
      </c>
      <c r="AF41" s="636" t="s">
        <v>87</v>
      </c>
    </row>
    <row r="42" spans="1:38" ht="25.5" customHeight="1">
      <c r="A42" s="892"/>
      <c r="B42" s="765">
        <v>1</v>
      </c>
      <c r="C42" s="675">
        <v>2</v>
      </c>
      <c r="D42" s="674">
        <v>3</v>
      </c>
      <c r="E42" s="674">
        <v>4</v>
      </c>
      <c r="F42" s="674">
        <v>5</v>
      </c>
      <c r="G42" s="674">
        <v>6</v>
      </c>
      <c r="H42" s="639">
        <v>7</v>
      </c>
      <c r="I42" s="639">
        <v>8</v>
      </c>
      <c r="J42" s="674">
        <v>9</v>
      </c>
      <c r="K42" s="674">
        <v>10</v>
      </c>
      <c r="L42" s="674">
        <v>11</v>
      </c>
      <c r="M42" s="674">
        <v>12</v>
      </c>
      <c r="N42" s="674">
        <v>13</v>
      </c>
      <c r="O42" s="639">
        <v>14</v>
      </c>
      <c r="P42" s="639">
        <v>15</v>
      </c>
      <c r="Q42" s="828">
        <v>16</v>
      </c>
      <c r="R42" s="828">
        <v>17</v>
      </c>
      <c r="S42" s="828">
        <v>18</v>
      </c>
      <c r="T42" s="828">
        <v>19</v>
      </c>
      <c r="U42" s="828">
        <v>20</v>
      </c>
      <c r="V42" s="829">
        <v>21</v>
      </c>
      <c r="W42" s="829">
        <v>22</v>
      </c>
      <c r="X42" s="828">
        <v>23</v>
      </c>
      <c r="Y42" s="828">
        <v>24</v>
      </c>
      <c r="Z42" s="828">
        <v>25</v>
      </c>
      <c r="AA42" s="828">
        <v>26</v>
      </c>
      <c r="AB42" s="828">
        <v>27</v>
      </c>
      <c r="AC42" s="639">
        <v>28</v>
      </c>
      <c r="AD42" s="639">
        <v>29</v>
      </c>
      <c r="AE42" s="640">
        <v>30</v>
      </c>
      <c r="AF42" s="641">
        <v>31</v>
      </c>
      <c r="AH42" s="840" t="s">
        <v>342</v>
      </c>
      <c r="AI42" s="840" t="s">
        <v>9</v>
      </c>
      <c r="AL42" s="623" t="s">
        <v>386</v>
      </c>
    </row>
    <row r="43" spans="1:38" ht="25.5" customHeight="1">
      <c r="A43" s="650" t="s">
        <v>345</v>
      </c>
      <c r="B43" s="601" t="s">
        <v>173</v>
      </c>
      <c r="C43" s="602" t="s">
        <v>329</v>
      </c>
      <c r="D43" s="602" t="s">
        <v>329</v>
      </c>
      <c r="E43" s="602" t="s">
        <v>329</v>
      </c>
      <c r="F43" s="598" t="s">
        <v>387</v>
      </c>
      <c r="G43" s="602" t="s">
        <v>329</v>
      </c>
      <c r="H43" s="579" t="s">
        <v>173</v>
      </c>
      <c r="I43" s="579" t="s">
        <v>173</v>
      </c>
      <c r="J43" s="602" t="s">
        <v>329</v>
      </c>
      <c r="K43" s="602" t="s">
        <v>329</v>
      </c>
      <c r="L43" s="602" t="s">
        <v>329</v>
      </c>
      <c r="M43" s="602" t="s">
        <v>329</v>
      </c>
      <c r="N43" s="602" t="s">
        <v>329</v>
      </c>
      <c r="O43" s="579" t="s">
        <v>173</v>
      </c>
      <c r="P43" s="579" t="s">
        <v>173</v>
      </c>
      <c r="Q43" s="602" t="s">
        <v>329</v>
      </c>
      <c r="R43" s="602" t="s">
        <v>329</v>
      </c>
      <c r="S43" s="602" t="s">
        <v>329</v>
      </c>
      <c r="T43" s="602" t="s">
        <v>329</v>
      </c>
      <c r="U43" s="602" t="s">
        <v>329</v>
      </c>
      <c r="V43" s="579" t="s">
        <v>173</v>
      </c>
      <c r="W43" s="579" t="s">
        <v>173</v>
      </c>
      <c r="X43" s="602" t="s">
        <v>329</v>
      </c>
      <c r="Y43" s="602" t="s">
        <v>329</v>
      </c>
      <c r="Z43" s="602" t="s">
        <v>329</v>
      </c>
      <c r="AA43" s="602" t="s">
        <v>329</v>
      </c>
      <c r="AB43" s="602" t="s">
        <v>329</v>
      </c>
      <c r="AC43" s="579" t="s">
        <v>173</v>
      </c>
      <c r="AD43" s="579" t="s">
        <v>173</v>
      </c>
      <c r="AE43" s="602" t="s">
        <v>329</v>
      </c>
      <c r="AF43" s="604" t="s">
        <v>329</v>
      </c>
      <c r="AH43" s="840">
        <v>18</v>
      </c>
      <c r="AI43" s="840">
        <v>4</v>
      </c>
      <c r="AJ43" s="623">
        <f t="shared" ref="AJ43:AJ50" si="8">AH43*8</f>
        <v>144</v>
      </c>
      <c r="AK43" s="623">
        <f t="shared" ref="AK43:AK50" si="9">AI43*7</f>
        <v>28</v>
      </c>
      <c r="AL43" s="623">
        <f t="shared" ref="AL43:AL50" si="10">SUM(AJ43,AK43)</f>
        <v>172</v>
      </c>
    </row>
    <row r="44" spans="1:38" ht="25.5" customHeight="1">
      <c r="A44" s="678" t="s">
        <v>347</v>
      </c>
      <c r="B44" s="605" t="s">
        <v>173</v>
      </c>
      <c r="C44" s="600" t="s">
        <v>329</v>
      </c>
      <c r="D44" s="600" t="s">
        <v>329</v>
      </c>
      <c r="E44" s="572" t="s">
        <v>388</v>
      </c>
      <c r="F44" s="600" t="s">
        <v>329</v>
      </c>
      <c r="G44" s="600" t="s">
        <v>329</v>
      </c>
      <c r="H44" s="572" t="s">
        <v>389</v>
      </c>
      <c r="I44" s="574" t="s">
        <v>173</v>
      </c>
      <c r="J44" s="600" t="s">
        <v>329</v>
      </c>
      <c r="K44" s="600" t="s">
        <v>329</v>
      </c>
      <c r="L44" s="600" t="s">
        <v>329</v>
      </c>
      <c r="M44" s="600" t="s">
        <v>329</v>
      </c>
      <c r="N44" s="600" t="s">
        <v>329</v>
      </c>
      <c r="O44" s="574" t="s">
        <v>173</v>
      </c>
      <c r="P44" s="574" t="s">
        <v>173</v>
      </c>
      <c r="Q44" s="600" t="s">
        <v>329</v>
      </c>
      <c r="R44" s="600" t="s">
        <v>329</v>
      </c>
      <c r="S44" s="600" t="s">
        <v>329</v>
      </c>
      <c r="T44" s="600" t="s">
        <v>329</v>
      </c>
      <c r="U44" s="600" t="s">
        <v>329</v>
      </c>
      <c r="V44" s="574" t="s">
        <v>173</v>
      </c>
      <c r="W44" s="574" t="s">
        <v>173</v>
      </c>
      <c r="X44" s="600" t="s">
        <v>329</v>
      </c>
      <c r="Y44" s="600" t="s">
        <v>329</v>
      </c>
      <c r="Z44" s="600" t="s">
        <v>329</v>
      </c>
      <c r="AA44" s="600" t="s">
        <v>329</v>
      </c>
      <c r="AB44" s="600" t="s">
        <v>329</v>
      </c>
      <c r="AC44" s="574" t="s">
        <v>173</v>
      </c>
      <c r="AD44" s="574" t="s">
        <v>173</v>
      </c>
      <c r="AE44" s="597" t="s">
        <v>9</v>
      </c>
      <c r="AF44" s="707" t="s">
        <v>9</v>
      </c>
      <c r="AH44" s="840">
        <v>16</v>
      </c>
      <c r="AI44" s="840">
        <v>4</v>
      </c>
      <c r="AJ44" s="623">
        <f t="shared" si="8"/>
        <v>128</v>
      </c>
      <c r="AK44" s="623">
        <f t="shared" si="9"/>
        <v>28</v>
      </c>
      <c r="AL44" s="623">
        <f t="shared" si="10"/>
        <v>156</v>
      </c>
    </row>
    <row r="45" spans="1:38" ht="25.5" customHeight="1">
      <c r="A45" s="650" t="s">
        <v>349</v>
      </c>
      <c r="B45" s="605" t="s">
        <v>173</v>
      </c>
      <c r="C45" s="573" t="s">
        <v>327</v>
      </c>
      <c r="D45" s="573" t="s">
        <v>327</v>
      </c>
      <c r="E45" s="573" t="s">
        <v>327</v>
      </c>
      <c r="F45" s="573" t="s">
        <v>327</v>
      </c>
      <c r="G45" s="573" t="s">
        <v>327</v>
      </c>
      <c r="H45" s="574" t="s">
        <v>173</v>
      </c>
      <c r="I45" s="574" t="s">
        <v>173</v>
      </c>
      <c r="J45" s="573" t="s">
        <v>327</v>
      </c>
      <c r="K45" s="573" t="s">
        <v>327</v>
      </c>
      <c r="L45" s="573" t="s">
        <v>327</v>
      </c>
      <c r="M45" s="573" t="s">
        <v>327</v>
      </c>
      <c r="N45" s="577" t="s">
        <v>327</v>
      </c>
      <c r="O45" s="574" t="s">
        <v>173</v>
      </c>
      <c r="P45" s="574" t="s">
        <v>173</v>
      </c>
      <c r="Q45" s="597" t="s">
        <v>9</v>
      </c>
      <c r="R45" s="573" t="s">
        <v>327</v>
      </c>
      <c r="S45" s="573" t="s">
        <v>327</v>
      </c>
      <c r="T45" s="573" t="s">
        <v>327</v>
      </c>
      <c r="U45" s="577" t="s">
        <v>327</v>
      </c>
      <c r="V45" s="574" t="s">
        <v>173</v>
      </c>
      <c r="W45" s="574" t="s">
        <v>173</v>
      </c>
      <c r="X45" s="573" t="s">
        <v>327</v>
      </c>
      <c r="Y45" s="573" t="s">
        <v>327</v>
      </c>
      <c r="Z45" s="573" t="s">
        <v>327</v>
      </c>
      <c r="AA45" s="573" t="s">
        <v>327</v>
      </c>
      <c r="AB45" s="577" t="s">
        <v>327</v>
      </c>
      <c r="AC45" s="574" t="s">
        <v>173</v>
      </c>
      <c r="AD45" s="574" t="s">
        <v>173</v>
      </c>
      <c r="AE45" s="573" t="s">
        <v>327</v>
      </c>
      <c r="AF45" s="608" t="s">
        <v>327</v>
      </c>
      <c r="AH45" s="840">
        <v>17</v>
      </c>
      <c r="AI45" s="840">
        <v>4</v>
      </c>
      <c r="AJ45" s="623">
        <f t="shared" si="8"/>
        <v>136</v>
      </c>
      <c r="AK45" s="623">
        <f t="shared" si="9"/>
        <v>28</v>
      </c>
      <c r="AL45" s="623">
        <f t="shared" si="10"/>
        <v>164</v>
      </c>
    </row>
    <row r="46" spans="1:38" ht="25.5" customHeight="1">
      <c r="A46" s="654" t="s">
        <v>353</v>
      </c>
      <c r="B46" s="605" t="s">
        <v>173</v>
      </c>
      <c r="C46" s="573" t="s">
        <v>327</v>
      </c>
      <c r="D46" s="573" t="s">
        <v>327</v>
      </c>
      <c r="E46" s="573" t="s">
        <v>327</v>
      </c>
      <c r="F46" s="573" t="s">
        <v>327</v>
      </c>
      <c r="G46" s="573" t="s">
        <v>327</v>
      </c>
      <c r="H46" s="574" t="s">
        <v>173</v>
      </c>
      <c r="I46" s="574" t="s">
        <v>173</v>
      </c>
      <c r="J46" s="600" t="s">
        <v>329</v>
      </c>
      <c r="K46" s="597" t="s">
        <v>9</v>
      </c>
      <c r="L46" s="600" t="s">
        <v>329</v>
      </c>
      <c r="M46" s="600" t="s">
        <v>329</v>
      </c>
      <c r="N46" s="600" t="s">
        <v>329</v>
      </c>
      <c r="O46" s="574" t="s">
        <v>173</v>
      </c>
      <c r="P46" s="574" t="s">
        <v>173</v>
      </c>
      <c r="Q46" s="573" t="s">
        <v>327</v>
      </c>
      <c r="R46" s="573" t="s">
        <v>327</v>
      </c>
      <c r="S46" s="573" t="s">
        <v>327</v>
      </c>
      <c r="T46" s="573" t="s">
        <v>327</v>
      </c>
      <c r="U46" s="573" t="s">
        <v>327</v>
      </c>
      <c r="V46" s="574" t="s">
        <v>173</v>
      </c>
      <c r="W46" s="574" t="s">
        <v>173</v>
      </c>
      <c r="X46" s="600" t="s">
        <v>329</v>
      </c>
      <c r="Y46" s="600" t="s">
        <v>329</v>
      </c>
      <c r="Z46" s="600" t="s">
        <v>329</v>
      </c>
      <c r="AA46" s="600" t="s">
        <v>329</v>
      </c>
      <c r="AB46" s="600" t="s">
        <v>329</v>
      </c>
      <c r="AC46" s="574" t="s">
        <v>173</v>
      </c>
      <c r="AD46" s="574" t="s">
        <v>173</v>
      </c>
      <c r="AE46" s="573" t="s">
        <v>327</v>
      </c>
      <c r="AF46" s="608" t="s">
        <v>327</v>
      </c>
      <c r="AH46" s="840">
        <v>17</v>
      </c>
      <c r="AI46" s="840">
        <v>4</v>
      </c>
      <c r="AJ46" s="623">
        <f t="shared" si="8"/>
        <v>136</v>
      </c>
      <c r="AK46" s="623">
        <f t="shared" si="9"/>
        <v>28</v>
      </c>
      <c r="AL46" s="623">
        <f t="shared" si="10"/>
        <v>164</v>
      </c>
    </row>
    <row r="47" spans="1:38" ht="25.5" customHeight="1">
      <c r="A47" s="659" t="s">
        <v>354</v>
      </c>
      <c r="B47" s="605" t="s">
        <v>173</v>
      </c>
      <c r="C47" s="600" t="s">
        <v>329</v>
      </c>
      <c r="D47" s="600" t="s">
        <v>329</v>
      </c>
      <c r="E47" s="578" t="s">
        <v>390</v>
      </c>
      <c r="F47" s="600" t="s">
        <v>329</v>
      </c>
      <c r="G47" s="572" t="s">
        <v>355</v>
      </c>
      <c r="H47" s="572" t="s">
        <v>352</v>
      </c>
      <c r="I47" s="574" t="s">
        <v>173</v>
      </c>
      <c r="J47" s="576" t="s">
        <v>331</v>
      </c>
      <c r="K47" s="576" t="s">
        <v>331</v>
      </c>
      <c r="L47" s="576" t="s">
        <v>331</v>
      </c>
      <c r="M47" s="576" t="s">
        <v>331</v>
      </c>
      <c r="N47" s="576" t="s">
        <v>331</v>
      </c>
      <c r="O47" s="576" t="s">
        <v>14</v>
      </c>
      <c r="P47" s="576" t="s">
        <v>14</v>
      </c>
      <c r="Q47" s="597" t="s">
        <v>9</v>
      </c>
      <c r="R47" s="597" t="s">
        <v>9</v>
      </c>
      <c r="S47" s="597" t="s">
        <v>9</v>
      </c>
      <c r="T47" s="597" t="s">
        <v>9</v>
      </c>
      <c r="U47" s="597" t="s">
        <v>9</v>
      </c>
      <c r="V47" s="597" t="s">
        <v>9</v>
      </c>
      <c r="W47" s="597" t="s">
        <v>9</v>
      </c>
      <c r="X47" s="609" t="s">
        <v>325</v>
      </c>
      <c r="Y47" s="609" t="s">
        <v>325</v>
      </c>
      <c r="Z47" s="609" t="s">
        <v>325</v>
      </c>
      <c r="AA47" s="609" t="s">
        <v>325</v>
      </c>
      <c r="AB47" s="609" t="s">
        <v>325</v>
      </c>
      <c r="AC47" s="574" t="s">
        <v>173</v>
      </c>
      <c r="AD47" s="574" t="s">
        <v>173</v>
      </c>
      <c r="AE47" s="600" t="s">
        <v>329</v>
      </c>
      <c r="AF47" s="606" t="s">
        <v>329</v>
      </c>
      <c r="AH47" s="840">
        <v>14</v>
      </c>
      <c r="AI47" s="840">
        <v>3</v>
      </c>
      <c r="AJ47" s="623">
        <f t="shared" si="8"/>
        <v>112</v>
      </c>
      <c r="AK47" s="623">
        <f t="shared" si="9"/>
        <v>21</v>
      </c>
      <c r="AL47" s="623">
        <f t="shared" si="10"/>
        <v>133</v>
      </c>
    </row>
    <row r="48" spans="1:38" ht="25.5" customHeight="1">
      <c r="A48" s="661" t="s">
        <v>360</v>
      </c>
      <c r="B48" s="605" t="s">
        <v>173</v>
      </c>
      <c r="C48" s="576" t="s">
        <v>331</v>
      </c>
      <c r="D48" s="576" t="s">
        <v>331</v>
      </c>
      <c r="E48" s="576" t="s">
        <v>331</v>
      </c>
      <c r="F48" s="826" t="s">
        <v>331</v>
      </c>
      <c r="G48" s="576" t="s">
        <v>331</v>
      </c>
      <c r="H48" s="576" t="s">
        <v>14</v>
      </c>
      <c r="I48" s="576" t="s">
        <v>14</v>
      </c>
      <c r="J48" s="609" t="s">
        <v>325</v>
      </c>
      <c r="K48" s="609" t="s">
        <v>325</v>
      </c>
      <c r="L48" s="609" t="s">
        <v>325</v>
      </c>
      <c r="M48" s="572" t="s">
        <v>391</v>
      </c>
      <c r="N48" s="609" t="s">
        <v>325</v>
      </c>
      <c r="O48" s="574" t="s">
        <v>173</v>
      </c>
      <c r="P48" s="574" t="s">
        <v>173</v>
      </c>
      <c r="Q48" s="600" t="s">
        <v>383</v>
      </c>
      <c r="R48" s="609" t="s">
        <v>325</v>
      </c>
      <c r="S48" s="609" t="s">
        <v>325</v>
      </c>
      <c r="T48" s="609" t="s">
        <v>325</v>
      </c>
      <c r="U48" s="609" t="s">
        <v>325</v>
      </c>
      <c r="V48" s="574" t="s">
        <v>173</v>
      </c>
      <c r="W48" s="574" t="s">
        <v>173</v>
      </c>
      <c r="X48" s="600" t="s">
        <v>329</v>
      </c>
      <c r="Y48" s="600" t="s">
        <v>329</v>
      </c>
      <c r="Z48" s="600" t="s">
        <v>329</v>
      </c>
      <c r="AA48" s="600" t="s">
        <v>329</v>
      </c>
      <c r="AB48" s="600" t="s">
        <v>329</v>
      </c>
      <c r="AC48" s="574" t="s">
        <v>173</v>
      </c>
      <c r="AD48" s="574" t="s">
        <v>173</v>
      </c>
      <c r="AE48" s="576" t="s">
        <v>331</v>
      </c>
      <c r="AF48" s="610" t="s">
        <v>331</v>
      </c>
      <c r="AH48" s="840">
        <v>18</v>
      </c>
      <c r="AI48" s="840">
        <v>4</v>
      </c>
      <c r="AJ48" s="623">
        <f t="shared" si="8"/>
        <v>144</v>
      </c>
      <c r="AK48" s="623">
        <f t="shared" si="9"/>
        <v>28</v>
      </c>
      <c r="AL48" s="623">
        <f t="shared" si="10"/>
        <v>172</v>
      </c>
    </row>
    <row r="49" spans="1:38" ht="25.5" customHeight="1">
      <c r="A49" s="659" t="s">
        <v>363</v>
      </c>
      <c r="B49" s="611" t="s">
        <v>14</v>
      </c>
      <c r="C49" s="609" t="s">
        <v>325</v>
      </c>
      <c r="D49" s="609" t="s">
        <v>325</v>
      </c>
      <c r="E49" s="578" t="s">
        <v>392</v>
      </c>
      <c r="F49" s="824" t="s">
        <v>393</v>
      </c>
      <c r="G49" s="609" t="s">
        <v>325</v>
      </c>
      <c r="H49" s="574" t="s">
        <v>173</v>
      </c>
      <c r="I49" s="574" t="s">
        <v>173</v>
      </c>
      <c r="J49" s="609" t="s">
        <v>325</v>
      </c>
      <c r="K49" s="609" t="s">
        <v>325</v>
      </c>
      <c r="L49" s="572" t="s">
        <v>394</v>
      </c>
      <c r="M49" s="609" t="s">
        <v>325</v>
      </c>
      <c r="N49" s="609" t="s">
        <v>325</v>
      </c>
      <c r="O49" s="574"/>
      <c r="P49" s="574"/>
      <c r="Q49" s="609" t="s">
        <v>325</v>
      </c>
      <c r="R49" s="600" t="s">
        <v>383</v>
      </c>
      <c r="S49" s="600" t="s">
        <v>383</v>
      </c>
      <c r="T49" s="600" t="s">
        <v>383</v>
      </c>
      <c r="U49" s="600" t="s">
        <v>383</v>
      </c>
      <c r="V49" s="574" t="s">
        <v>173</v>
      </c>
      <c r="W49" s="574"/>
      <c r="X49" s="576" t="s">
        <v>331</v>
      </c>
      <c r="Y49" s="576" t="s">
        <v>331</v>
      </c>
      <c r="Z49" s="576" t="s">
        <v>331</v>
      </c>
      <c r="AA49" s="576" t="s">
        <v>331</v>
      </c>
      <c r="AB49" s="576" t="s">
        <v>331</v>
      </c>
      <c r="AC49" s="576" t="s">
        <v>14</v>
      </c>
      <c r="AD49" s="576" t="s">
        <v>14</v>
      </c>
      <c r="AE49" s="609" t="s">
        <v>325</v>
      </c>
      <c r="AF49" s="613" t="s">
        <v>325</v>
      </c>
      <c r="AH49" s="840">
        <v>18</v>
      </c>
      <c r="AI49" s="840">
        <v>4</v>
      </c>
      <c r="AJ49" s="623">
        <f t="shared" si="8"/>
        <v>144</v>
      </c>
      <c r="AK49" s="623">
        <f t="shared" si="9"/>
        <v>28</v>
      </c>
      <c r="AL49" s="623">
        <f t="shared" si="10"/>
        <v>172</v>
      </c>
    </row>
    <row r="50" spans="1:38" ht="25.5" customHeight="1">
      <c r="A50" s="665" t="s">
        <v>364</v>
      </c>
      <c r="B50" s="615" t="s">
        <v>173</v>
      </c>
      <c r="C50" s="618" t="s">
        <v>325</v>
      </c>
      <c r="D50" s="618" t="s">
        <v>325</v>
      </c>
      <c r="E50" s="599" t="s">
        <v>395</v>
      </c>
      <c r="F50" s="830" t="s">
        <v>393</v>
      </c>
      <c r="G50" s="618" t="s">
        <v>325</v>
      </c>
      <c r="H50" s="617" t="s">
        <v>173</v>
      </c>
      <c r="I50" s="617" t="s">
        <v>173</v>
      </c>
      <c r="J50" s="616" t="s">
        <v>329</v>
      </c>
      <c r="K50" s="599" t="s">
        <v>396</v>
      </c>
      <c r="L50" s="616" t="s">
        <v>329</v>
      </c>
      <c r="M50" s="616" t="s">
        <v>329</v>
      </c>
      <c r="N50" s="599" t="s">
        <v>355</v>
      </c>
      <c r="O50" s="599" t="s">
        <v>352</v>
      </c>
      <c r="P50" s="617" t="s">
        <v>173</v>
      </c>
      <c r="Q50" s="575" t="s">
        <v>331</v>
      </c>
      <c r="R50" s="575" t="s">
        <v>331</v>
      </c>
      <c r="S50" s="575" t="s">
        <v>331</v>
      </c>
      <c r="T50" s="575" t="s">
        <v>331</v>
      </c>
      <c r="U50" s="575" t="s">
        <v>331</v>
      </c>
      <c r="V50" s="575" t="s">
        <v>14</v>
      </c>
      <c r="W50" s="575" t="s">
        <v>14</v>
      </c>
      <c r="X50" s="618" t="s">
        <v>325</v>
      </c>
      <c r="Y50" s="618" t="s">
        <v>325</v>
      </c>
      <c r="Z50" s="618" t="s">
        <v>325</v>
      </c>
      <c r="AA50" s="618" t="s">
        <v>325</v>
      </c>
      <c r="AB50" s="618" t="s">
        <v>325</v>
      </c>
      <c r="AC50" s="617" t="s">
        <v>173</v>
      </c>
      <c r="AD50" s="617" t="s">
        <v>173</v>
      </c>
      <c r="AE50" s="734" t="s">
        <v>9</v>
      </c>
      <c r="AF50" s="735" t="s">
        <v>9</v>
      </c>
      <c r="AH50" s="840">
        <v>16</v>
      </c>
      <c r="AI50" s="840">
        <v>4</v>
      </c>
      <c r="AJ50" s="623">
        <f t="shared" si="8"/>
        <v>128</v>
      </c>
      <c r="AK50" s="623">
        <f t="shared" si="9"/>
        <v>28</v>
      </c>
      <c r="AL50" s="623">
        <f t="shared" si="10"/>
        <v>156</v>
      </c>
    </row>
    <row r="51" spans="1:38" ht="25.5" customHeight="1">
      <c r="X51" s="887" t="s">
        <v>397</v>
      </c>
      <c r="Y51" s="888"/>
      <c r="Z51" s="888"/>
      <c r="AA51" s="888"/>
      <c r="AB51" s="889"/>
    </row>
    <row r="52" spans="1:38" ht="25.5" customHeight="1">
      <c r="B52" s="871" t="s">
        <v>398</v>
      </c>
      <c r="C52" s="872"/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872"/>
      <c r="O52" s="872"/>
      <c r="P52" s="872"/>
      <c r="Q52" s="872"/>
      <c r="R52" s="872"/>
      <c r="S52" s="872"/>
      <c r="T52" s="872"/>
      <c r="U52" s="872"/>
      <c r="V52" s="872"/>
      <c r="W52" s="872"/>
      <c r="X52" s="872"/>
      <c r="Y52" s="872"/>
      <c r="Z52" s="872"/>
      <c r="AA52" s="872"/>
      <c r="AB52" s="872"/>
      <c r="AC52" s="872"/>
      <c r="AD52" s="872"/>
      <c r="AE52" s="873"/>
    </row>
    <row r="53" spans="1:38" ht="25.5" customHeight="1">
      <c r="A53" s="869" t="s">
        <v>341</v>
      </c>
      <c r="B53" s="633" t="s">
        <v>44</v>
      </c>
      <c r="C53" s="634" t="s">
        <v>28</v>
      </c>
      <c r="D53" s="634" t="s">
        <v>9</v>
      </c>
      <c r="E53" s="634" t="s">
        <v>84</v>
      </c>
      <c r="F53" s="635" t="s">
        <v>85</v>
      </c>
      <c r="G53" s="634" t="s">
        <v>86</v>
      </c>
      <c r="H53" s="634" t="s">
        <v>87</v>
      </c>
      <c r="I53" s="634" t="s">
        <v>44</v>
      </c>
      <c r="J53" s="634" t="s">
        <v>28</v>
      </c>
      <c r="K53" s="634" t="s">
        <v>9</v>
      </c>
      <c r="L53" s="634" t="s">
        <v>84</v>
      </c>
      <c r="M53" s="635" t="s">
        <v>85</v>
      </c>
      <c r="N53" s="634" t="s">
        <v>86</v>
      </c>
      <c r="O53" s="634" t="s">
        <v>87</v>
      </c>
      <c r="P53" s="634" t="s">
        <v>44</v>
      </c>
      <c r="Q53" s="634" t="s">
        <v>28</v>
      </c>
      <c r="R53" s="634" t="s">
        <v>9</v>
      </c>
      <c r="S53" s="634" t="s">
        <v>84</v>
      </c>
      <c r="T53" s="635" t="s">
        <v>85</v>
      </c>
      <c r="U53" s="634" t="s">
        <v>86</v>
      </c>
      <c r="V53" s="634" t="s">
        <v>87</v>
      </c>
      <c r="W53" s="634" t="s">
        <v>44</v>
      </c>
      <c r="X53" s="634" t="s">
        <v>28</v>
      </c>
      <c r="Y53" s="634" t="s">
        <v>9</v>
      </c>
      <c r="Z53" s="634" t="s">
        <v>84</v>
      </c>
      <c r="AA53" s="635" t="s">
        <v>85</v>
      </c>
      <c r="AB53" s="634" t="s">
        <v>86</v>
      </c>
      <c r="AC53" s="634" t="s">
        <v>87</v>
      </c>
      <c r="AD53" s="634" t="s">
        <v>44</v>
      </c>
      <c r="AE53" s="636" t="s">
        <v>28</v>
      </c>
    </row>
    <row r="54" spans="1:38" ht="25.5" customHeight="1">
      <c r="A54" s="870"/>
      <c r="B54" s="701">
        <v>1</v>
      </c>
      <c r="C54" s="685">
        <v>2</v>
      </c>
      <c r="D54" s="639">
        <v>3</v>
      </c>
      <c r="E54" s="639">
        <v>4</v>
      </c>
      <c r="F54" s="639">
        <v>5</v>
      </c>
      <c r="G54" s="638">
        <v>6</v>
      </c>
      <c r="H54" s="638">
        <v>7</v>
      </c>
      <c r="I54" s="638">
        <v>8</v>
      </c>
      <c r="J54" s="638">
        <v>9</v>
      </c>
      <c r="K54" s="638">
        <v>10</v>
      </c>
      <c r="L54" s="639">
        <v>11</v>
      </c>
      <c r="M54" s="639">
        <v>12</v>
      </c>
      <c r="N54" s="638">
        <v>13</v>
      </c>
      <c r="O54" s="638">
        <v>14</v>
      </c>
      <c r="P54" s="638">
        <v>15</v>
      </c>
      <c r="Q54" s="638">
        <v>16</v>
      </c>
      <c r="R54" s="638">
        <v>17</v>
      </c>
      <c r="S54" s="639">
        <v>18</v>
      </c>
      <c r="T54" s="639">
        <v>19</v>
      </c>
      <c r="U54" s="638">
        <v>20</v>
      </c>
      <c r="V54" s="638">
        <v>21</v>
      </c>
      <c r="W54" s="638">
        <v>22</v>
      </c>
      <c r="X54" s="638">
        <v>23</v>
      </c>
      <c r="Y54" s="638">
        <v>24</v>
      </c>
      <c r="Z54" s="639">
        <v>25</v>
      </c>
      <c r="AA54" s="639">
        <v>26</v>
      </c>
      <c r="AB54" s="638">
        <v>27</v>
      </c>
      <c r="AC54" s="638">
        <v>28</v>
      </c>
      <c r="AD54" s="640">
        <v>29</v>
      </c>
      <c r="AE54" s="641">
        <v>30</v>
      </c>
      <c r="AH54" s="840" t="s">
        <v>342</v>
      </c>
      <c r="AI54" s="840" t="s">
        <v>9</v>
      </c>
      <c r="AL54" s="623" t="s">
        <v>386</v>
      </c>
    </row>
    <row r="55" spans="1:38" ht="25.5" customHeight="1">
      <c r="A55" s="650" t="s">
        <v>345</v>
      </c>
      <c r="B55" s="703" t="s">
        <v>329</v>
      </c>
      <c r="C55" s="731" t="s">
        <v>173</v>
      </c>
      <c r="D55" s="731" t="s">
        <v>173</v>
      </c>
      <c r="E55" s="579" t="s">
        <v>173</v>
      </c>
      <c r="F55" s="579" t="s">
        <v>173</v>
      </c>
      <c r="G55" s="602" t="s">
        <v>329</v>
      </c>
      <c r="H55" s="602" t="s">
        <v>329</v>
      </c>
      <c r="I55" s="602" t="s">
        <v>329</v>
      </c>
      <c r="J55" s="602" t="s">
        <v>329</v>
      </c>
      <c r="K55" s="602" t="s">
        <v>329</v>
      </c>
      <c r="L55" s="579" t="s">
        <v>173</v>
      </c>
      <c r="M55" s="579" t="s">
        <v>173</v>
      </c>
      <c r="N55" s="602" t="s">
        <v>329</v>
      </c>
      <c r="O55" s="602" t="s">
        <v>329</v>
      </c>
      <c r="P55" s="602" t="s">
        <v>329</v>
      </c>
      <c r="Q55" s="602" t="s">
        <v>329</v>
      </c>
      <c r="R55" s="602" t="s">
        <v>329</v>
      </c>
      <c r="S55" s="598" t="s">
        <v>399</v>
      </c>
      <c r="T55" s="598" t="s">
        <v>400</v>
      </c>
      <c r="U55" s="602" t="s">
        <v>329</v>
      </c>
      <c r="V55" s="602" t="s">
        <v>329</v>
      </c>
      <c r="W55" s="602" t="s">
        <v>329</v>
      </c>
      <c r="X55" s="602" t="s">
        <v>329</v>
      </c>
      <c r="Y55" s="602" t="s">
        <v>329</v>
      </c>
      <c r="Z55" s="579" t="s">
        <v>173</v>
      </c>
      <c r="AA55" s="579" t="s">
        <v>173</v>
      </c>
      <c r="AB55" s="602" t="s">
        <v>329</v>
      </c>
      <c r="AC55" s="602" t="s">
        <v>329</v>
      </c>
      <c r="AD55" s="602" t="s">
        <v>329</v>
      </c>
      <c r="AE55" s="604" t="s">
        <v>329</v>
      </c>
      <c r="AH55" s="840">
        <v>16</v>
      </c>
      <c r="AI55" s="840">
        <v>4</v>
      </c>
      <c r="AJ55" s="623">
        <f t="shared" ref="AJ55:AJ86" si="11">AH55*8</f>
        <v>128</v>
      </c>
      <c r="AK55" s="623">
        <f t="shared" ref="AK55:AK110" si="12">AI55*7</f>
        <v>28</v>
      </c>
      <c r="AL55" s="623">
        <f t="shared" ref="AL55:AL110" si="13">SUM(AJ55,AK55)</f>
        <v>156</v>
      </c>
    </row>
    <row r="56" spans="1:38" ht="25.5" customHeight="1">
      <c r="A56" s="678" t="s">
        <v>347</v>
      </c>
      <c r="B56" s="607" t="s">
        <v>9</v>
      </c>
      <c r="C56" s="706" t="s">
        <v>173</v>
      </c>
      <c r="D56" s="706" t="s">
        <v>173</v>
      </c>
      <c r="E56" s="574" t="s">
        <v>173</v>
      </c>
      <c r="F56" s="574" t="s">
        <v>173</v>
      </c>
      <c r="G56" s="600" t="s">
        <v>329</v>
      </c>
      <c r="H56" s="600" t="s">
        <v>329</v>
      </c>
      <c r="I56" s="600" t="s">
        <v>329</v>
      </c>
      <c r="J56" s="600" t="s">
        <v>329</v>
      </c>
      <c r="K56" s="600" t="s">
        <v>329</v>
      </c>
      <c r="L56" s="572" t="s">
        <v>401</v>
      </c>
      <c r="M56" s="574" t="s">
        <v>173</v>
      </c>
      <c r="N56" s="600" t="s">
        <v>329</v>
      </c>
      <c r="O56" s="686" t="s">
        <v>329</v>
      </c>
      <c r="P56" s="686" t="s">
        <v>329</v>
      </c>
      <c r="Q56" s="686" t="s">
        <v>329</v>
      </c>
      <c r="R56" s="600" t="s">
        <v>329</v>
      </c>
      <c r="S56" s="574" t="s">
        <v>173</v>
      </c>
      <c r="T56" s="574" t="s">
        <v>173</v>
      </c>
      <c r="U56" s="686" t="s">
        <v>329</v>
      </c>
      <c r="V56" s="686" t="s">
        <v>329</v>
      </c>
      <c r="W56" s="686" t="s">
        <v>329</v>
      </c>
      <c r="X56" s="600" t="s">
        <v>329</v>
      </c>
      <c r="Y56" s="600" t="s">
        <v>329</v>
      </c>
      <c r="Z56" s="574" t="s">
        <v>173</v>
      </c>
      <c r="AA56" s="574" t="s">
        <v>173</v>
      </c>
      <c r="AB56" s="600" t="s">
        <v>329</v>
      </c>
      <c r="AC56" s="600" t="s">
        <v>329</v>
      </c>
      <c r="AD56" s="600" t="s">
        <v>329</v>
      </c>
      <c r="AE56" s="606" t="s">
        <v>329</v>
      </c>
      <c r="AH56" s="840">
        <v>16</v>
      </c>
      <c r="AI56" s="840">
        <v>3</v>
      </c>
      <c r="AJ56" s="623">
        <f t="shared" si="11"/>
        <v>128</v>
      </c>
      <c r="AK56" s="623">
        <f t="shared" si="12"/>
        <v>21</v>
      </c>
      <c r="AL56" s="623">
        <f t="shared" si="13"/>
        <v>149</v>
      </c>
    </row>
    <row r="57" spans="1:38" ht="25.5" customHeight="1">
      <c r="A57" s="650" t="s">
        <v>349</v>
      </c>
      <c r="B57" s="705" t="s">
        <v>327</v>
      </c>
      <c r="C57" s="706" t="s">
        <v>173</v>
      </c>
      <c r="D57" s="706" t="s">
        <v>173</v>
      </c>
      <c r="E57" s="574" t="s">
        <v>173</v>
      </c>
      <c r="F57" s="574" t="s">
        <v>173</v>
      </c>
      <c r="G57" s="832" t="s">
        <v>336</v>
      </c>
      <c r="H57" s="832" t="s">
        <v>336</v>
      </c>
      <c r="I57" s="832" t="s">
        <v>336</v>
      </c>
      <c r="J57" s="832" t="s">
        <v>336</v>
      </c>
      <c r="K57" s="832" t="s">
        <v>336</v>
      </c>
      <c r="L57" s="832" t="s">
        <v>336</v>
      </c>
      <c r="M57" s="832" t="s">
        <v>336</v>
      </c>
      <c r="N57" s="832" t="s">
        <v>336</v>
      </c>
      <c r="O57" s="832" t="s">
        <v>336</v>
      </c>
      <c r="P57" s="832" t="s">
        <v>336</v>
      </c>
      <c r="Q57" s="832" t="s">
        <v>336</v>
      </c>
      <c r="R57" s="832" t="s">
        <v>336</v>
      </c>
      <c r="S57" s="832" t="s">
        <v>336</v>
      </c>
      <c r="T57" s="832" t="s">
        <v>336</v>
      </c>
      <c r="U57" s="832" t="s">
        <v>336</v>
      </c>
      <c r="V57" s="832" t="s">
        <v>336</v>
      </c>
      <c r="W57" s="832" t="s">
        <v>336</v>
      </c>
      <c r="X57" s="832" t="s">
        <v>336</v>
      </c>
      <c r="Y57" s="832" t="s">
        <v>336</v>
      </c>
      <c r="Z57" s="832" t="s">
        <v>336</v>
      </c>
      <c r="AA57" s="832" t="s">
        <v>336</v>
      </c>
      <c r="AB57" s="832" t="s">
        <v>336</v>
      </c>
      <c r="AC57" s="832" t="s">
        <v>336</v>
      </c>
      <c r="AD57" s="832" t="s">
        <v>336</v>
      </c>
      <c r="AE57" s="850" t="s">
        <v>336</v>
      </c>
      <c r="AH57" s="840">
        <v>16</v>
      </c>
      <c r="AI57" s="840">
        <v>4</v>
      </c>
      <c r="AJ57" s="623">
        <f t="shared" si="11"/>
        <v>128</v>
      </c>
      <c r="AK57" s="623">
        <f t="shared" si="12"/>
        <v>28</v>
      </c>
      <c r="AL57" s="623">
        <f t="shared" si="13"/>
        <v>156</v>
      </c>
    </row>
    <row r="58" spans="1:38" ht="25.5" customHeight="1">
      <c r="A58" s="650" t="s">
        <v>353</v>
      </c>
      <c r="B58" s="705" t="s">
        <v>327</v>
      </c>
      <c r="C58" s="706" t="s">
        <v>173</v>
      </c>
      <c r="D58" s="706" t="s">
        <v>173</v>
      </c>
      <c r="E58" s="574" t="s">
        <v>173</v>
      </c>
      <c r="F58" s="574" t="s">
        <v>173</v>
      </c>
      <c r="G58" s="600" t="s">
        <v>329</v>
      </c>
      <c r="H58" s="600" t="s">
        <v>329</v>
      </c>
      <c r="I58" s="600" t="s">
        <v>329</v>
      </c>
      <c r="J58" s="600" t="s">
        <v>329</v>
      </c>
      <c r="K58" s="600" t="s">
        <v>329</v>
      </c>
      <c r="L58" s="574" t="s">
        <v>173</v>
      </c>
      <c r="M58" s="574" t="s">
        <v>173</v>
      </c>
      <c r="N58" s="651" t="s">
        <v>327</v>
      </c>
      <c r="O58" s="573" t="s">
        <v>327</v>
      </c>
      <c r="P58" s="572" t="s">
        <v>402</v>
      </c>
      <c r="Q58" s="572" t="s">
        <v>402</v>
      </c>
      <c r="R58" s="714" t="s">
        <v>327</v>
      </c>
      <c r="S58" s="574" t="s">
        <v>173</v>
      </c>
      <c r="T58" s="687" t="s">
        <v>173</v>
      </c>
      <c r="U58" s="600" t="s">
        <v>329</v>
      </c>
      <c r="V58" s="839" t="s">
        <v>12</v>
      </c>
      <c r="W58" s="600" t="s">
        <v>329</v>
      </c>
      <c r="X58" s="690" t="s">
        <v>329</v>
      </c>
      <c r="Y58" s="600" t="s">
        <v>329</v>
      </c>
      <c r="Z58" s="574" t="s">
        <v>173</v>
      </c>
      <c r="AA58" s="574" t="s">
        <v>173</v>
      </c>
      <c r="AB58" s="573" t="s">
        <v>327</v>
      </c>
      <c r="AC58" s="573" t="s">
        <v>327</v>
      </c>
      <c r="AD58" s="573" t="s">
        <v>327</v>
      </c>
      <c r="AE58" s="608" t="s">
        <v>327</v>
      </c>
      <c r="AH58" s="840">
        <v>16</v>
      </c>
      <c r="AI58" s="840">
        <v>4</v>
      </c>
      <c r="AJ58" s="623">
        <f t="shared" si="11"/>
        <v>128</v>
      </c>
      <c r="AK58" s="623">
        <f t="shared" si="12"/>
        <v>28</v>
      </c>
      <c r="AL58" s="623">
        <f t="shared" si="13"/>
        <v>156</v>
      </c>
    </row>
    <row r="59" spans="1:38" ht="25.5" customHeight="1">
      <c r="A59" s="659" t="s">
        <v>354</v>
      </c>
      <c r="B59" s="704" t="s">
        <v>329</v>
      </c>
      <c r="C59" s="706" t="s">
        <v>173</v>
      </c>
      <c r="D59" s="706" t="s">
        <v>173</v>
      </c>
      <c r="E59" s="574" t="s">
        <v>173</v>
      </c>
      <c r="F59" s="574" t="s">
        <v>173</v>
      </c>
      <c r="G59" s="576" t="s">
        <v>331</v>
      </c>
      <c r="H59" s="576" t="s">
        <v>331</v>
      </c>
      <c r="I59" s="576" t="s">
        <v>331</v>
      </c>
      <c r="J59" s="576" t="s">
        <v>331</v>
      </c>
      <c r="K59" s="576" t="s">
        <v>331</v>
      </c>
      <c r="L59" s="576" t="s">
        <v>14</v>
      </c>
      <c r="M59" s="576" t="s">
        <v>14</v>
      </c>
      <c r="N59" s="848" t="s">
        <v>325</v>
      </c>
      <c r="O59" s="609" t="s">
        <v>325</v>
      </c>
      <c r="P59" s="609" t="s">
        <v>325</v>
      </c>
      <c r="Q59" s="609" t="s">
        <v>325</v>
      </c>
      <c r="R59" s="749" t="s">
        <v>325</v>
      </c>
      <c r="S59" s="574" t="s">
        <v>173</v>
      </c>
      <c r="T59" s="687" t="s">
        <v>173</v>
      </c>
      <c r="U59" s="609" t="s">
        <v>325</v>
      </c>
      <c r="V59" s="609" t="s">
        <v>325</v>
      </c>
      <c r="W59" s="609" t="s">
        <v>325</v>
      </c>
      <c r="X59" s="749" t="s">
        <v>325</v>
      </c>
      <c r="Y59" s="578" t="s">
        <v>380</v>
      </c>
      <c r="Z59" s="578" t="s">
        <v>352</v>
      </c>
      <c r="AA59" s="574" t="s">
        <v>173</v>
      </c>
      <c r="AB59" s="600" t="s">
        <v>329</v>
      </c>
      <c r="AC59" s="600" t="s">
        <v>329</v>
      </c>
      <c r="AD59" s="600" t="s">
        <v>329</v>
      </c>
      <c r="AE59" s="606" t="s">
        <v>329</v>
      </c>
      <c r="AH59" s="840">
        <v>16</v>
      </c>
      <c r="AI59" s="840">
        <v>4</v>
      </c>
      <c r="AJ59" s="623">
        <f t="shared" si="11"/>
        <v>128</v>
      </c>
      <c r="AK59" s="623">
        <f t="shared" si="12"/>
        <v>28</v>
      </c>
      <c r="AL59" s="623">
        <f t="shared" si="13"/>
        <v>156</v>
      </c>
    </row>
    <row r="60" spans="1:38" ht="25.5" customHeight="1">
      <c r="A60" s="661" t="s">
        <v>360</v>
      </c>
      <c r="B60" s="611" t="s">
        <v>331</v>
      </c>
      <c r="C60" s="576" t="s">
        <v>14</v>
      </c>
      <c r="D60" s="576" t="s">
        <v>14</v>
      </c>
      <c r="E60" s="576" t="s">
        <v>14</v>
      </c>
      <c r="F60" s="576" t="s">
        <v>14</v>
      </c>
      <c r="G60" s="609" t="s">
        <v>325</v>
      </c>
      <c r="H60" s="597" t="s">
        <v>9</v>
      </c>
      <c r="I60" s="597" t="s">
        <v>9</v>
      </c>
      <c r="J60" s="609" t="s">
        <v>325</v>
      </c>
      <c r="K60" s="609" t="s">
        <v>325</v>
      </c>
      <c r="L60" s="572" t="s">
        <v>401</v>
      </c>
      <c r="M60" s="574" t="s">
        <v>173</v>
      </c>
      <c r="N60" s="609" t="s">
        <v>325</v>
      </c>
      <c r="O60" s="750" t="s">
        <v>325</v>
      </c>
      <c r="P60" s="750" t="s">
        <v>325</v>
      </c>
      <c r="Q60" s="750" t="s">
        <v>325</v>
      </c>
      <c r="R60" s="609" t="s">
        <v>325</v>
      </c>
      <c r="S60" s="574" t="s">
        <v>173</v>
      </c>
      <c r="T60" s="574" t="s">
        <v>173</v>
      </c>
      <c r="U60" s="849" t="s">
        <v>329</v>
      </c>
      <c r="V60" s="849" t="s">
        <v>329</v>
      </c>
      <c r="W60" s="849" t="s">
        <v>329</v>
      </c>
      <c r="X60" s="600" t="s">
        <v>329</v>
      </c>
      <c r="Y60" s="600" t="s">
        <v>329</v>
      </c>
      <c r="Z60" s="574" t="s">
        <v>173</v>
      </c>
      <c r="AA60" s="574" t="s">
        <v>173</v>
      </c>
      <c r="AB60" s="576" t="s">
        <v>331</v>
      </c>
      <c r="AC60" s="576" t="s">
        <v>331</v>
      </c>
      <c r="AD60" s="576" t="s">
        <v>331</v>
      </c>
      <c r="AE60" s="610" t="s">
        <v>331</v>
      </c>
      <c r="AH60" s="840">
        <v>14</v>
      </c>
      <c r="AI60" s="840">
        <v>4</v>
      </c>
      <c r="AJ60" s="623">
        <f t="shared" si="11"/>
        <v>112</v>
      </c>
      <c r="AK60" s="623">
        <f t="shared" si="12"/>
        <v>28</v>
      </c>
      <c r="AL60" s="623">
        <f t="shared" si="13"/>
        <v>140</v>
      </c>
    </row>
    <row r="61" spans="1:38" ht="25.5" customHeight="1">
      <c r="A61" s="659" t="s">
        <v>363</v>
      </c>
      <c r="B61" s="709" t="s">
        <v>325</v>
      </c>
      <c r="C61" s="706" t="s">
        <v>173</v>
      </c>
      <c r="D61" s="706" t="s">
        <v>173</v>
      </c>
      <c r="E61" s="574" t="s">
        <v>173</v>
      </c>
      <c r="F61" s="574" t="s">
        <v>173</v>
      </c>
      <c r="G61" s="609" t="s">
        <v>325</v>
      </c>
      <c r="H61" s="609" t="s">
        <v>325</v>
      </c>
      <c r="I61" s="609" t="s">
        <v>325</v>
      </c>
      <c r="J61" s="609" t="s">
        <v>325</v>
      </c>
      <c r="K61" s="609" t="s">
        <v>325</v>
      </c>
      <c r="L61" s="574"/>
      <c r="M61" s="574"/>
      <c r="N61" s="600" t="s">
        <v>383</v>
      </c>
      <c r="O61" s="600" t="s">
        <v>383</v>
      </c>
      <c r="P61" s="600" t="s">
        <v>383</v>
      </c>
      <c r="Q61" s="572" t="s">
        <v>403</v>
      </c>
      <c r="R61" s="600" t="s">
        <v>383</v>
      </c>
      <c r="S61" s="574" t="s">
        <v>173</v>
      </c>
      <c r="T61" s="574"/>
      <c r="U61" s="576" t="s">
        <v>331</v>
      </c>
      <c r="V61" s="576" t="s">
        <v>331</v>
      </c>
      <c r="W61" s="576" t="s">
        <v>331</v>
      </c>
      <c r="X61" s="576" t="s">
        <v>331</v>
      </c>
      <c r="Y61" s="576" t="s">
        <v>331</v>
      </c>
      <c r="Z61" s="576" t="s">
        <v>14</v>
      </c>
      <c r="AA61" s="576" t="s">
        <v>14</v>
      </c>
      <c r="AB61" s="609" t="s">
        <v>325</v>
      </c>
      <c r="AC61" s="609" t="s">
        <v>325</v>
      </c>
      <c r="AD61" s="609" t="s">
        <v>325</v>
      </c>
      <c r="AE61" s="613" t="s">
        <v>325</v>
      </c>
      <c r="AH61" s="840">
        <v>16</v>
      </c>
      <c r="AI61" s="840">
        <v>4</v>
      </c>
      <c r="AJ61" s="623">
        <f t="shared" si="11"/>
        <v>128</v>
      </c>
      <c r="AK61" s="623">
        <f t="shared" si="12"/>
        <v>28</v>
      </c>
      <c r="AL61" s="623">
        <f t="shared" si="13"/>
        <v>156</v>
      </c>
    </row>
    <row r="62" spans="1:38" ht="25.5" customHeight="1">
      <c r="A62" s="665" t="s">
        <v>364</v>
      </c>
      <c r="B62" s="738" t="s">
        <v>9</v>
      </c>
      <c r="C62" s="667" t="s">
        <v>173</v>
      </c>
      <c r="D62" s="667" t="s">
        <v>173</v>
      </c>
      <c r="E62" s="617" t="s">
        <v>173</v>
      </c>
      <c r="F62" s="617" t="s">
        <v>173</v>
      </c>
      <c r="G62" s="616" t="s">
        <v>329</v>
      </c>
      <c r="H62" s="616" t="s">
        <v>329</v>
      </c>
      <c r="I62" s="616" t="s">
        <v>329</v>
      </c>
      <c r="J62" s="616" t="s">
        <v>329</v>
      </c>
      <c r="K62" s="616" t="s">
        <v>329</v>
      </c>
      <c r="L62" s="617" t="s">
        <v>173</v>
      </c>
      <c r="M62" s="617" t="s">
        <v>173</v>
      </c>
      <c r="N62" s="575" t="s">
        <v>331</v>
      </c>
      <c r="O62" s="575" t="s">
        <v>331</v>
      </c>
      <c r="P62" s="575" t="s">
        <v>331</v>
      </c>
      <c r="Q62" s="575" t="s">
        <v>331</v>
      </c>
      <c r="R62" s="575" t="s">
        <v>331</v>
      </c>
      <c r="S62" s="575" t="s">
        <v>14</v>
      </c>
      <c r="T62" s="575" t="s">
        <v>14</v>
      </c>
      <c r="U62" s="618" t="s">
        <v>325</v>
      </c>
      <c r="V62" s="618" t="s">
        <v>325</v>
      </c>
      <c r="W62" s="721" t="s">
        <v>404</v>
      </c>
      <c r="X62" s="618" t="s">
        <v>325</v>
      </c>
      <c r="Y62" s="618" t="s">
        <v>325</v>
      </c>
      <c r="Z62" s="617" t="s">
        <v>173</v>
      </c>
      <c r="AA62" s="617" t="s">
        <v>173</v>
      </c>
      <c r="AB62" s="618" t="s">
        <v>325</v>
      </c>
      <c r="AC62" s="618" t="s">
        <v>325</v>
      </c>
      <c r="AD62" s="618" t="s">
        <v>325</v>
      </c>
      <c r="AE62" s="746" t="s">
        <v>325</v>
      </c>
      <c r="AH62" s="840">
        <v>16</v>
      </c>
      <c r="AI62" s="840">
        <v>3</v>
      </c>
      <c r="AJ62" s="623">
        <f t="shared" si="11"/>
        <v>128</v>
      </c>
      <c r="AK62" s="623">
        <f t="shared" si="12"/>
        <v>21</v>
      </c>
      <c r="AL62" s="623">
        <f t="shared" si="13"/>
        <v>149</v>
      </c>
    </row>
    <row r="63" spans="1:38" ht="25.5" customHeight="1">
      <c r="AG63" s="623" t="s">
        <v>405</v>
      </c>
    </row>
    <row r="64" spans="1:38" ht="25.5" customHeight="1">
      <c r="B64" s="871" t="s">
        <v>406</v>
      </c>
      <c r="C64" s="872"/>
      <c r="D64" s="872"/>
      <c r="E64" s="872"/>
      <c r="F64" s="872"/>
      <c r="G64" s="872"/>
      <c r="H64" s="872"/>
      <c r="I64" s="872"/>
      <c r="J64" s="872"/>
      <c r="K64" s="872"/>
      <c r="L64" s="872"/>
      <c r="M64" s="872"/>
      <c r="N64" s="872"/>
      <c r="O64" s="872"/>
      <c r="P64" s="872"/>
      <c r="Q64" s="872"/>
      <c r="R64" s="872"/>
      <c r="S64" s="872"/>
      <c r="T64" s="872"/>
      <c r="U64" s="872"/>
      <c r="V64" s="872"/>
      <c r="W64" s="872"/>
      <c r="X64" s="872"/>
      <c r="Y64" s="872"/>
      <c r="Z64" s="872"/>
      <c r="AA64" s="872"/>
      <c r="AB64" s="872"/>
      <c r="AC64" s="872"/>
      <c r="AD64" s="872"/>
      <c r="AE64" s="872"/>
      <c r="AF64" s="873"/>
    </row>
    <row r="65" spans="1:38" ht="25.5" customHeight="1">
      <c r="A65" s="869" t="s">
        <v>407</v>
      </c>
      <c r="B65" s="633" t="s">
        <v>9</v>
      </c>
      <c r="C65" s="634" t="s">
        <v>84</v>
      </c>
      <c r="D65" s="635" t="s">
        <v>85</v>
      </c>
      <c r="E65" s="634" t="s">
        <v>86</v>
      </c>
      <c r="F65" s="634" t="s">
        <v>87</v>
      </c>
      <c r="G65" s="634" t="s">
        <v>44</v>
      </c>
      <c r="H65" s="634" t="s">
        <v>28</v>
      </c>
      <c r="I65" s="634" t="s">
        <v>9</v>
      </c>
      <c r="J65" s="634" t="s">
        <v>84</v>
      </c>
      <c r="K65" s="635" t="s">
        <v>85</v>
      </c>
      <c r="L65" s="634" t="s">
        <v>86</v>
      </c>
      <c r="M65" s="634" t="s">
        <v>87</v>
      </c>
      <c r="N65" s="634" t="s">
        <v>44</v>
      </c>
      <c r="O65" s="634" t="s">
        <v>28</v>
      </c>
      <c r="P65" s="634" t="s">
        <v>9</v>
      </c>
      <c r="Q65" s="634" t="s">
        <v>84</v>
      </c>
      <c r="R65" s="635" t="s">
        <v>85</v>
      </c>
      <c r="S65" s="634" t="s">
        <v>86</v>
      </c>
      <c r="T65" s="634" t="s">
        <v>87</v>
      </c>
      <c r="U65" s="634" t="s">
        <v>44</v>
      </c>
      <c r="V65" s="634" t="s">
        <v>28</v>
      </c>
      <c r="W65" s="634" t="s">
        <v>9</v>
      </c>
      <c r="X65" s="634" t="s">
        <v>84</v>
      </c>
      <c r="Y65" s="635" t="s">
        <v>85</v>
      </c>
      <c r="Z65" s="634" t="s">
        <v>86</v>
      </c>
      <c r="AA65" s="634" t="s">
        <v>87</v>
      </c>
      <c r="AB65" s="634" t="s">
        <v>44</v>
      </c>
      <c r="AC65" s="634" t="s">
        <v>28</v>
      </c>
      <c r="AD65" s="634" t="s">
        <v>9</v>
      </c>
      <c r="AE65" s="634" t="s">
        <v>84</v>
      </c>
      <c r="AF65" s="744" t="s">
        <v>85</v>
      </c>
    </row>
    <row r="66" spans="1:38" ht="25.5" customHeight="1">
      <c r="A66" s="870"/>
      <c r="B66" s="765">
        <v>1</v>
      </c>
      <c r="C66" s="685">
        <v>2</v>
      </c>
      <c r="D66" s="639">
        <v>3</v>
      </c>
      <c r="E66" s="638">
        <v>4</v>
      </c>
      <c r="F66" s="638">
        <v>5</v>
      </c>
      <c r="G66" s="638">
        <v>6</v>
      </c>
      <c r="H66" s="638">
        <v>7</v>
      </c>
      <c r="I66" s="638">
        <v>8</v>
      </c>
      <c r="J66" s="639">
        <v>9</v>
      </c>
      <c r="K66" s="639">
        <v>10</v>
      </c>
      <c r="L66" s="638">
        <v>11</v>
      </c>
      <c r="M66" s="638">
        <v>12</v>
      </c>
      <c r="N66" s="638">
        <v>13</v>
      </c>
      <c r="O66" s="638">
        <v>14</v>
      </c>
      <c r="P66" s="702">
        <v>15</v>
      </c>
      <c r="Q66" s="639">
        <v>16</v>
      </c>
      <c r="R66" s="639">
        <v>17</v>
      </c>
      <c r="S66" s="638">
        <v>18</v>
      </c>
      <c r="T66" s="638">
        <v>19</v>
      </c>
      <c r="U66" s="638">
        <v>20</v>
      </c>
      <c r="V66" s="638">
        <v>21</v>
      </c>
      <c r="W66" s="638">
        <v>22</v>
      </c>
      <c r="X66" s="639">
        <v>23</v>
      </c>
      <c r="Y66" s="639">
        <v>24</v>
      </c>
      <c r="Z66" s="638">
        <v>25</v>
      </c>
      <c r="AA66" s="638">
        <v>26</v>
      </c>
      <c r="AB66" s="638">
        <v>27</v>
      </c>
      <c r="AC66" s="638">
        <v>28</v>
      </c>
      <c r="AD66" s="638">
        <v>29</v>
      </c>
      <c r="AE66" s="685">
        <v>30</v>
      </c>
      <c r="AF66" s="737">
        <v>31</v>
      </c>
      <c r="AH66" s="840" t="s">
        <v>342</v>
      </c>
      <c r="AI66" s="840" t="s">
        <v>9</v>
      </c>
      <c r="AL66" s="623" t="s">
        <v>386</v>
      </c>
    </row>
    <row r="67" spans="1:38" ht="25.5" customHeight="1">
      <c r="A67" s="650" t="s">
        <v>345</v>
      </c>
      <c r="B67" s="775" t="s">
        <v>173</v>
      </c>
      <c r="C67" s="579" t="s">
        <v>173</v>
      </c>
      <c r="D67" s="579" t="s">
        <v>173</v>
      </c>
      <c r="E67" s="602" t="s">
        <v>329</v>
      </c>
      <c r="F67" s="602" t="s">
        <v>329</v>
      </c>
      <c r="G67" s="602" t="s">
        <v>329</v>
      </c>
      <c r="H67" s="602" t="s">
        <v>329</v>
      </c>
      <c r="I67" s="602" t="s">
        <v>329</v>
      </c>
      <c r="J67" s="579" t="s">
        <v>173</v>
      </c>
      <c r="K67" s="579" t="s">
        <v>173</v>
      </c>
      <c r="L67" s="602" t="s">
        <v>329</v>
      </c>
      <c r="M67" s="602" t="s">
        <v>329</v>
      </c>
      <c r="N67" s="852" t="s">
        <v>408</v>
      </c>
      <c r="O67" s="602" t="s">
        <v>329</v>
      </c>
      <c r="P67" s="731" t="s">
        <v>173</v>
      </c>
      <c r="Q67" s="579" t="s">
        <v>173</v>
      </c>
      <c r="R67" s="579" t="s">
        <v>173</v>
      </c>
      <c r="S67" s="852" t="s">
        <v>409</v>
      </c>
      <c r="T67" s="852" t="s">
        <v>409</v>
      </c>
      <c r="U67" s="852" t="s">
        <v>410</v>
      </c>
      <c r="V67" s="602" t="s">
        <v>329</v>
      </c>
      <c r="W67" s="602" t="s">
        <v>329</v>
      </c>
      <c r="X67" s="598" t="s">
        <v>411</v>
      </c>
      <c r="Y67" s="579" t="s">
        <v>173</v>
      </c>
      <c r="Z67" s="598" t="s">
        <v>412</v>
      </c>
      <c r="AA67" s="598" t="s">
        <v>413</v>
      </c>
      <c r="AB67" s="598" t="s">
        <v>414</v>
      </c>
      <c r="AC67" s="602" t="s">
        <v>329</v>
      </c>
      <c r="AD67" s="602" t="s">
        <v>329</v>
      </c>
      <c r="AE67" s="579" t="s">
        <v>173</v>
      </c>
      <c r="AF67" s="711" t="s">
        <v>173</v>
      </c>
      <c r="AH67" s="840">
        <v>16</v>
      </c>
      <c r="AI67" s="840">
        <v>3</v>
      </c>
      <c r="AJ67" s="623">
        <f t="shared" si="11"/>
        <v>128</v>
      </c>
      <c r="AK67" s="623">
        <f t="shared" si="12"/>
        <v>21</v>
      </c>
      <c r="AL67" s="623">
        <f t="shared" si="13"/>
        <v>149</v>
      </c>
    </row>
    <row r="68" spans="1:38" ht="25.5" customHeight="1">
      <c r="A68" s="678" t="s">
        <v>347</v>
      </c>
      <c r="B68" s="662" t="s">
        <v>173</v>
      </c>
      <c r="C68" s="574" t="s">
        <v>173</v>
      </c>
      <c r="D68" s="574" t="s">
        <v>173</v>
      </c>
      <c r="E68" s="600" t="s">
        <v>329</v>
      </c>
      <c r="F68" s="600" t="s">
        <v>329</v>
      </c>
      <c r="G68" s="600" t="s">
        <v>329</v>
      </c>
      <c r="H68" s="600" t="s">
        <v>329</v>
      </c>
      <c r="I68" s="600" t="s">
        <v>329</v>
      </c>
      <c r="J68" s="572" t="s">
        <v>415</v>
      </c>
      <c r="K68" s="574" t="s">
        <v>173</v>
      </c>
      <c r="L68" s="600" t="s">
        <v>329</v>
      </c>
      <c r="M68" s="600" t="s">
        <v>329</v>
      </c>
      <c r="N68" s="600" t="s">
        <v>329</v>
      </c>
      <c r="O68" s="600" t="s">
        <v>329</v>
      </c>
      <c r="P68" s="706" t="s">
        <v>173</v>
      </c>
      <c r="Q68" s="574" t="s">
        <v>173</v>
      </c>
      <c r="R68" s="574" t="s">
        <v>173</v>
      </c>
      <c r="S68" s="600" t="s">
        <v>329</v>
      </c>
      <c r="T68" s="600" t="s">
        <v>329</v>
      </c>
      <c r="U68" s="600" t="s">
        <v>329</v>
      </c>
      <c r="V68" s="600" t="s">
        <v>329</v>
      </c>
      <c r="W68" s="600" t="s">
        <v>329</v>
      </c>
      <c r="X68" s="572" t="s">
        <v>411</v>
      </c>
      <c r="Y68" s="574" t="s">
        <v>173</v>
      </c>
      <c r="Z68" s="600" t="s">
        <v>329</v>
      </c>
      <c r="AA68" s="572" t="s">
        <v>413</v>
      </c>
      <c r="AB68" s="600" t="s">
        <v>329</v>
      </c>
      <c r="AC68" s="600" t="s">
        <v>329</v>
      </c>
      <c r="AD68" s="600" t="s">
        <v>329</v>
      </c>
      <c r="AE68" s="574" t="s">
        <v>173</v>
      </c>
      <c r="AF68" s="712" t="s">
        <v>173</v>
      </c>
      <c r="AH68" s="840">
        <v>16</v>
      </c>
      <c r="AI68" s="840">
        <v>3</v>
      </c>
      <c r="AJ68" s="623">
        <f t="shared" si="11"/>
        <v>128</v>
      </c>
      <c r="AK68" s="623">
        <f t="shared" si="12"/>
        <v>21</v>
      </c>
      <c r="AL68" s="623">
        <f t="shared" si="13"/>
        <v>149</v>
      </c>
    </row>
    <row r="69" spans="1:38" ht="25.5" customHeight="1">
      <c r="A69" s="650" t="s">
        <v>349</v>
      </c>
      <c r="B69" s="662" t="s">
        <v>173</v>
      </c>
      <c r="C69" s="574" t="s">
        <v>173</v>
      </c>
      <c r="D69" s="574" t="s">
        <v>173</v>
      </c>
      <c r="E69" s="573" t="s">
        <v>327</v>
      </c>
      <c r="F69" s="573" t="s">
        <v>327</v>
      </c>
      <c r="G69" s="573" t="s">
        <v>327</v>
      </c>
      <c r="H69" s="573" t="s">
        <v>327</v>
      </c>
      <c r="I69" s="577" t="s">
        <v>327</v>
      </c>
      <c r="J69" s="574" t="s">
        <v>173</v>
      </c>
      <c r="K69" s="574" t="s">
        <v>173</v>
      </c>
      <c r="L69" s="573" t="s">
        <v>327</v>
      </c>
      <c r="M69" s="573" t="s">
        <v>327</v>
      </c>
      <c r="N69" s="573" t="s">
        <v>327</v>
      </c>
      <c r="O69" s="573" t="s">
        <v>327</v>
      </c>
      <c r="P69" s="706" t="s">
        <v>173</v>
      </c>
      <c r="Q69" s="574" t="s">
        <v>173</v>
      </c>
      <c r="R69" s="574" t="s">
        <v>173</v>
      </c>
      <c r="S69" s="573" t="s">
        <v>327</v>
      </c>
      <c r="T69" s="573" t="s">
        <v>327</v>
      </c>
      <c r="U69" s="573" t="s">
        <v>327</v>
      </c>
      <c r="V69" s="573" t="s">
        <v>327</v>
      </c>
      <c r="W69" s="577" t="s">
        <v>327</v>
      </c>
      <c r="X69" s="574" t="s">
        <v>173</v>
      </c>
      <c r="Y69" s="574" t="s">
        <v>173</v>
      </c>
      <c r="Z69" s="573" t="s">
        <v>327</v>
      </c>
      <c r="AA69" s="573" t="s">
        <v>327</v>
      </c>
      <c r="AB69" s="573" t="s">
        <v>327</v>
      </c>
      <c r="AC69" s="572" t="s">
        <v>416</v>
      </c>
      <c r="AD69" s="577" t="s">
        <v>327</v>
      </c>
      <c r="AE69" s="574" t="s">
        <v>173</v>
      </c>
      <c r="AF69" s="712" t="s">
        <v>173</v>
      </c>
      <c r="AH69" s="840">
        <v>16</v>
      </c>
      <c r="AI69" s="840">
        <v>3</v>
      </c>
      <c r="AJ69" s="623">
        <f t="shared" si="11"/>
        <v>128</v>
      </c>
      <c r="AK69" s="623">
        <f t="shared" si="12"/>
        <v>21</v>
      </c>
      <c r="AL69" s="623">
        <f t="shared" si="13"/>
        <v>149</v>
      </c>
    </row>
    <row r="70" spans="1:38" ht="25.5" customHeight="1">
      <c r="A70" s="654" t="s">
        <v>353</v>
      </c>
      <c r="B70" s="662" t="s">
        <v>173</v>
      </c>
      <c r="C70" s="574" t="s">
        <v>173</v>
      </c>
      <c r="D70" s="574" t="s">
        <v>173</v>
      </c>
      <c r="E70" s="600" t="s">
        <v>329</v>
      </c>
      <c r="F70" s="600" t="s">
        <v>329</v>
      </c>
      <c r="G70" s="600" t="s">
        <v>329</v>
      </c>
      <c r="H70" s="600" t="s">
        <v>329</v>
      </c>
      <c r="I70" s="600" t="s">
        <v>329</v>
      </c>
      <c r="J70" s="574" t="s">
        <v>173</v>
      </c>
      <c r="K70" s="574" t="s">
        <v>173</v>
      </c>
      <c r="L70" s="573" t="s">
        <v>327</v>
      </c>
      <c r="M70" s="573" t="s">
        <v>327</v>
      </c>
      <c r="N70" s="573" t="s">
        <v>327</v>
      </c>
      <c r="O70" s="573" t="s">
        <v>327</v>
      </c>
      <c r="P70" s="706" t="s">
        <v>173</v>
      </c>
      <c r="Q70" s="574" t="s">
        <v>173</v>
      </c>
      <c r="R70" s="574" t="s">
        <v>173</v>
      </c>
      <c r="S70" s="573" t="s">
        <v>327</v>
      </c>
      <c r="T70" s="600" t="s">
        <v>329</v>
      </c>
      <c r="U70" s="600" t="s">
        <v>329</v>
      </c>
      <c r="V70" s="600" t="s">
        <v>329</v>
      </c>
      <c r="W70" s="600" t="s">
        <v>329</v>
      </c>
      <c r="X70" s="574" t="s">
        <v>173</v>
      </c>
      <c r="Y70" s="574" t="s">
        <v>173</v>
      </c>
      <c r="Z70" s="573" t="s">
        <v>327</v>
      </c>
      <c r="AA70" s="573" t="s">
        <v>327</v>
      </c>
      <c r="AB70" s="573" t="s">
        <v>327</v>
      </c>
      <c r="AC70" s="573" t="s">
        <v>327</v>
      </c>
      <c r="AD70" s="577" t="s">
        <v>327</v>
      </c>
      <c r="AE70" s="574" t="s">
        <v>173</v>
      </c>
      <c r="AF70" s="712" t="s">
        <v>173</v>
      </c>
      <c r="AH70" s="840">
        <v>16</v>
      </c>
      <c r="AI70" s="840">
        <v>3</v>
      </c>
      <c r="AJ70" s="623">
        <f t="shared" si="11"/>
        <v>128</v>
      </c>
      <c r="AK70" s="623">
        <f t="shared" si="12"/>
        <v>21</v>
      </c>
      <c r="AL70" s="623">
        <f t="shared" si="13"/>
        <v>149</v>
      </c>
    </row>
    <row r="71" spans="1:38" ht="25.5" customHeight="1">
      <c r="A71" s="659" t="s">
        <v>354</v>
      </c>
      <c r="B71" s="662" t="s">
        <v>173</v>
      </c>
      <c r="C71" s="574" t="s">
        <v>173</v>
      </c>
      <c r="D71" s="574" t="s">
        <v>173</v>
      </c>
      <c r="E71" s="576" t="s">
        <v>331</v>
      </c>
      <c r="F71" s="576" t="s">
        <v>331</v>
      </c>
      <c r="G71" s="576" t="s">
        <v>331</v>
      </c>
      <c r="H71" s="576" t="s">
        <v>331</v>
      </c>
      <c r="I71" s="576" t="s">
        <v>331</v>
      </c>
      <c r="J71" s="576" t="s">
        <v>14</v>
      </c>
      <c r="K71" s="576" t="s">
        <v>14</v>
      </c>
      <c r="L71" s="609" t="s">
        <v>325</v>
      </c>
      <c r="M71" s="851" t="s">
        <v>417</v>
      </c>
      <c r="N71" s="851" t="s">
        <v>417</v>
      </c>
      <c r="O71" s="609" t="s">
        <v>325</v>
      </c>
      <c r="P71" s="706" t="s">
        <v>173</v>
      </c>
      <c r="Q71" s="574" t="s">
        <v>173</v>
      </c>
      <c r="R71" s="574" t="s">
        <v>173</v>
      </c>
      <c r="S71" s="609" t="s">
        <v>325</v>
      </c>
      <c r="T71" s="609" t="s">
        <v>325</v>
      </c>
      <c r="U71" s="609" t="s">
        <v>325</v>
      </c>
      <c r="V71" s="609" t="s">
        <v>325</v>
      </c>
      <c r="W71" s="572" t="s">
        <v>380</v>
      </c>
      <c r="X71" s="572" t="s">
        <v>352</v>
      </c>
      <c r="Y71" s="574" t="s">
        <v>173</v>
      </c>
      <c r="Z71" s="600" t="s">
        <v>329</v>
      </c>
      <c r="AA71" s="600" t="s">
        <v>329</v>
      </c>
      <c r="AB71" s="600" t="s">
        <v>329</v>
      </c>
      <c r="AC71" s="600" t="s">
        <v>329</v>
      </c>
      <c r="AD71" s="600" t="s">
        <v>329</v>
      </c>
      <c r="AE71" s="574" t="s">
        <v>173</v>
      </c>
      <c r="AF71" s="712" t="s">
        <v>173</v>
      </c>
      <c r="AH71" s="840">
        <v>16</v>
      </c>
      <c r="AI71" s="840">
        <v>3</v>
      </c>
      <c r="AJ71" s="623">
        <f t="shared" si="11"/>
        <v>128</v>
      </c>
      <c r="AK71" s="623">
        <f t="shared" si="12"/>
        <v>21</v>
      </c>
      <c r="AL71" s="623">
        <f t="shared" si="13"/>
        <v>149</v>
      </c>
    </row>
    <row r="72" spans="1:38" ht="25.5" customHeight="1">
      <c r="A72" s="661" t="s">
        <v>360</v>
      </c>
      <c r="B72" s="611" t="s">
        <v>14</v>
      </c>
      <c r="C72" s="576" t="s">
        <v>14</v>
      </c>
      <c r="D72" s="576" t="s">
        <v>14</v>
      </c>
      <c r="E72" s="609" t="s">
        <v>325</v>
      </c>
      <c r="F72" s="609" t="s">
        <v>325</v>
      </c>
      <c r="G72" s="609" t="s">
        <v>325</v>
      </c>
      <c r="H72" s="609" t="s">
        <v>325</v>
      </c>
      <c r="I72" s="609" t="s">
        <v>325</v>
      </c>
      <c r="J72" s="574" t="s">
        <v>173</v>
      </c>
      <c r="K72" s="574" t="s">
        <v>173</v>
      </c>
      <c r="L72" s="576" t="s">
        <v>331</v>
      </c>
      <c r="M72" s="576" t="s">
        <v>331</v>
      </c>
      <c r="N72" s="576" t="s">
        <v>331</v>
      </c>
      <c r="O72" s="576" t="s">
        <v>331</v>
      </c>
      <c r="P72" s="576" t="s">
        <v>14</v>
      </c>
      <c r="Q72" s="576" t="s">
        <v>14</v>
      </c>
      <c r="R72" s="576" t="s">
        <v>14</v>
      </c>
      <c r="S72" s="600" t="s">
        <v>329</v>
      </c>
      <c r="T72" s="600" t="s">
        <v>329</v>
      </c>
      <c r="U72" s="600" t="s">
        <v>329</v>
      </c>
      <c r="V72" s="600" t="s">
        <v>329</v>
      </c>
      <c r="W72" s="600" t="s">
        <v>329</v>
      </c>
      <c r="X72" s="574" t="s">
        <v>173</v>
      </c>
      <c r="Y72" s="574" t="s">
        <v>173</v>
      </c>
      <c r="Z72" s="609" t="s">
        <v>325</v>
      </c>
      <c r="AA72" s="609" t="s">
        <v>325</v>
      </c>
      <c r="AB72" s="609" t="s">
        <v>325</v>
      </c>
      <c r="AC72" s="609" t="s">
        <v>325</v>
      </c>
      <c r="AD72" s="609" t="s">
        <v>325</v>
      </c>
      <c r="AE72" s="574" t="s">
        <v>173</v>
      </c>
      <c r="AF72" s="712" t="s">
        <v>173</v>
      </c>
      <c r="AH72" s="840">
        <v>16</v>
      </c>
      <c r="AI72" s="840">
        <v>3</v>
      </c>
      <c r="AJ72" s="623">
        <f t="shared" si="11"/>
        <v>128</v>
      </c>
      <c r="AK72" s="623">
        <f t="shared" si="12"/>
        <v>21</v>
      </c>
      <c r="AL72" s="623">
        <f t="shared" si="13"/>
        <v>149</v>
      </c>
    </row>
    <row r="73" spans="1:38" ht="25.5" customHeight="1">
      <c r="A73" s="659" t="s">
        <v>363</v>
      </c>
      <c r="B73" s="662" t="s">
        <v>173</v>
      </c>
      <c r="C73" s="574" t="s">
        <v>173</v>
      </c>
      <c r="D73" s="574" t="s">
        <v>173</v>
      </c>
      <c r="E73" s="609" t="s">
        <v>325</v>
      </c>
      <c r="F73" s="609" t="s">
        <v>325</v>
      </c>
      <c r="G73" s="609" t="s">
        <v>325</v>
      </c>
      <c r="H73" s="609" t="s">
        <v>325</v>
      </c>
      <c r="I73" s="572" t="s">
        <v>380</v>
      </c>
      <c r="J73" s="572" t="s">
        <v>352</v>
      </c>
      <c r="K73" s="574"/>
      <c r="L73" s="600" t="s">
        <v>383</v>
      </c>
      <c r="M73" s="572" t="s">
        <v>418</v>
      </c>
      <c r="N73" s="572" t="s">
        <v>419</v>
      </c>
      <c r="O73" s="600" t="s">
        <v>383</v>
      </c>
      <c r="P73" s="706" t="s">
        <v>173</v>
      </c>
      <c r="Q73" s="574" t="s">
        <v>173</v>
      </c>
      <c r="R73" s="574"/>
      <c r="S73" s="851" t="s">
        <v>420</v>
      </c>
      <c r="T73" s="851" t="s">
        <v>420</v>
      </c>
      <c r="U73" s="851" t="s">
        <v>421</v>
      </c>
      <c r="V73" s="576" t="s">
        <v>331</v>
      </c>
      <c r="W73" s="576" t="s">
        <v>331</v>
      </c>
      <c r="X73" s="576" t="s">
        <v>14</v>
      </c>
      <c r="Y73" s="576" t="s">
        <v>14</v>
      </c>
      <c r="Z73" s="609" t="s">
        <v>325</v>
      </c>
      <c r="AA73" s="609" t="s">
        <v>325</v>
      </c>
      <c r="AB73" s="609" t="s">
        <v>325</v>
      </c>
      <c r="AC73" s="609" t="s">
        <v>325</v>
      </c>
      <c r="AD73" s="609" t="s">
        <v>325</v>
      </c>
      <c r="AE73" s="574" t="s">
        <v>173</v>
      </c>
      <c r="AF73" s="712" t="s">
        <v>173</v>
      </c>
      <c r="AH73" s="840">
        <v>16</v>
      </c>
      <c r="AI73" s="840">
        <v>3</v>
      </c>
      <c r="AJ73" s="623">
        <f t="shared" si="11"/>
        <v>128</v>
      </c>
      <c r="AK73" s="623">
        <f t="shared" si="12"/>
        <v>21</v>
      </c>
      <c r="AL73" s="623">
        <f t="shared" si="13"/>
        <v>149</v>
      </c>
    </row>
    <row r="74" spans="1:38" ht="25.5" customHeight="1">
      <c r="A74" s="665" t="s">
        <v>364</v>
      </c>
      <c r="B74" s="666" t="s">
        <v>173</v>
      </c>
      <c r="C74" s="617" t="s">
        <v>173</v>
      </c>
      <c r="D74" s="617" t="s">
        <v>173</v>
      </c>
      <c r="E74" s="616" t="s">
        <v>329</v>
      </c>
      <c r="F74" s="599" t="s">
        <v>422</v>
      </c>
      <c r="G74" s="616" t="s">
        <v>329</v>
      </c>
      <c r="H74" s="616" t="s">
        <v>329</v>
      </c>
      <c r="I74" s="616" t="s">
        <v>329</v>
      </c>
      <c r="J74" s="617" t="s">
        <v>173</v>
      </c>
      <c r="K74" s="617" t="s">
        <v>173</v>
      </c>
      <c r="L74" s="618" t="s">
        <v>325</v>
      </c>
      <c r="M74" s="599" t="s">
        <v>423</v>
      </c>
      <c r="N74" s="618" t="s">
        <v>325</v>
      </c>
      <c r="O74" s="618" t="s">
        <v>325</v>
      </c>
      <c r="P74" s="667" t="s">
        <v>173</v>
      </c>
      <c r="Q74" s="617" t="s">
        <v>173</v>
      </c>
      <c r="R74" s="617" t="s">
        <v>173</v>
      </c>
      <c r="S74" s="618" t="s">
        <v>325</v>
      </c>
      <c r="T74" s="618" t="s">
        <v>325</v>
      </c>
      <c r="U74" s="618" t="s">
        <v>325</v>
      </c>
      <c r="V74" s="618" t="s">
        <v>325</v>
      </c>
      <c r="W74" s="618" t="s">
        <v>325</v>
      </c>
      <c r="X74" s="617" t="s">
        <v>173</v>
      </c>
      <c r="Y74" s="617" t="s">
        <v>173</v>
      </c>
      <c r="Z74" s="575" t="s">
        <v>331</v>
      </c>
      <c r="AA74" s="575" t="s">
        <v>331</v>
      </c>
      <c r="AB74" s="575" t="s">
        <v>331</v>
      </c>
      <c r="AC74" s="575" t="s">
        <v>331</v>
      </c>
      <c r="AD74" s="575" t="s">
        <v>14</v>
      </c>
      <c r="AE74" s="575" t="s">
        <v>14</v>
      </c>
      <c r="AF74" s="741" t="s">
        <v>14</v>
      </c>
      <c r="AH74" s="840">
        <v>16</v>
      </c>
      <c r="AI74" s="840">
        <v>3</v>
      </c>
      <c r="AJ74" s="623">
        <f t="shared" si="11"/>
        <v>128</v>
      </c>
      <c r="AK74" s="623">
        <f t="shared" si="12"/>
        <v>21</v>
      </c>
      <c r="AL74" s="623">
        <f t="shared" si="13"/>
        <v>149</v>
      </c>
    </row>
    <row r="75" spans="1:38" ht="25.5" customHeight="1"/>
    <row r="76" spans="1:38" ht="25.5" customHeight="1">
      <c r="B76" s="871" t="s">
        <v>424</v>
      </c>
      <c r="C76" s="872"/>
      <c r="D76" s="872"/>
      <c r="E76" s="872"/>
      <c r="F76" s="872"/>
      <c r="G76" s="872"/>
      <c r="H76" s="872"/>
      <c r="I76" s="872"/>
      <c r="J76" s="872"/>
      <c r="K76" s="872"/>
      <c r="L76" s="872"/>
      <c r="M76" s="872"/>
      <c r="N76" s="872"/>
      <c r="O76" s="872"/>
      <c r="P76" s="872"/>
      <c r="Q76" s="872"/>
      <c r="R76" s="872"/>
      <c r="S76" s="872"/>
      <c r="T76" s="872"/>
      <c r="U76" s="872"/>
      <c r="V76" s="872"/>
      <c r="W76" s="872"/>
      <c r="X76" s="872"/>
      <c r="Y76" s="872"/>
      <c r="Z76" s="872"/>
      <c r="AA76" s="872"/>
      <c r="AB76" s="872"/>
      <c r="AC76" s="872"/>
      <c r="AD76" s="872"/>
      <c r="AE76" s="873"/>
    </row>
    <row r="77" spans="1:38" ht="25.5" customHeight="1">
      <c r="A77" s="869" t="s">
        <v>341</v>
      </c>
      <c r="B77" s="633" t="s">
        <v>86</v>
      </c>
      <c r="C77" s="634" t="s">
        <v>87</v>
      </c>
      <c r="D77" s="634" t="s">
        <v>44</v>
      </c>
      <c r="E77" s="634" t="s">
        <v>28</v>
      </c>
      <c r="F77" s="634" t="s">
        <v>9</v>
      </c>
      <c r="G77" s="634" t="s">
        <v>84</v>
      </c>
      <c r="H77" s="635" t="s">
        <v>85</v>
      </c>
      <c r="I77" s="634" t="s">
        <v>86</v>
      </c>
      <c r="J77" s="634" t="s">
        <v>87</v>
      </c>
      <c r="K77" s="634" t="s">
        <v>44</v>
      </c>
      <c r="L77" s="634" t="s">
        <v>28</v>
      </c>
      <c r="M77" s="634" t="s">
        <v>9</v>
      </c>
      <c r="N77" s="634" t="s">
        <v>84</v>
      </c>
      <c r="O77" s="635" t="s">
        <v>85</v>
      </c>
      <c r="P77" s="634" t="s">
        <v>86</v>
      </c>
      <c r="Q77" s="634" t="s">
        <v>87</v>
      </c>
      <c r="R77" s="634" t="s">
        <v>44</v>
      </c>
      <c r="S77" s="634" t="s">
        <v>28</v>
      </c>
      <c r="T77" s="634" t="s">
        <v>9</v>
      </c>
      <c r="U77" s="634" t="s">
        <v>84</v>
      </c>
      <c r="V77" s="635" t="s">
        <v>85</v>
      </c>
      <c r="W77" s="634" t="s">
        <v>86</v>
      </c>
      <c r="X77" s="634" t="s">
        <v>87</v>
      </c>
      <c r="Y77" s="634" t="s">
        <v>44</v>
      </c>
      <c r="Z77" s="634" t="s">
        <v>28</v>
      </c>
      <c r="AA77" s="634" t="s">
        <v>9</v>
      </c>
      <c r="AB77" s="634" t="s">
        <v>84</v>
      </c>
      <c r="AC77" s="635" t="s">
        <v>85</v>
      </c>
      <c r="AD77" s="634" t="s">
        <v>86</v>
      </c>
      <c r="AE77" s="636" t="s">
        <v>87</v>
      </c>
    </row>
    <row r="78" spans="1:38" ht="25.5" customHeight="1">
      <c r="A78" s="890"/>
      <c r="B78" s="701">
        <v>1</v>
      </c>
      <c r="C78" s="640">
        <v>2</v>
      </c>
      <c r="D78" s="638">
        <v>3</v>
      </c>
      <c r="E78" s="638">
        <v>4</v>
      </c>
      <c r="F78" s="638">
        <v>5</v>
      </c>
      <c r="G78" s="639">
        <v>6</v>
      </c>
      <c r="H78" s="639">
        <v>7</v>
      </c>
      <c r="I78" s="638">
        <v>8</v>
      </c>
      <c r="J78" s="638">
        <v>9</v>
      </c>
      <c r="K78" s="638">
        <v>10</v>
      </c>
      <c r="L78" s="638">
        <v>11</v>
      </c>
      <c r="M78" s="638">
        <v>12</v>
      </c>
      <c r="N78" s="639">
        <v>13</v>
      </c>
      <c r="O78" s="639">
        <v>14</v>
      </c>
      <c r="P78" s="638">
        <v>15</v>
      </c>
      <c r="Q78" s="638">
        <v>16</v>
      </c>
      <c r="R78" s="638">
        <v>17</v>
      </c>
      <c r="S78" s="638">
        <v>18</v>
      </c>
      <c r="T78" s="638">
        <v>19</v>
      </c>
      <c r="U78" s="639">
        <v>20</v>
      </c>
      <c r="V78" s="639">
        <v>21</v>
      </c>
      <c r="W78" s="638">
        <v>22</v>
      </c>
      <c r="X78" s="638">
        <v>23</v>
      </c>
      <c r="Y78" s="638">
        <v>24</v>
      </c>
      <c r="Z78" s="638">
        <v>25</v>
      </c>
      <c r="AA78" s="638">
        <v>26</v>
      </c>
      <c r="AB78" s="639">
        <v>27</v>
      </c>
      <c r="AC78" s="639">
        <v>28</v>
      </c>
      <c r="AD78" s="640">
        <v>29</v>
      </c>
      <c r="AE78" s="641">
        <v>30</v>
      </c>
      <c r="AH78" s="840" t="s">
        <v>342</v>
      </c>
      <c r="AI78" s="840" t="s">
        <v>9</v>
      </c>
      <c r="AL78" s="623" t="s">
        <v>386</v>
      </c>
    </row>
    <row r="79" spans="1:38" ht="25.5" customHeight="1">
      <c r="A79" s="650" t="s">
        <v>345</v>
      </c>
      <c r="B79" s="703" t="s">
        <v>329</v>
      </c>
      <c r="C79" s="602" t="s">
        <v>329</v>
      </c>
      <c r="D79" s="602" t="s">
        <v>329</v>
      </c>
      <c r="E79" s="602" t="s">
        <v>329</v>
      </c>
      <c r="F79" s="602" t="s">
        <v>329</v>
      </c>
      <c r="G79" s="579" t="s">
        <v>173</v>
      </c>
      <c r="H79" s="579" t="s">
        <v>173</v>
      </c>
      <c r="I79" s="602" t="s">
        <v>329</v>
      </c>
      <c r="J79" s="602" t="s">
        <v>329</v>
      </c>
      <c r="K79" s="602" t="s">
        <v>329</v>
      </c>
      <c r="L79" s="602" t="s">
        <v>329</v>
      </c>
      <c r="M79" s="602" t="s">
        <v>329</v>
      </c>
      <c r="N79" s="579" t="s">
        <v>173</v>
      </c>
      <c r="O79" s="579" t="s">
        <v>173</v>
      </c>
      <c r="P79" s="602" t="s">
        <v>329</v>
      </c>
      <c r="Q79" s="602" t="s">
        <v>329</v>
      </c>
      <c r="R79" s="602" t="s">
        <v>329</v>
      </c>
      <c r="S79" s="602" t="s">
        <v>329</v>
      </c>
      <c r="T79" s="602" t="s">
        <v>329</v>
      </c>
      <c r="U79" s="579" t="s">
        <v>173</v>
      </c>
      <c r="V79" s="579" t="s">
        <v>173</v>
      </c>
      <c r="W79" s="602" t="s">
        <v>329</v>
      </c>
      <c r="X79" s="602" t="s">
        <v>329</v>
      </c>
      <c r="Y79" s="602" t="s">
        <v>329</v>
      </c>
      <c r="Z79" s="602" t="s">
        <v>329</v>
      </c>
      <c r="AA79" s="580" t="s">
        <v>9</v>
      </c>
      <c r="AB79" s="580" t="s">
        <v>9</v>
      </c>
      <c r="AC79" s="580" t="s">
        <v>9</v>
      </c>
      <c r="AD79" s="602" t="s">
        <v>329</v>
      </c>
      <c r="AE79" s="604" t="s">
        <v>329</v>
      </c>
      <c r="AH79" s="840">
        <v>18</v>
      </c>
      <c r="AI79" s="840">
        <v>4</v>
      </c>
      <c r="AJ79" s="623">
        <f t="shared" si="11"/>
        <v>144</v>
      </c>
      <c r="AK79" s="623">
        <f t="shared" si="12"/>
        <v>28</v>
      </c>
      <c r="AL79" s="623">
        <f t="shared" si="13"/>
        <v>172</v>
      </c>
    </row>
    <row r="80" spans="1:38" ht="25.5" customHeight="1">
      <c r="A80" s="678" t="s">
        <v>347</v>
      </c>
      <c r="B80" s="704" t="s">
        <v>329</v>
      </c>
      <c r="C80" s="600" t="s">
        <v>329</v>
      </c>
      <c r="D80" s="600" t="s">
        <v>329</v>
      </c>
      <c r="E80" s="600" t="s">
        <v>329</v>
      </c>
      <c r="F80" s="600" t="s">
        <v>329</v>
      </c>
      <c r="G80" s="574" t="s">
        <v>173</v>
      </c>
      <c r="H80" s="574" t="s">
        <v>173</v>
      </c>
      <c r="I80" s="600" t="s">
        <v>329</v>
      </c>
      <c r="J80" s="600" t="s">
        <v>329</v>
      </c>
      <c r="K80" s="600" t="s">
        <v>329</v>
      </c>
      <c r="L80" s="600" t="s">
        <v>329</v>
      </c>
      <c r="M80" s="600" t="s">
        <v>329</v>
      </c>
      <c r="N80" s="574" t="s">
        <v>173</v>
      </c>
      <c r="O80" s="574" t="s">
        <v>173</v>
      </c>
      <c r="P80" s="600" t="s">
        <v>329</v>
      </c>
      <c r="Q80" s="600" t="s">
        <v>329</v>
      </c>
      <c r="R80" s="600" t="s">
        <v>329</v>
      </c>
      <c r="S80" s="600" t="s">
        <v>329</v>
      </c>
      <c r="T80" s="600" t="s">
        <v>329</v>
      </c>
      <c r="U80" s="574" t="s">
        <v>173</v>
      </c>
      <c r="V80" s="574" t="s">
        <v>173</v>
      </c>
      <c r="W80" s="600" t="s">
        <v>329</v>
      </c>
      <c r="X80" s="600" t="s">
        <v>329</v>
      </c>
      <c r="Y80" s="600" t="s">
        <v>329</v>
      </c>
      <c r="Z80" s="600" t="s">
        <v>329</v>
      </c>
      <c r="AA80" s="600" t="s">
        <v>329</v>
      </c>
      <c r="AB80" s="574" t="s">
        <v>173</v>
      </c>
      <c r="AC80" s="574" t="s">
        <v>173</v>
      </c>
      <c r="AD80" s="600" t="s">
        <v>329</v>
      </c>
      <c r="AE80" s="606" t="s">
        <v>329</v>
      </c>
      <c r="AH80" s="840">
        <v>18</v>
      </c>
      <c r="AI80" s="840">
        <v>4</v>
      </c>
      <c r="AJ80" s="623">
        <f t="shared" si="11"/>
        <v>144</v>
      </c>
      <c r="AK80" s="623">
        <f t="shared" si="12"/>
        <v>28</v>
      </c>
      <c r="AL80" s="623">
        <f t="shared" si="13"/>
        <v>172</v>
      </c>
    </row>
    <row r="81" spans="1:38" ht="25.5" customHeight="1">
      <c r="A81" s="650" t="s">
        <v>349</v>
      </c>
      <c r="B81" s="705" t="s">
        <v>327</v>
      </c>
      <c r="C81" s="573" t="s">
        <v>327</v>
      </c>
      <c r="D81" s="573" t="s">
        <v>327</v>
      </c>
      <c r="E81" s="573" t="s">
        <v>327</v>
      </c>
      <c r="F81" s="577" t="s">
        <v>327</v>
      </c>
      <c r="G81" s="574" t="s">
        <v>173</v>
      </c>
      <c r="H81" s="574" t="s">
        <v>173</v>
      </c>
      <c r="I81" s="597" t="s">
        <v>9</v>
      </c>
      <c r="J81" s="597" t="s">
        <v>9</v>
      </c>
      <c r="K81" s="597" t="s">
        <v>9</v>
      </c>
      <c r="L81" s="597" t="s">
        <v>9</v>
      </c>
      <c r="M81" s="597" t="s">
        <v>9</v>
      </c>
      <c r="N81" s="597" t="s">
        <v>9</v>
      </c>
      <c r="O81" s="597" t="s">
        <v>9</v>
      </c>
      <c r="P81" s="573" t="s">
        <v>327</v>
      </c>
      <c r="Q81" s="573" t="s">
        <v>327</v>
      </c>
      <c r="R81" s="573" t="s">
        <v>327</v>
      </c>
      <c r="S81" s="573" t="s">
        <v>327</v>
      </c>
      <c r="T81" s="578" t="s">
        <v>351</v>
      </c>
      <c r="U81" s="578" t="s">
        <v>352</v>
      </c>
      <c r="V81" s="574" t="s">
        <v>173</v>
      </c>
      <c r="W81" s="573" t="s">
        <v>327</v>
      </c>
      <c r="X81" s="573" t="s">
        <v>327</v>
      </c>
      <c r="Y81" s="573" t="s">
        <v>327</v>
      </c>
      <c r="Z81" s="573" t="s">
        <v>327</v>
      </c>
      <c r="AA81" s="577" t="s">
        <v>327</v>
      </c>
      <c r="AB81" s="574" t="s">
        <v>173</v>
      </c>
      <c r="AC81" s="574" t="s">
        <v>173</v>
      </c>
      <c r="AD81" s="573" t="s">
        <v>327</v>
      </c>
      <c r="AE81" s="608" t="s">
        <v>327</v>
      </c>
      <c r="AH81" s="840">
        <v>14</v>
      </c>
      <c r="AI81" s="840">
        <v>3</v>
      </c>
      <c r="AJ81" s="623">
        <f t="shared" si="11"/>
        <v>112</v>
      </c>
      <c r="AK81" s="623">
        <f t="shared" si="12"/>
        <v>21</v>
      </c>
      <c r="AL81" s="623">
        <f t="shared" si="13"/>
        <v>133</v>
      </c>
    </row>
    <row r="82" spans="1:38" ht="25.5" customHeight="1">
      <c r="A82" s="654" t="s">
        <v>353</v>
      </c>
      <c r="B82" s="704" t="s">
        <v>329</v>
      </c>
      <c r="C82" s="600" t="s">
        <v>329</v>
      </c>
      <c r="D82" s="600" t="s">
        <v>329</v>
      </c>
      <c r="E82" s="600" t="s">
        <v>329</v>
      </c>
      <c r="F82" s="600" t="s">
        <v>329</v>
      </c>
      <c r="G82" s="574" t="s">
        <v>173</v>
      </c>
      <c r="H82" s="574" t="s">
        <v>173</v>
      </c>
      <c r="I82" s="573" t="s">
        <v>327</v>
      </c>
      <c r="J82" s="573" t="s">
        <v>327</v>
      </c>
      <c r="K82" s="573" t="s">
        <v>327</v>
      </c>
      <c r="L82" s="573" t="s">
        <v>327</v>
      </c>
      <c r="M82" s="577" t="s">
        <v>327</v>
      </c>
      <c r="N82" s="574" t="s">
        <v>173</v>
      </c>
      <c r="O82" s="574" t="s">
        <v>173</v>
      </c>
      <c r="P82" s="600" t="s">
        <v>329</v>
      </c>
      <c r="Q82" s="600" t="s">
        <v>329</v>
      </c>
      <c r="R82" s="600" t="s">
        <v>329</v>
      </c>
      <c r="S82" s="600" t="s">
        <v>329</v>
      </c>
      <c r="T82" s="600" t="s">
        <v>329</v>
      </c>
      <c r="U82" s="574" t="s">
        <v>173</v>
      </c>
      <c r="V82" s="574" t="s">
        <v>173</v>
      </c>
      <c r="W82" s="573" t="s">
        <v>327</v>
      </c>
      <c r="X82" s="573" t="s">
        <v>327</v>
      </c>
      <c r="Y82" s="573" t="s">
        <v>327</v>
      </c>
      <c r="Z82" s="573" t="s">
        <v>327</v>
      </c>
      <c r="AA82" s="577" t="s">
        <v>327</v>
      </c>
      <c r="AB82" s="574" t="s">
        <v>173</v>
      </c>
      <c r="AC82" s="574" t="s">
        <v>173</v>
      </c>
      <c r="AD82" s="600" t="s">
        <v>329</v>
      </c>
      <c r="AE82" s="606" t="s">
        <v>329</v>
      </c>
      <c r="AH82" s="840">
        <v>18</v>
      </c>
      <c r="AI82" s="840">
        <v>4</v>
      </c>
      <c r="AJ82" s="623">
        <f t="shared" si="11"/>
        <v>144</v>
      </c>
      <c r="AK82" s="623">
        <f t="shared" si="12"/>
        <v>28</v>
      </c>
      <c r="AL82" s="623">
        <f t="shared" si="13"/>
        <v>172</v>
      </c>
    </row>
    <row r="83" spans="1:38" ht="25.5" customHeight="1">
      <c r="A83" s="659" t="s">
        <v>354</v>
      </c>
      <c r="B83" s="611" t="s">
        <v>331</v>
      </c>
      <c r="C83" s="576" t="s">
        <v>331</v>
      </c>
      <c r="D83" s="576" t="s">
        <v>331</v>
      </c>
      <c r="E83" s="576" t="s">
        <v>331</v>
      </c>
      <c r="F83" s="576" t="s">
        <v>331</v>
      </c>
      <c r="G83" s="576" t="s">
        <v>14</v>
      </c>
      <c r="H83" s="576" t="s">
        <v>14</v>
      </c>
      <c r="I83" s="597" t="s">
        <v>9</v>
      </c>
      <c r="J83" s="597" t="s">
        <v>9</v>
      </c>
      <c r="K83" s="597" t="s">
        <v>9</v>
      </c>
      <c r="L83" s="597" t="s">
        <v>9</v>
      </c>
      <c r="M83" s="597" t="s">
        <v>9</v>
      </c>
      <c r="N83" s="597" t="s">
        <v>9</v>
      </c>
      <c r="O83" s="597" t="s">
        <v>9</v>
      </c>
      <c r="P83" s="609" t="s">
        <v>325</v>
      </c>
      <c r="Q83" s="609" t="s">
        <v>325</v>
      </c>
      <c r="R83" s="609" t="s">
        <v>325</v>
      </c>
      <c r="S83" s="609" t="s">
        <v>325</v>
      </c>
      <c r="T83" s="609" t="s">
        <v>325</v>
      </c>
      <c r="U83" s="574" t="s">
        <v>173</v>
      </c>
      <c r="V83" s="574" t="s">
        <v>173</v>
      </c>
      <c r="W83" s="576" t="s">
        <v>331</v>
      </c>
      <c r="X83" s="576" t="s">
        <v>331</v>
      </c>
      <c r="Y83" s="576" t="s">
        <v>331</v>
      </c>
      <c r="Z83" s="576" t="s">
        <v>331</v>
      </c>
      <c r="AA83" s="576" t="s">
        <v>331</v>
      </c>
      <c r="AB83" s="576" t="s">
        <v>14</v>
      </c>
      <c r="AC83" s="576" t="s">
        <v>14</v>
      </c>
      <c r="AD83" s="576" t="s">
        <v>331</v>
      </c>
      <c r="AE83" s="610" t="s">
        <v>331</v>
      </c>
      <c r="AH83" s="840">
        <v>14</v>
      </c>
      <c r="AI83" s="840">
        <v>3</v>
      </c>
      <c r="AJ83" s="623">
        <f t="shared" si="11"/>
        <v>112</v>
      </c>
      <c r="AK83" s="623">
        <f t="shared" si="12"/>
        <v>21</v>
      </c>
      <c r="AL83" s="623">
        <f t="shared" si="13"/>
        <v>133</v>
      </c>
    </row>
    <row r="84" spans="1:38" ht="25.5" customHeight="1">
      <c r="A84" s="661" t="s">
        <v>360</v>
      </c>
      <c r="B84" s="709" t="s">
        <v>325</v>
      </c>
      <c r="C84" s="609" t="s">
        <v>325</v>
      </c>
      <c r="D84" s="609" t="s">
        <v>325</v>
      </c>
      <c r="E84" s="609" t="s">
        <v>325</v>
      </c>
      <c r="F84" s="609" t="s">
        <v>325</v>
      </c>
      <c r="G84" s="574" t="s">
        <v>173</v>
      </c>
      <c r="H84" s="574" t="s">
        <v>173</v>
      </c>
      <c r="I84" s="609" t="s">
        <v>325</v>
      </c>
      <c r="J84" s="609" t="s">
        <v>325</v>
      </c>
      <c r="K84" s="609" t="s">
        <v>325</v>
      </c>
      <c r="L84" s="609" t="s">
        <v>325</v>
      </c>
      <c r="M84" s="609" t="s">
        <v>325</v>
      </c>
      <c r="N84" s="574" t="s">
        <v>173</v>
      </c>
      <c r="O84" s="687" t="s">
        <v>173</v>
      </c>
      <c r="P84" s="839" t="s">
        <v>12</v>
      </c>
      <c r="Q84" s="839" t="s">
        <v>12</v>
      </c>
      <c r="R84" s="839" t="s">
        <v>12</v>
      </c>
      <c r="S84" s="839" t="s">
        <v>12</v>
      </c>
      <c r="T84" s="839" t="s">
        <v>12</v>
      </c>
      <c r="U84" s="839" t="s">
        <v>12</v>
      </c>
      <c r="V84" s="839" t="s">
        <v>12</v>
      </c>
      <c r="W84" s="839" t="s">
        <v>12</v>
      </c>
      <c r="X84" s="839" t="s">
        <v>12</v>
      </c>
      <c r="Y84" s="839" t="s">
        <v>12</v>
      </c>
      <c r="Z84" s="839" t="s">
        <v>12</v>
      </c>
      <c r="AA84" s="839" t="s">
        <v>12</v>
      </c>
      <c r="AB84" s="839" t="s">
        <v>12</v>
      </c>
      <c r="AC84" s="839" t="s">
        <v>12</v>
      </c>
      <c r="AD84" s="749" t="s">
        <v>325</v>
      </c>
      <c r="AE84" s="613" t="s">
        <v>325</v>
      </c>
      <c r="AH84" s="840">
        <v>18</v>
      </c>
      <c r="AI84" s="840">
        <v>4</v>
      </c>
      <c r="AJ84" s="623">
        <f t="shared" si="11"/>
        <v>144</v>
      </c>
      <c r="AK84" s="623">
        <f t="shared" si="12"/>
        <v>28</v>
      </c>
      <c r="AL84" s="623">
        <f t="shared" si="13"/>
        <v>172</v>
      </c>
    </row>
    <row r="85" spans="1:38" ht="25.5" customHeight="1">
      <c r="A85" s="659" t="s">
        <v>363</v>
      </c>
      <c r="B85" s="709" t="s">
        <v>325</v>
      </c>
      <c r="C85" s="609" t="s">
        <v>325</v>
      </c>
      <c r="D85" s="609" t="s">
        <v>325</v>
      </c>
      <c r="E85" s="609" t="s">
        <v>325</v>
      </c>
      <c r="F85" s="609" t="s">
        <v>325</v>
      </c>
      <c r="G85" s="574"/>
      <c r="H85" s="574"/>
      <c r="I85" s="609" t="s">
        <v>325</v>
      </c>
      <c r="J85" s="609" t="s">
        <v>325</v>
      </c>
      <c r="K85" s="609" t="s">
        <v>325</v>
      </c>
      <c r="L85" s="609" t="s">
        <v>325</v>
      </c>
      <c r="M85" s="609" t="s">
        <v>325</v>
      </c>
      <c r="N85" s="574" t="s">
        <v>173</v>
      </c>
      <c r="O85" s="574" t="s">
        <v>173</v>
      </c>
      <c r="P85" s="576" t="s">
        <v>331</v>
      </c>
      <c r="Q85" s="576" t="s">
        <v>331</v>
      </c>
      <c r="R85" s="576" t="s">
        <v>331</v>
      </c>
      <c r="S85" s="576" t="s">
        <v>331</v>
      </c>
      <c r="T85" s="576" t="s">
        <v>331</v>
      </c>
      <c r="U85" s="576" t="s">
        <v>14</v>
      </c>
      <c r="V85" s="576" t="s">
        <v>14</v>
      </c>
      <c r="W85" s="609" t="s">
        <v>325</v>
      </c>
      <c r="X85" s="609" t="s">
        <v>325</v>
      </c>
      <c r="Y85" s="609" t="s">
        <v>325</v>
      </c>
      <c r="Z85" s="609" t="s">
        <v>325</v>
      </c>
      <c r="AA85" s="609" t="s">
        <v>325</v>
      </c>
      <c r="AB85" s="574" t="s">
        <v>173</v>
      </c>
      <c r="AC85" s="574" t="s">
        <v>173</v>
      </c>
      <c r="AD85" s="609" t="s">
        <v>325</v>
      </c>
      <c r="AE85" s="613" t="s">
        <v>325</v>
      </c>
      <c r="AH85" s="840">
        <v>18</v>
      </c>
      <c r="AI85" s="840">
        <v>4</v>
      </c>
      <c r="AJ85" s="623">
        <f t="shared" si="11"/>
        <v>144</v>
      </c>
      <c r="AK85" s="623">
        <f t="shared" si="12"/>
        <v>28</v>
      </c>
      <c r="AL85" s="623">
        <f t="shared" si="13"/>
        <v>172</v>
      </c>
    </row>
    <row r="86" spans="1:38" ht="25.5" customHeight="1">
      <c r="A86" s="665" t="s">
        <v>364</v>
      </c>
      <c r="B86" s="733" t="s">
        <v>329</v>
      </c>
      <c r="C86" s="616" t="s">
        <v>329</v>
      </c>
      <c r="D86" s="616" t="s">
        <v>329</v>
      </c>
      <c r="E86" s="616" t="s">
        <v>329</v>
      </c>
      <c r="F86" s="721" t="s">
        <v>355</v>
      </c>
      <c r="G86" s="721" t="s">
        <v>352</v>
      </c>
      <c r="H86" s="617" t="s">
        <v>173</v>
      </c>
      <c r="I86" s="575" t="s">
        <v>331</v>
      </c>
      <c r="J86" s="575" t="s">
        <v>331</v>
      </c>
      <c r="K86" s="575" t="s">
        <v>331</v>
      </c>
      <c r="L86" s="575" t="s">
        <v>331</v>
      </c>
      <c r="M86" s="575" t="s">
        <v>331</v>
      </c>
      <c r="N86" s="575" t="s">
        <v>14</v>
      </c>
      <c r="O86" s="575" t="s">
        <v>14</v>
      </c>
      <c r="P86" s="618" t="s">
        <v>325</v>
      </c>
      <c r="Q86" s="618" t="s">
        <v>325</v>
      </c>
      <c r="R86" s="618" t="s">
        <v>325</v>
      </c>
      <c r="S86" s="618" t="s">
        <v>325</v>
      </c>
      <c r="T86" s="618" t="s">
        <v>325</v>
      </c>
      <c r="U86" s="617" t="s">
        <v>173</v>
      </c>
      <c r="V86" s="617" t="s">
        <v>173</v>
      </c>
      <c r="W86" s="618" t="s">
        <v>325</v>
      </c>
      <c r="X86" s="618" t="s">
        <v>325</v>
      </c>
      <c r="Y86" s="618" t="s">
        <v>325</v>
      </c>
      <c r="Z86" s="618" t="s">
        <v>325</v>
      </c>
      <c r="AA86" s="618" t="s">
        <v>325</v>
      </c>
      <c r="AB86" s="617" t="s">
        <v>173</v>
      </c>
      <c r="AC86" s="617" t="s">
        <v>173</v>
      </c>
      <c r="AD86" s="616" t="s">
        <v>329</v>
      </c>
      <c r="AE86" s="621" t="s">
        <v>329</v>
      </c>
      <c r="AH86" s="840">
        <v>18</v>
      </c>
      <c r="AI86" s="840">
        <v>4</v>
      </c>
      <c r="AJ86" s="623">
        <f t="shared" si="11"/>
        <v>144</v>
      </c>
      <c r="AK86" s="623">
        <f t="shared" si="12"/>
        <v>28</v>
      </c>
      <c r="AL86" s="623">
        <f t="shared" si="13"/>
        <v>172</v>
      </c>
    </row>
    <row r="87" spans="1:38" ht="25.5" customHeight="1"/>
    <row r="88" spans="1:38" ht="25.5" customHeight="1">
      <c r="B88" s="877" t="s">
        <v>425</v>
      </c>
      <c r="C88" s="878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O88" s="878"/>
      <c r="P88" s="878"/>
      <c r="Q88" s="878"/>
      <c r="R88" s="878"/>
      <c r="S88" s="878"/>
      <c r="T88" s="878"/>
      <c r="U88" s="878"/>
      <c r="V88" s="878"/>
      <c r="W88" s="878"/>
      <c r="X88" s="878"/>
      <c r="Y88" s="878"/>
      <c r="Z88" s="878"/>
      <c r="AA88" s="878"/>
      <c r="AB88" s="878"/>
      <c r="AC88" s="878"/>
      <c r="AD88" s="878"/>
      <c r="AE88" s="878"/>
      <c r="AF88" s="879"/>
    </row>
    <row r="89" spans="1:38" ht="25.5" customHeight="1">
      <c r="A89" s="869" t="s">
        <v>341</v>
      </c>
      <c r="B89" s="633" t="s">
        <v>44</v>
      </c>
      <c r="C89" s="634" t="s">
        <v>28</v>
      </c>
      <c r="D89" s="634" t="s">
        <v>9</v>
      </c>
      <c r="E89" s="634" t="s">
        <v>84</v>
      </c>
      <c r="F89" s="635" t="s">
        <v>85</v>
      </c>
      <c r="G89" s="634" t="s">
        <v>86</v>
      </c>
      <c r="H89" s="634" t="s">
        <v>87</v>
      </c>
      <c r="I89" s="634" t="s">
        <v>44</v>
      </c>
      <c r="J89" s="634" t="s">
        <v>28</v>
      </c>
      <c r="K89" s="634" t="s">
        <v>9</v>
      </c>
      <c r="L89" s="634" t="s">
        <v>84</v>
      </c>
      <c r="M89" s="635" t="s">
        <v>85</v>
      </c>
      <c r="N89" s="634" t="s">
        <v>86</v>
      </c>
      <c r="O89" s="634" t="s">
        <v>87</v>
      </c>
      <c r="P89" s="634" t="s">
        <v>44</v>
      </c>
      <c r="Q89" s="634" t="s">
        <v>28</v>
      </c>
      <c r="R89" s="634" t="s">
        <v>9</v>
      </c>
      <c r="S89" s="634" t="s">
        <v>84</v>
      </c>
      <c r="T89" s="635" t="s">
        <v>85</v>
      </c>
      <c r="U89" s="634" t="s">
        <v>86</v>
      </c>
      <c r="V89" s="634" t="s">
        <v>87</v>
      </c>
      <c r="W89" s="634" t="s">
        <v>44</v>
      </c>
      <c r="X89" s="634" t="s">
        <v>28</v>
      </c>
      <c r="Y89" s="634" t="s">
        <v>9</v>
      </c>
      <c r="Z89" s="634" t="s">
        <v>84</v>
      </c>
      <c r="AA89" s="635" t="s">
        <v>85</v>
      </c>
      <c r="AB89" s="634" t="s">
        <v>86</v>
      </c>
      <c r="AC89" s="634" t="s">
        <v>87</v>
      </c>
      <c r="AD89" s="634" t="s">
        <v>44</v>
      </c>
      <c r="AE89" s="634" t="s">
        <v>28</v>
      </c>
      <c r="AF89" s="636" t="s">
        <v>9</v>
      </c>
    </row>
    <row r="90" spans="1:38" ht="25.5" customHeight="1">
      <c r="A90" s="890"/>
      <c r="B90" s="701">
        <v>1</v>
      </c>
      <c r="C90" s="640">
        <v>2</v>
      </c>
      <c r="D90" s="638">
        <v>3</v>
      </c>
      <c r="E90" s="639">
        <v>4</v>
      </c>
      <c r="F90" s="639">
        <v>5</v>
      </c>
      <c r="G90" s="638">
        <v>6</v>
      </c>
      <c r="H90" s="638">
        <v>7</v>
      </c>
      <c r="I90" s="638">
        <v>8</v>
      </c>
      <c r="J90" s="638">
        <v>9</v>
      </c>
      <c r="K90" s="638">
        <v>10</v>
      </c>
      <c r="L90" s="639">
        <v>11</v>
      </c>
      <c r="M90" s="639">
        <v>12</v>
      </c>
      <c r="N90" s="638">
        <v>13</v>
      </c>
      <c r="O90" s="638">
        <v>14</v>
      </c>
      <c r="P90" s="638">
        <v>15</v>
      </c>
      <c r="Q90" s="638">
        <v>16</v>
      </c>
      <c r="R90" s="638">
        <v>17</v>
      </c>
      <c r="S90" s="639">
        <v>18</v>
      </c>
      <c r="T90" s="639">
        <v>19</v>
      </c>
      <c r="U90" s="638">
        <v>20</v>
      </c>
      <c r="V90" s="638">
        <v>21</v>
      </c>
      <c r="W90" s="638">
        <v>22</v>
      </c>
      <c r="X90" s="638">
        <v>23</v>
      </c>
      <c r="Y90" s="638">
        <v>24</v>
      </c>
      <c r="Z90" s="639">
        <v>25</v>
      </c>
      <c r="AA90" s="639">
        <v>26</v>
      </c>
      <c r="AB90" s="638">
        <v>27</v>
      </c>
      <c r="AC90" s="638">
        <v>28</v>
      </c>
      <c r="AD90" s="638">
        <v>29</v>
      </c>
      <c r="AE90" s="640">
        <v>30</v>
      </c>
      <c r="AF90" s="641">
        <v>31</v>
      </c>
      <c r="AH90" s="840" t="s">
        <v>342</v>
      </c>
      <c r="AI90" s="840" t="s">
        <v>9</v>
      </c>
      <c r="AL90" s="623" t="s">
        <v>386</v>
      </c>
    </row>
    <row r="91" spans="1:38" ht="25.5" customHeight="1">
      <c r="A91" s="650" t="s">
        <v>345</v>
      </c>
      <c r="B91" s="729" t="s">
        <v>327</v>
      </c>
      <c r="C91" s="730" t="s">
        <v>327</v>
      </c>
      <c r="D91" s="836" t="s">
        <v>327</v>
      </c>
      <c r="E91" s="579" t="s">
        <v>173</v>
      </c>
      <c r="F91" s="579" t="s">
        <v>173</v>
      </c>
      <c r="G91" s="730" t="s">
        <v>327</v>
      </c>
      <c r="H91" s="730" t="s">
        <v>327</v>
      </c>
      <c r="I91" s="730" t="s">
        <v>327</v>
      </c>
      <c r="J91" s="730" t="s">
        <v>327</v>
      </c>
      <c r="K91" s="836" t="s">
        <v>327</v>
      </c>
      <c r="L91" s="579" t="s">
        <v>173</v>
      </c>
      <c r="M91" s="579" t="s">
        <v>173</v>
      </c>
      <c r="N91" s="730" t="s">
        <v>327</v>
      </c>
      <c r="O91" s="730" t="s">
        <v>327</v>
      </c>
      <c r="P91" s="730" t="s">
        <v>327</v>
      </c>
      <c r="Q91" s="730" t="s">
        <v>327</v>
      </c>
      <c r="R91" s="836" t="s">
        <v>327</v>
      </c>
      <c r="S91" s="579" t="s">
        <v>173</v>
      </c>
      <c r="T91" s="579" t="s">
        <v>173</v>
      </c>
      <c r="U91" s="730" t="s">
        <v>327</v>
      </c>
      <c r="V91" s="730" t="s">
        <v>327</v>
      </c>
      <c r="W91" s="730" t="s">
        <v>327</v>
      </c>
      <c r="X91" s="730" t="s">
        <v>327</v>
      </c>
      <c r="Y91" s="836" t="s">
        <v>327</v>
      </c>
      <c r="Z91" s="579" t="s">
        <v>173</v>
      </c>
      <c r="AA91" s="579" t="s">
        <v>173</v>
      </c>
      <c r="AB91" s="730" t="s">
        <v>327</v>
      </c>
      <c r="AC91" s="730" t="s">
        <v>327</v>
      </c>
      <c r="AD91" s="833" t="s">
        <v>327</v>
      </c>
      <c r="AE91" s="833" t="s">
        <v>327</v>
      </c>
      <c r="AF91" s="834" t="s">
        <v>327</v>
      </c>
      <c r="AH91" s="840">
        <v>18</v>
      </c>
      <c r="AI91" s="840">
        <v>5</v>
      </c>
      <c r="AJ91" s="623">
        <f t="shared" ref="AJ91:AJ98" si="14">AH91*7</f>
        <v>126</v>
      </c>
      <c r="AK91" s="623">
        <f t="shared" si="12"/>
        <v>35</v>
      </c>
      <c r="AL91" s="623">
        <f t="shared" si="13"/>
        <v>161</v>
      </c>
    </row>
    <row r="92" spans="1:38" ht="25.5" customHeight="1">
      <c r="A92" s="678" t="s">
        <v>347</v>
      </c>
      <c r="B92" s="704" t="s">
        <v>329</v>
      </c>
      <c r="C92" s="600" t="s">
        <v>329</v>
      </c>
      <c r="D92" s="600" t="s">
        <v>329</v>
      </c>
      <c r="E92" s="574" t="s">
        <v>173</v>
      </c>
      <c r="F92" s="574" t="s">
        <v>173</v>
      </c>
      <c r="G92" s="600" t="s">
        <v>329</v>
      </c>
      <c r="H92" s="600" t="s">
        <v>329</v>
      </c>
      <c r="I92" s="600" t="s">
        <v>329</v>
      </c>
      <c r="J92" s="600" t="s">
        <v>329</v>
      </c>
      <c r="K92" s="600" t="s">
        <v>329</v>
      </c>
      <c r="L92" s="574" t="s">
        <v>173</v>
      </c>
      <c r="M92" s="574" t="s">
        <v>173</v>
      </c>
      <c r="N92" s="600" t="s">
        <v>329</v>
      </c>
      <c r="O92" s="600" t="s">
        <v>329</v>
      </c>
      <c r="P92" s="600" t="s">
        <v>329</v>
      </c>
      <c r="Q92" s="600" t="s">
        <v>329</v>
      </c>
      <c r="R92" s="600" t="s">
        <v>329</v>
      </c>
      <c r="S92" s="574" t="s">
        <v>173</v>
      </c>
      <c r="T92" s="574" t="s">
        <v>173</v>
      </c>
      <c r="U92" s="600" t="s">
        <v>329</v>
      </c>
      <c r="V92" s="600" t="s">
        <v>329</v>
      </c>
      <c r="W92" s="600" t="s">
        <v>329</v>
      </c>
      <c r="X92" s="600" t="s">
        <v>329</v>
      </c>
      <c r="Y92" s="600" t="s">
        <v>329</v>
      </c>
      <c r="Z92" s="574" t="s">
        <v>173</v>
      </c>
      <c r="AA92" s="574" t="s">
        <v>173</v>
      </c>
      <c r="AB92" s="600" t="s">
        <v>329</v>
      </c>
      <c r="AC92" s="600" t="s">
        <v>329</v>
      </c>
      <c r="AD92" s="600" t="s">
        <v>329</v>
      </c>
      <c r="AE92" s="600" t="s">
        <v>329</v>
      </c>
      <c r="AF92" s="606" t="s">
        <v>329</v>
      </c>
      <c r="AH92" s="840">
        <v>18</v>
      </c>
      <c r="AI92" s="840">
        <v>5</v>
      </c>
      <c r="AJ92" s="623">
        <f t="shared" si="14"/>
        <v>126</v>
      </c>
      <c r="AK92" s="623">
        <f t="shared" si="12"/>
        <v>35</v>
      </c>
      <c r="AL92" s="623">
        <f t="shared" si="13"/>
        <v>161</v>
      </c>
    </row>
    <row r="93" spans="1:38" ht="25.5" customHeight="1">
      <c r="A93" s="650" t="s">
        <v>349</v>
      </c>
      <c r="B93" s="705" t="s">
        <v>327</v>
      </c>
      <c r="C93" s="573" t="s">
        <v>327</v>
      </c>
      <c r="D93" s="577" t="s">
        <v>327</v>
      </c>
      <c r="E93" s="574" t="s">
        <v>173</v>
      </c>
      <c r="F93" s="574" t="s">
        <v>173</v>
      </c>
      <c r="G93" s="597" t="s">
        <v>9</v>
      </c>
      <c r="H93" s="597" t="s">
        <v>9</v>
      </c>
      <c r="I93" s="597" t="s">
        <v>9</v>
      </c>
      <c r="J93" s="597" t="s">
        <v>9</v>
      </c>
      <c r="K93" s="597" t="s">
        <v>9</v>
      </c>
      <c r="L93" s="597" t="s">
        <v>9</v>
      </c>
      <c r="M93" s="597" t="s">
        <v>9</v>
      </c>
      <c r="N93" s="597" t="s">
        <v>9</v>
      </c>
      <c r="O93" s="597" t="s">
        <v>9</v>
      </c>
      <c r="P93" s="597" t="s">
        <v>9</v>
      </c>
      <c r="Q93" s="597" t="s">
        <v>9</v>
      </c>
      <c r="R93" s="597" t="s">
        <v>9</v>
      </c>
      <c r="S93" s="597" t="s">
        <v>9</v>
      </c>
      <c r="T93" s="597" t="s">
        <v>9</v>
      </c>
      <c r="U93" s="573" t="s">
        <v>327</v>
      </c>
      <c r="V93" s="573" t="s">
        <v>327</v>
      </c>
      <c r="W93" s="573" t="s">
        <v>327</v>
      </c>
      <c r="X93" s="573" t="s">
        <v>327</v>
      </c>
      <c r="Y93" s="577" t="s">
        <v>327</v>
      </c>
      <c r="Z93" s="574" t="s">
        <v>173</v>
      </c>
      <c r="AA93" s="574" t="s">
        <v>173</v>
      </c>
      <c r="AB93" s="573" t="s">
        <v>327</v>
      </c>
      <c r="AC93" s="573" t="s">
        <v>327</v>
      </c>
      <c r="AD93" s="573" t="s">
        <v>327</v>
      </c>
      <c r="AE93" s="573" t="s">
        <v>327</v>
      </c>
      <c r="AF93" s="608" t="s">
        <v>327</v>
      </c>
      <c r="AH93" s="840">
        <v>18</v>
      </c>
      <c r="AI93" s="840">
        <v>5</v>
      </c>
      <c r="AJ93" s="623">
        <f t="shared" si="14"/>
        <v>126</v>
      </c>
      <c r="AK93" s="623">
        <f t="shared" si="12"/>
        <v>35</v>
      </c>
      <c r="AL93" s="623">
        <f t="shared" si="13"/>
        <v>161</v>
      </c>
    </row>
    <row r="94" spans="1:38" ht="25.5" customHeight="1">
      <c r="A94" s="654" t="s">
        <v>353</v>
      </c>
      <c r="B94" s="705" t="s">
        <v>327</v>
      </c>
      <c r="C94" s="573" t="s">
        <v>327</v>
      </c>
      <c r="D94" s="577" t="s">
        <v>327</v>
      </c>
      <c r="E94" s="574" t="s">
        <v>173</v>
      </c>
      <c r="F94" s="574" t="s">
        <v>173</v>
      </c>
      <c r="G94" s="573" t="s">
        <v>327</v>
      </c>
      <c r="H94" s="573" t="s">
        <v>327</v>
      </c>
      <c r="I94" s="573" t="s">
        <v>327</v>
      </c>
      <c r="J94" s="573" t="s">
        <v>327</v>
      </c>
      <c r="K94" s="577" t="s">
        <v>327</v>
      </c>
      <c r="L94" s="574" t="s">
        <v>173</v>
      </c>
      <c r="M94" s="574" t="s">
        <v>173</v>
      </c>
      <c r="N94" s="573" t="s">
        <v>327</v>
      </c>
      <c r="O94" s="573" t="s">
        <v>327</v>
      </c>
      <c r="P94" s="573" t="s">
        <v>327</v>
      </c>
      <c r="Q94" s="573" t="s">
        <v>327</v>
      </c>
      <c r="R94" s="577" t="s">
        <v>327</v>
      </c>
      <c r="S94" s="574" t="s">
        <v>173</v>
      </c>
      <c r="T94" s="574" t="s">
        <v>173</v>
      </c>
      <c r="U94" s="573" t="s">
        <v>327</v>
      </c>
      <c r="V94" s="573" t="s">
        <v>327</v>
      </c>
      <c r="W94" s="573" t="s">
        <v>327</v>
      </c>
      <c r="X94" s="573" t="s">
        <v>327</v>
      </c>
      <c r="Y94" s="577" t="s">
        <v>327</v>
      </c>
      <c r="Z94" s="574" t="s">
        <v>173</v>
      </c>
      <c r="AA94" s="574" t="s">
        <v>173</v>
      </c>
      <c r="AB94" s="573" t="s">
        <v>327</v>
      </c>
      <c r="AC94" s="573" t="s">
        <v>327</v>
      </c>
      <c r="AD94" s="573" t="s">
        <v>327</v>
      </c>
      <c r="AE94" s="573" t="s">
        <v>327</v>
      </c>
      <c r="AF94" s="679" t="s">
        <v>327</v>
      </c>
      <c r="AH94" s="840">
        <v>18</v>
      </c>
      <c r="AI94" s="840">
        <v>5</v>
      </c>
      <c r="AJ94" s="623">
        <f t="shared" si="14"/>
        <v>126</v>
      </c>
      <c r="AK94" s="623">
        <f t="shared" si="12"/>
        <v>35</v>
      </c>
      <c r="AL94" s="623">
        <f t="shared" si="13"/>
        <v>161</v>
      </c>
    </row>
    <row r="95" spans="1:38" ht="25.5" customHeight="1">
      <c r="A95" s="659" t="s">
        <v>354</v>
      </c>
      <c r="B95" s="611" t="s">
        <v>331</v>
      </c>
      <c r="C95" s="576" t="s">
        <v>331</v>
      </c>
      <c r="D95" s="576" t="s">
        <v>331</v>
      </c>
      <c r="E95" s="576" t="s">
        <v>14</v>
      </c>
      <c r="F95" s="576" t="s">
        <v>14</v>
      </c>
      <c r="G95" s="609" t="s">
        <v>325</v>
      </c>
      <c r="H95" s="609" t="s">
        <v>325</v>
      </c>
      <c r="I95" s="609" t="s">
        <v>325</v>
      </c>
      <c r="J95" s="609" t="s">
        <v>325</v>
      </c>
      <c r="K95" s="609" t="s">
        <v>325</v>
      </c>
      <c r="L95" s="574" t="s">
        <v>173</v>
      </c>
      <c r="M95" s="574" t="s">
        <v>173</v>
      </c>
      <c r="N95" s="609" t="s">
        <v>325</v>
      </c>
      <c r="O95" s="609" t="s">
        <v>325</v>
      </c>
      <c r="P95" s="609" t="s">
        <v>325</v>
      </c>
      <c r="Q95" s="609" t="s">
        <v>325</v>
      </c>
      <c r="R95" s="609" t="s">
        <v>325</v>
      </c>
      <c r="S95" s="574" t="s">
        <v>173</v>
      </c>
      <c r="T95" s="574" t="s">
        <v>173</v>
      </c>
      <c r="U95" s="573" t="s">
        <v>327</v>
      </c>
      <c r="V95" s="573" t="s">
        <v>327</v>
      </c>
      <c r="W95" s="573" t="s">
        <v>327</v>
      </c>
      <c r="X95" s="573" t="s">
        <v>327</v>
      </c>
      <c r="Y95" s="577" t="s">
        <v>327</v>
      </c>
      <c r="Z95" s="574" t="s">
        <v>173</v>
      </c>
      <c r="AA95" s="574" t="s">
        <v>173</v>
      </c>
      <c r="AB95" s="576" t="s">
        <v>331</v>
      </c>
      <c r="AC95" s="576" t="s">
        <v>331</v>
      </c>
      <c r="AD95" s="576" t="s">
        <v>331</v>
      </c>
      <c r="AE95" s="576" t="s">
        <v>331</v>
      </c>
      <c r="AF95" s="610" t="s">
        <v>331</v>
      </c>
      <c r="AH95" s="840">
        <v>18</v>
      </c>
      <c r="AI95" s="840">
        <v>5</v>
      </c>
      <c r="AJ95" s="623">
        <f t="shared" si="14"/>
        <v>126</v>
      </c>
      <c r="AK95" s="623">
        <f t="shared" si="12"/>
        <v>35</v>
      </c>
      <c r="AL95" s="623">
        <f t="shared" si="13"/>
        <v>161</v>
      </c>
    </row>
    <row r="96" spans="1:38" ht="25.5" customHeight="1">
      <c r="A96" s="661" t="s">
        <v>360</v>
      </c>
      <c r="B96" s="709" t="s">
        <v>325</v>
      </c>
      <c r="C96" s="609" t="s">
        <v>325</v>
      </c>
      <c r="D96" s="609" t="s">
        <v>325</v>
      </c>
      <c r="E96" s="574"/>
      <c r="F96" s="574"/>
      <c r="G96" s="609" t="s">
        <v>325</v>
      </c>
      <c r="H96" s="609" t="s">
        <v>325</v>
      </c>
      <c r="I96" s="609" t="s">
        <v>325</v>
      </c>
      <c r="J96" s="609" t="s">
        <v>325</v>
      </c>
      <c r="K96" s="609" t="s">
        <v>325</v>
      </c>
      <c r="L96" s="574" t="s">
        <v>173</v>
      </c>
      <c r="M96" s="574" t="s">
        <v>173</v>
      </c>
      <c r="N96" s="573" t="s">
        <v>327</v>
      </c>
      <c r="O96" s="573" t="s">
        <v>327</v>
      </c>
      <c r="P96" s="573" t="s">
        <v>327</v>
      </c>
      <c r="Q96" s="573" t="s">
        <v>327</v>
      </c>
      <c r="R96" s="577" t="s">
        <v>327</v>
      </c>
      <c r="S96" s="574" t="s">
        <v>173</v>
      </c>
      <c r="T96" s="574" t="s">
        <v>173</v>
      </c>
      <c r="U96" s="576" t="s">
        <v>331</v>
      </c>
      <c r="V96" s="576" t="s">
        <v>331</v>
      </c>
      <c r="W96" s="576" t="s">
        <v>331</v>
      </c>
      <c r="X96" s="576" t="s">
        <v>331</v>
      </c>
      <c r="Y96" s="576" t="s">
        <v>331</v>
      </c>
      <c r="Z96" s="576" t="s">
        <v>14</v>
      </c>
      <c r="AA96" s="576" t="s">
        <v>14</v>
      </c>
      <c r="AB96" s="609" t="s">
        <v>325</v>
      </c>
      <c r="AC96" s="609" t="s">
        <v>325</v>
      </c>
      <c r="AD96" s="609" t="s">
        <v>325</v>
      </c>
      <c r="AE96" s="609" t="s">
        <v>325</v>
      </c>
      <c r="AF96" s="613" t="s">
        <v>325</v>
      </c>
      <c r="AH96" s="840">
        <v>18</v>
      </c>
      <c r="AI96" s="840">
        <v>5</v>
      </c>
      <c r="AJ96" s="623">
        <f t="shared" si="14"/>
        <v>126</v>
      </c>
      <c r="AK96" s="623">
        <f t="shared" si="12"/>
        <v>35</v>
      </c>
      <c r="AL96" s="623">
        <f t="shared" si="13"/>
        <v>161</v>
      </c>
    </row>
    <row r="97" spans="1:38" ht="25.5" customHeight="1">
      <c r="A97" s="659" t="s">
        <v>363</v>
      </c>
      <c r="B97" s="709" t="s">
        <v>325</v>
      </c>
      <c r="C97" s="609" t="s">
        <v>325</v>
      </c>
      <c r="D97" s="609" t="s">
        <v>325</v>
      </c>
      <c r="E97" s="574"/>
      <c r="F97" s="574"/>
      <c r="G97" s="573" t="s">
        <v>327</v>
      </c>
      <c r="H97" s="573" t="s">
        <v>327</v>
      </c>
      <c r="I97" s="573" t="s">
        <v>327</v>
      </c>
      <c r="J97" s="573" t="s">
        <v>327</v>
      </c>
      <c r="K97" s="577" t="s">
        <v>327</v>
      </c>
      <c r="L97" s="574" t="s">
        <v>173</v>
      </c>
      <c r="M97" s="574"/>
      <c r="N97" s="576" t="s">
        <v>331</v>
      </c>
      <c r="O97" s="576" t="s">
        <v>331</v>
      </c>
      <c r="P97" s="576" t="s">
        <v>331</v>
      </c>
      <c r="Q97" s="576" t="s">
        <v>331</v>
      </c>
      <c r="R97" s="576" t="s">
        <v>331</v>
      </c>
      <c r="S97" s="576" t="s">
        <v>14</v>
      </c>
      <c r="T97" s="576" t="s">
        <v>14</v>
      </c>
      <c r="U97" s="609" t="s">
        <v>325</v>
      </c>
      <c r="V97" s="609" t="s">
        <v>325</v>
      </c>
      <c r="W97" s="609" t="s">
        <v>325</v>
      </c>
      <c r="X97" s="609" t="s">
        <v>325</v>
      </c>
      <c r="Y97" s="609" t="s">
        <v>325</v>
      </c>
      <c r="Z97" s="574" t="s">
        <v>173</v>
      </c>
      <c r="AA97" s="574" t="s">
        <v>173</v>
      </c>
      <c r="AB97" s="609" t="s">
        <v>325</v>
      </c>
      <c r="AC97" s="609" t="s">
        <v>325</v>
      </c>
      <c r="AD97" s="609" t="s">
        <v>325</v>
      </c>
      <c r="AE97" s="609" t="s">
        <v>325</v>
      </c>
      <c r="AF97" s="613" t="s">
        <v>325</v>
      </c>
      <c r="AH97" s="840">
        <v>18</v>
      </c>
      <c r="AI97" s="840">
        <v>5</v>
      </c>
      <c r="AJ97" s="623">
        <f t="shared" si="14"/>
        <v>126</v>
      </c>
      <c r="AK97" s="623">
        <f t="shared" si="12"/>
        <v>35</v>
      </c>
      <c r="AL97" s="623">
        <f t="shared" si="13"/>
        <v>161</v>
      </c>
    </row>
    <row r="98" spans="1:38" ht="25.5" customHeight="1">
      <c r="A98" s="665" t="s">
        <v>364</v>
      </c>
      <c r="B98" s="837" t="s">
        <v>327</v>
      </c>
      <c r="C98" s="838" t="s">
        <v>327</v>
      </c>
      <c r="D98" s="620" t="s">
        <v>327</v>
      </c>
      <c r="E98" s="617" t="s">
        <v>173</v>
      </c>
      <c r="F98" s="617" t="s">
        <v>173</v>
      </c>
      <c r="G98" s="575" t="s">
        <v>331</v>
      </c>
      <c r="H98" s="575" t="s">
        <v>331</v>
      </c>
      <c r="I98" s="575" t="s">
        <v>331</v>
      </c>
      <c r="J98" s="575" t="s">
        <v>331</v>
      </c>
      <c r="K98" s="575" t="s">
        <v>331</v>
      </c>
      <c r="L98" s="575" t="s">
        <v>14</v>
      </c>
      <c r="M98" s="575" t="s">
        <v>14</v>
      </c>
      <c r="N98" s="618" t="s">
        <v>325</v>
      </c>
      <c r="O98" s="618" t="s">
        <v>325</v>
      </c>
      <c r="P98" s="618" t="s">
        <v>325</v>
      </c>
      <c r="Q98" s="618" t="s">
        <v>325</v>
      </c>
      <c r="R98" s="618" t="s">
        <v>325</v>
      </c>
      <c r="S98" s="617" t="s">
        <v>173</v>
      </c>
      <c r="T98" s="617" t="s">
        <v>173</v>
      </c>
      <c r="U98" s="618" t="s">
        <v>325</v>
      </c>
      <c r="V98" s="618" t="s">
        <v>325</v>
      </c>
      <c r="W98" s="618" t="s">
        <v>325</v>
      </c>
      <c r="X98" s="618" t="s">
        <v>325</v>
      </c>
      <c r="Y98" s="618" t="s">
        <v>325</v>
      </c>
      <c r="Z98" s="617" t="s">
        <v>173</v>
      </c>
      <c r="AA98" s="617" t="s">
        <v>173</v>
      </c>
      <c r="AB98" s="838" t="s">
        <v>327</v>
      </c>
      <c r="AC98" s="838" t="s">
        <v>327</v>
      </c>
      <c r="AD98" s="838" t="s">
        <v>327</v>
      </c>
      <c r="AE98" s="838" t="s">
        <v>327</v>
      </c>
      <c r="AF98" s="700" t="s">
        <v>327</v>
      </c>
      <c r="AH98" s="840">
        <v>18</v>
      </c>
      <c r="AI98" s="840">
        <v>5</v>
      </c>
      <c r="AJ98" s="623">
        <f t="shared" si="14"/>
        <v>126</v>
      </c>
      <c r="AK98" s="623">
        <f t="shared" si="12"/>
        <v>35</v>
      </c>
      <c r="AL98" s="623">
        <f t="shared" si="13"/>
        <v>161</v>
      </c>
    </row>
    <row r="99" spans="1:38" ht="25.5" customHeight="1">
      <c r="D99" s="578" t="s">
        <v>426</v>
      </c>
      <c r="E99" s="578" t="s">
        <v>352</v>
      </c>
      <c r="R99" s="578" t="s">
        <v>426</v>
      </c>
      <c r="S99" s="578" t="s">
        <v>352</v>
      </c>
    </row>
    <row r="100" spans="1:38" ht="25.5" customHeight="1">
      <c r="B100" s="871" t="s">
        <v>427</v>
      </c>
      <c r="C100" s="872"/>
      <c r="D100" s="872"/>
      <c r="E100" s="872"/>
      <c r="F100" s="872"/>
      <c r="G100" s="872"/>
      <c r="H100" s="872"/>
      <c r="I100" s="872"/>
      <c r="J100" s="872"/>
      <c r="K100" s="872"/>
      <c r="L100" s="872"/>
      <c r="M100" s="872"/>
      <c r="N100" s="872"/>
      <c r="O100" s="872"/>
      <c r="P100" s="872"/>
      <c r="Q100" s="872"/>
      <c r="R100" s="872"/>
      <c r="S100" s="872"/>
      <c r="T100" s="872"/>
      <c r="U100" s="872"/>
      <c r="V100" s="872"/>
      <c r="W100" s="872"/>
      <c r="X100" s="872"/>
      <c r="Y100" s="872"/>
      <c r="Z100" s="872"/>
      <c r="AA100" s="872"/>
      <c r="AB100" s="872"/>
      <c r="AC100" s="872"/>
      <c r="AD100" s="872"/>
      <c r="AE100" s="872"/>
      <c r="AF100" s="873"/>
    </row>
    <row r="101" spans="1:38" ht="25.5" customHeight="1">
      <c r="A101" s="869" t="s">
        <v>341</v>
      </c>
      <c r="B101" s="633" t="s">
        <v>84</v>
      </c>
      <c r="C101" s="635" t="s">
        <v>85</v>
      </c>
      <c r="D101" s="634" t="s">
        <v>86</v>
      </c>
      <c r="E101" s="634" t="s">
        <v>87</v>
      </c>
      <c r="F101" s="634" t="s">
        <v>44</v>
      </c>
      <c r="G101" s="634" t="s">
        <v>28</v>
      </c>
      <c r="H101" s="634" t="s">
        <v>9</v>
      </c>
      <c r="I101" s="634" t="s">
        <v>84</v>
      </c>
      <c r="J101" s="635" t="s">
        <v>85</v>
      </c>
      <c r="K101" s="634" t="s">
        <v>86</v>
      </c>
      <c r="L101" s="634" t="s">
        <v>87</v>
      </c>
      <c r="M101" s="634" t="s">
        <v>44</v>
      </c>
      <c r="N101" s="634" t="s">
        <v>28</v>
      </c>
      <c r="O101" s="634" t="s">
        <v>9</v>
      </c>
      <c r="P101" s="634" t="s">
        <v>84</v>
      </c>
      <c r="Q101" s="635" t="s">
        <v>85</v>
      </c>
      <c r="R101" s="634" t="s">
        <v>86</v>
      </c>
      <c r="S101" s="634" t="s">
        <v>87</v>
      </c>
      <c r="T101" s="634" t="s">
        <v>44</v>
      </c>
      <c r="U101" s="634" t="s">
        <v>28</v>
      </c>
      <c r="V101" s="634" t="s">
        <v>9</v>
      </c>
      <c r="W101" s="634" t="s">
        <v>84</v>
      </c>
      <c r="X101" s="635" t="s">
        <v>85</v>
      </c>
      <c r="Y101" s="634" t="s">
        <v>86</v>
      </c>
      <c r="Z101" s="634" t="s">
        <v>87</v>
      </c>
      <c r="AA101" s="634" t="s">
        <v>44</v>
      </c>
      <c r="AB101" s="634" t="s">
        <v>28</v>
      </c>
      <c r="AC101" s="634" t="s">
        <v>9</v>
      </c>
      <c r="AD101" s="634" t="s">
        <v>84</v>
      </c>
      <c r="AE101" s="635" t="s">
        <v>85</v>
      </c>
      <c r="AF101" s="636" t="s">
        <v>86</v>
      </c>
    </row>
    <row r="102" spans="1:38" ht="25.5" customHeight="1">
      <c r="A102" s="890"/>
      <c r="B102" s="765">
        <v>1</v>
      </c>
      <c r="C102" s="685">
        <v>2</v>
      </c>
      <c r="D102" s="638">
        <v>3</v>
      </c>
      <c r="E102" s="638">
        <v>4</v>
      </c>
      <c r="F102" s="638">
        <v>5</v>
      </c>
      <c r="G102" s="638">
        <v>6</v>
      </c>
      <c r="H102" s="638">
        <v>7</v>
      </c>
      <c r="I102" s="639">
        <v>8</v>
      </c>
      <c r="J102" s="639">
        <v>9</v>
      </c>
      <c r="K102" s="638">
        <v>10</v>
      </c>
      <c r="L102" s="638">
        <v>11</v>
      </c>
      <c r="M102" s="638">
        <v>12</v>
      </c>
      <c r="N102" s="638">
        <v>13</v>
      </c>
      <c r="O102" s="638">
        <v>14</v>
      </c>
      <c r="P102" s="639">
        <v>15</v>
      </c>
      <c r="Q102" s="639">
        <v>16</v>
      </c>
      <c r="R102" s="638">
        <v>17</v>
      </c>
      <c r="S102" s="638">
        <v>18</v>
      </c>
      <c r="T102" s="638">
        <v>19</v>
      </c>
      <c r="U102" s="638">
        <v>20</v>
      </c>
      <c r="V102" s="638">
        <v>21</v>
      </c>
      <c r="W102" s="639">
        <v>22</v>
      </c>
      <c r="X102" s="639">
        <v>23</v>
      </c>
      <c r="Y102" s="638">
        <v>24</v>
      </c>
      <c r="Z102" s="638">
        <v>25</v>
      </c>
      <c r="AA102" s="638">
        <v>26</v>
      </c>
      <c r="AB102" s="638">
        <v>27</v>
      </c>
      <c r="AC102" s="638">
        <v>28</v>
      </c>
      <c r="AD102" s="639">
        <v>29</v>
      </c>
      <c r="AE102" s="685">
        <v>30</v>
      </c>
      <c r="AF102" s="641">
        <v>31</v>
      </c>
      <c r="AH102" s="840" t="s">
        <v>342</v>
      </c>
      <c r="AI102" s="840" t="s">
        <v>9</v>
      </c>
      <c r="AL102" s="623" t="s">
        <v>386</v>
      </c>
    </row>
    <row r="103" spans="1:38" ht="25.5" customHeight="1">
      <c r="A103" s="650" t="s">
        <v>345</v>
      </c>
      <c r="B103" s="601" t="s">
        <v>173</v>
      </c>
      <c r="C103" s="579" t="s">
        <v>173</v>
      </c>
      <c r="D103" s="730" t="s">
        <v>327</v>
      </c>
      <c r="E103" s="730" t="s">
        <v>327</v>
      </c>
      <c r="F103" s="730" t="s">
        <v>327</v>
      </c>
      <c r="G103" s="730" t="s">
        <v>327</v>
      </c>
      <c r="H103" s="836" t="s">
        <v>327</v>
      </c>
      <c r="I103" s="579" t="s">
        <v>173</v>
      </c>
      <c r="J103" s="579" t="s">
        <v>173</v>
      </c>
      <c r="K103" s="580" t="s">
        <v>9</v>
      </c>
      <c r="L103" s="580" t="s">
        <v>9</v>
      </c>
      <c r="M103" s="580" t="s">
        <v>9</v>
      </c>
      <c r="N103" s="580" t="s">
        <v>9</v>
      </c>
      <c r="O103" s="580" t="s">
        <v>9</v>
      </c>
      <c r="P103" s="580" t="s">
        <v>9</v>
      </c>
      <c r="Q103" s="580" t="s">
        <v>9</v>
      </c>
      <c r="R103" s="580" t="s">
        <v>9</v>
      </c>
      <c r="S103" s="580" t="s">
        <v>9</v>
      </c>
      <c r="T103" s="580" t="s">
        <v>9</v>
      </c>
      <c r="U103" s="580" t="s">
        <v>9</v>
      </c>
      <c r="V103" s="580" t="s">
        <v>9</v>
      </c>
      <c r="W103" s="580" t="s">
        <v>9</v>
      </c>
      <c r="X103" s="580" t="s">
        <v>9</v>
      </c>
      <c r="Y103" s="730" t="s">
        <v>327</v>
      </c>
      <c r="Z103" s="730" t="s">
        <v>327</v>
      </c>
      <c r="AA103" s="833" t="s">
        <v>327</v>
      </c>
      <c r="AB103" s="833" t="s">
        <v>327</v>
      </c>
      <c r="AC103" s="833" t="s">
        <v>327</v>
      </c>
      <c r="AD103" s="579" t="s">
        <v>173</v>
      </c>
      <c r="AE103" s="579" t="s">
        <v>173</v>
      </c>
      <c r="AF103" s="677" t="s">
        <v>9</v>
      </c>
      <c r="AH103" s="840">
        <v>9</v>
      </c>
      <c r="AI103" s="840">
        <v>2</v>
      </c>
      <c r="AJ103" s="623">
        <f t="shared" ref="AJ103:AJ110" si="15">AH103*7</f>
        <v>63</v>
      </c>
      <c r="AK103" s="623">
        <f t="shared" si="12"/>
        <v>14</v>
      </c>
      <c r="AL103" s="623">
        <f t="shared" si="13"/>
        <v>77</v>
      </c>
    </row>
    <row r="104" spans="1:38" ht="25.5" customHeight="1">
      <c r="A104" s="678" t="s">
        <v>347</v>
      </c>
      <c r="B104" s="605" t="s">
        <v>173</v>
      </c>
      <c r="C104" s="574" t="s">
        <v>173</v>
      </c>
      <c r="D104" s="600" t="s">
        <v>329</v>
      </c>
      <c r="E104" s="600" t="s">
        <v>329</v>
      </c>
      <c r="F104" s="600" t="s">
        <v>329</v>
      </c>
      <c r="G104" s="600" t="s">
        <v>329</v>
      </c>
      <c r="H104" s="600" t="s">
        <v>329</v>
      </c>
      <c r="I104" s="574" t="s">
        <v>173</v>
      </c>
      <c r="J104" s="574" t="s">
        <v>173</v>
      </c>
      <c r="K104" s="600" t="s">
        <v>329</v>
      </c>
      <c r="L104" s="600" t="s">
        <v>329</v>
      </c>
      <c r="M104" s="600" t="s">
        <v>329</v>
      </c>
      <c r="N104" s="600" t="s">
        <v>329</v>
      </c>
      <c r="O104" s="600" t="s">
        <v>329</v>
      </c>
      <c r="P104" s="574" t="s">
        <v>173</v>
      </c>
      <c r="Q104" s="574" t="s">
        <v>173</v>
      </c>
      <c r="R104" s="600" t="s">
        <v>329</v>
      </c>
      <c r="S104" s="600" t="s">
        <v>329</v>
      </c>
      <c r="T104" s="600" t="s">
        <v>329</v>
      </c>
      <c r="U104" s="600" t="s">
        <v>329</v>
      </c>
      <c r="V104" s="600" t="s">
        <v>329</v>
      </c>
      <c r="W104" s="574" t="s">
        <v>173</v>
      </c>
      <c r="X104" s="574" t="s">
        <v>173</v>
      </c>
      <c r="Y104" s="600" t="s">
        <v>329</v>
      </c>
      <c r="Z104" s="600" t="s">
        <v>329</v>
      </c>
      <c r="AA104" s="600" t="s">
        <v>329</v>
      </c>
      <c r="AB104" s="600" t="s">
        <v>329</v>
      </c>
      <c r="AC104" s="600" t="s">
        <v>329</v>
      </c>
      <c r="AD104" s="574" t="s">
        <v>173</v>
      </c>
      <c r="AE104" s="574" t="s">
        <v>173</v>
      </c>
      <c r="AF104" s="606" t="s">
        <v>329</v>
      </c>
      <c r="AH104" s="840">
        <v>17</v>
      </c>
      <c r="AI104" s="840">
        <v>4</v>
      </c>
      <c r="AJ104" s="623">
        <f t="shared" si="15"/>
        <v>119</v>
      </c>
      <c r="AK104" s="623">
        <f t="shared" si="12"/>
        <v>28</v>
      </c>
      <c r="AL104" s="623">
        <f t="shared" si="13"/>
        <v>147</v>
      </c>
    </row>
    <row r="105" spans="1:38" ht="25.5" customHeight="1">
      <c r="A105" s="650" t="s">
        <v>349</v>
      </c>
      <c r="B105" s="605" t="s">
        <v>173</v>
      </c>
      <c r="C105" s="574" t="s">
        <v>173</v>
      </c>
      <c r="D105" s="573" t="s">
        <v>327</v>
      </c>
      <c r="E105" s="573" t="s">
        <v>327</v>
      </c>
      <c r="F105" s="573" t="s">
        <v>327</v>
      </c>
      <c r="G105" s="573" t="s">
        <v>327</v>
      </c>
      <c r="H105" s="577" t="s">
        <v>327</v>
      </c>
      <c r="I105" s="574" t="s">
        <v>173</v>
      </c>
      <c r="J105" s="574" t="s">
        <v>173</v>
      </c>
      <c r="K105" s="573" t="s">
        <v>327</v>
      </c>
      <c r="L105" s="573" t="s">
        <v>327</v>
      </c>
      <c r="M105" s="573" t="s">
        <v>327</v>
      </c>
      <c r="N105" s="573" t="s">
        <v>327</v>
      </c>
      <c r="O105" s="577" t="s">
        <v>327</v>
      </c>
      <c r="P105" s="574" t="s">
        <v>173</v>
      </c>
      <c r="Q105" s="574" t="s">
        <v>173</v>
      </c>
      <c r="R105" s="573" t="s">
        <v>327</v>
      </c>
      <c r="S105" s="573" t="s">
        <v>327</v>
      </c>
      <c r="T105" s="573" t="s">
        <v>327</v>
      </c>
      <c r="U105" s="573" t="s">
        <v>327</v>
      </c>
      <c r="V105" s="577" t="s">
        <v>327</v>
      </c>
      <c r="W105" s="574" t="s">
        <v>173</v>
      </c>
      <c r="X105" s="574" t="s">
        <v>173</v>
      </c>
      <c r="Y105" s="573" t="s">
        <v>327</v>
      </c>
      <c r="Z105" s="573" t="s">
        <v>327</v>
      </c>
      <c r="AA105" s="573" t="s">
        <v>327</v>
      </c>
      <c r="AB105" s="573" t="s">
        <v>327</v>
      </c>
      <c r="AC105" s="573" t="s">
        <v>327</v>
      </c>
      <c r="AD105" s="574" t="s">
        <v>173</v>
      </c>
      <c r="AE105" s="574" t="s">
        <v>173</v>
      </c>
      <c r="AF105" s="608" t="s">
        <v>327</v>
      </c>
      <c r="AH105" s="840">
        <v>17</v>
      </c>
      <c r="AI105" s="840">
        <v>4</v>
      </c>
      <c r="AJ105" s="623">
        <f t="shared" si="15"/>
        <v>119</v>
      </c>
      <c r="AK105" s="623">
        <f t="shared" si="12"/>
        <v>28</v>
      </c>
      <c r="AL105" s="623">
        <f t="shared" si="13"/>
        <v>147</v>
      </c>
    </row>
    <row r="106" spans="1:38" ht="25.5" customHeight="1">
      <c r="A106" s="654" t="s">
        <v>353</v>
      </c>
      <c r="B106" s="605" t="s">
        <v>173</v>
      </c>
      <c r="C106" s="574" t="s">
        <v>173</v>
      </c>
      <c r="D106" s="573" t="s">
        <v>327</v>
      </c>
      <c r="E106" s="573" t="s">
        <v>327</v>
      </c>
      <c r="F106" s="573" t="s">
        <v>327</v>
      </c>
      <c r="G106" s="573" t="s">
        <v>327</v>
      </c>
      <c r="H106" s="577" t="s">
        <v>327</v>
      </c>
      <c r="I106" s="574" t="s">
        <v>173</v>
      </c>
      <c r="J106" s="574" t="s">
        <v>173</v>
      </c>
      <c r="K106" s="573" t="s">
        <v>327</v>
      </c>
      <c r="L106" s="573" t="s">
        <v>327</v>
      </c>
      <c r="M106" s="573" t="s">
        <v>327</v>
      </c>
      <c r="N106" s="573" t="s">
        <v>327</v>
      </c>
      <c r="O106" s="577" t="s">
        <v>327</v>
      </c>
      <c r="P106" s="574" t="s">
        <v>173</v>
      </c>
      <c r="Q106" s="574" t="s">
        <v>173</v>
      </c>
      <c r="R106" s="573" t="s">
        <v>327</v>
      </c>
      <c r="S106" s="573" t="s">
        <v>327</v>
      </c>
      <c r="T106" s="573" t="s">
        <v>327</v>
      </c>
      <c r="U106" s="573" t="s">
        <v>327</v>
      </c>
      <c r="V106" s="577" t="s">
        <v>327</v>
      </c>
      <c r="W106" s="574" t="s">
        <v>173</v>
      </c>
      <c r="X106" s="574" t="s">
        <v>173</v>
      </c>
      <c r="Y106" s="573" t="s">
        <v>327</v>
      </c>
      <c r="Z106" s="573" t="s">
        <v>327</v>
      </c>
      <c r="AA106" s="573" t="s">
        <v>327</v>
      </c>
      <c r="AB106" s="573" t="s">
        <v>327</v>
      </c>
      <c r="AC106" s="577" t="s">
        <v>327</v>
      </c>
      <c r="AD106" s="574" t="s">
        <v>173</v>
      </c>
      <c r="AE106" s="574" t="s">
        <v>173</v>
      </c>
      <c r="AF106" s="608" t="s">
        <v>327</v>
      </c>
      <c r="AH106" s="840">
        <v>17</v>
      </c>
      <c r="AI106" s="840">
        <v>4</v>
      </c>
      <c r="AJ106" s="623">
        <f t="shared" si="15"/>
        <v>119</v>
      </c>
      <c r="AK106" s="623">
        <f t="shared" si="12"/>
        <v>28</v>
      </c>
      <c r="AL106" s="623">
        <f t="shared" si="13"/>
        <v>147</v>
      </c>
    </row>
    <row r="107" spans="1:38" ht="25.5" customHeight="1">
      <c r="A107" s="659" t="s">
        <v>354</v>
      </c>
      <c r="B107" s="611" t="s">
        <v>14</v>
      </c>
      <c r="C107" s="576" t="s">
        <v>14</v>
      </c>
      <c r="D107" s="609" t="s">
        <v>325</v>
      </c>
      <c r="E107" s="609" t="s">
        <v>325</v>
      </c>
      <c r="F107" s="609" t="s">
        <v>325</v>
      </c>
      <c r="G107" s="609" t="s">
        <v>325</v>
      </c>
      <c r="H107" s="609" t="s">
        <v>325</v>
      </c>
      <c r="I107" s="574" t="s">
        <v>173</v>
      </c>
      <c r="J107" s="574" t="s">
        <v>173</v>
      </c>
      <c r="K107" s="609" t="s">
        <v>325</v>
      </c>
      <c r="L107" s="609" t="s">
        <v>325</v>
      </c>
      <c r="M107" s="609" t="s">
        <v>325</v>
      </c>
      <c r="N107" s="609" t="s">
        <v>325</v>
      </c>
      <c r="O107" s="609" t="s">
        <v>325</v>
      </c>
      <c r="P107" s="574" t="s">
        <v>173</v>
      </c>
      <c r="Q107" s="574" t="s">
        <v>173</v>
      </c>
      <c r="R107" s="597" t="s">
        <v>9</v>
      </c>
      <c r="S107" s="597" t="s">
        <v>9</v>
      </c>
      <c r="T107" s="597" t="s">
        <v>9</v>
      </c>
      <c r="U107" s="597" t="s">
        <v>9</v>
      </c>
      <c r="V107" s="597" t="s">
        <v>9</v>
      </c>
      <c r="W107" s="597" t="s">
        <v>9</v>
      </c>
      <c r="X107" s="597" t="s">
        <v>9</v>
      </c>
      <c r="Y107" s="576" t="s">
        <v>331</v>
      </c>
      <c r="Z107" s="576" t="s">
        <v>331</v>
      </c>
      <c r="AA107" s="576" t="s">
        <v>331</v>
      </c>
      <c r="AB107" s="576" t="s">
        <v>331</v>
      </c>
      <c r="AC107" s="576" t="s">
        <v>331</v>
      </c>
      <c r="AD107" s="576" t="s">
        <v>14</v>
      </c>
      <c r="AE107" s="576" t="s">
        <v>14</v>
      </c>
      <c r="AF107" s="613" t="s">
        <v>325</v>
      </c>
      <c r="AH107" s="840">
        <v>13</v>
      </c>
      <c r="AI107" s="840">
        <v>3</v>
      </c>
      <c r="AJ107" s="623">
        <f t="shared" si="15"/>
        <v>91</v>
      </c>
      <c r="AK107" s="623">
        <f t="shared" si="12"/>
        <v>21</v>
      </c>
      <c r="AL107" s="623">
        <f t="shared" si="13"/>
        <v>112</v>
      </c>
    </row>
    <row r="108" spans="1:38" ht="25.5" customHeight="1">
      <c r="A108" s="661" t="s">
        <v>360</v>
      </c>
      <c r="B108" s="605" t="s">
        <v>173</v>
      </c>
      <c r="C108" s="574" t="s">
        <v>173</v>
      </c>
      <c r="D108" s="609" t="s">
        <v>325</v>
      </c>
      <c r="E108" s="609" t="s">
        <v>325</v>
      </c>
      <c r="F108" s="609" t="s">
        <v>325</v>
      </c>
      <c r="G108" s="609" t="s">
        <v>325</v>
      </c>
      <c r="H108" s="609" t="s">
        <v>325</v>
      </c>
      <c r="I108" s="574" t="s">
        <v>173</v>
      </c>
      <c r="J108" s="574" t="s">
        <v>173</v>
      </c>
      <c r="K108" s="573" t="s">
        <v>327</v>
      </c>
      <c r="L108" s="573" t="s">
        <v>327</v>
      </c>
      <c r="M108" s="573" t="s">
        <v>327</v>
      </c>
      <c r="N108" s="573" t="s">
        <v>327</v>
      </c>
      <c r="O108" s="577" t="s">
        <v>327</v>
      </c>
      <c r="P108" s="574" t="s">
        <v>173</v>
      </c>
      <c r="Q108" s="574" t="s">
        <v>173</v>
      </c>
      <c r="R108" s="576" t="s">
        <v>331</v>
      </c>
      <c r="S108" s="576" t="s">
        <v>331</v>
      </c>
      <c r="T108" s="576" t="s">
        <v>331</v>
      </c>
      <c r="U108" s="576" t="s">
        <v>331</v>
      </c>
      <c r="V108" s="576" t="s">
        <v>331</v>
      </c>
      <c r="W108" s="576" t="s">
        <v>14</v>
      </c>
      <c r="X108" s="576" t="s">
        <v>14</v>
      </c>
      <c r="Y108" s="609" t="s">
        <v>325</v>
      </c>
      <c r="Z108" s="609" t="s">
        <v>325</v>
      </c>
      <c r="AA108" s="609" t="s">
        <v>325</v>
      </c>
      <c r="AB108" s="609" t="s">
        <v>325</v>
      </c>
      <c r="AC108" s="609" t="s">
        <v>325</v>
      </c>
      <c r="AD108" s="574" t="s">
        <v>173</v>
      </c>
      <c r="AE108" s="574" t="s">
        <v>173</v>
      </c>
      <c r="AF108" s="613" t="s">
        <v>325</v>
      </c>
      <c r="AH108" s="840">
        <v>17</v>
      </c>
      <c r="AI108" s="840">
        <v>4</v>
      </c>
      <c r="AJ108" s="623">
        <f t="shared" si="15"/>
        <v>119</v>
      </c>
      <c r="AK108" s="623">
        <f t="shared" si="12"/>
        <v>28</v>
      </c>
      <c r="AL108" s="623">
        <f t="shared" si="13"/>
        <v>147</v>
      </c>
    </row>
    <row r="109" spans="1:38" ht="25.5" customHeight="1">
      <c r="A109" s="659" t="s">
        <v>363</v>
      </c>
      <c r="B109" s="605"/>
      <c r="C109" s="574"/>
      <c r="D109" s="573" t="s">
        <v>327</v>
      </c>
      <c r="E109" s="573" t="s">
        <v>327</v>
      </c>
      <c r="F109" s="573" t="s">
        <v>327</v>
      </c>
      <c r="G109" s="573" t="s">
        <v>327</v>
      </c>
      <c r="H109" s="577" t="s">
        <v>327</v>
      </c>
      <c r="I109" s="574" t="s">
        <v>173</v>
      </c>
      <c r="J109" s="574"/>
      <c r="K109" s="576" t="s">
        <v>331</v>
      </c>
      <c r="L109" s="576" t="s">
        <v>331</v>
      </c>
      <c r="M109" s="576" t="s">
        <v>331</v>
      </c>
      <c r="N109" s="576" t="s">
        <v>331</v>
      </c>
      <c r="O109" s="576" t="s">
        <v>331</v>
      </c>
      <c r="P109" s="576" t="s">
        <v>14</v>
      </c>
      <c r="Q109" s="576" t="s">
        <v>14</v>
      </c>
      <c r="R109" s="609" t="s">
        <v>325</v>
      </c>
      <c r="S109" s="609" t="s">
        <v>325</v>
      </c>
      <c r="T109" s="609" t="s">
        <v>325</v>
      </c>
      <c r="U109" s="609" t="s">
        <v>325</v>
      </c>
      <c r="V109" s="609" t="s">
        <v>325</v>
      </c>
      <c r="W109" s="574" t="s">
        <v>173</v>
      </c>
      <c r="X109" s="574" t="s">
        <v>173</v>
      </c>
      <c r="Y109" s="609" t="s">
        <v>325</v>
      </c>
      <c r="Z109" s="609" t="s">
        <v>325</v>
      </c>
      <c r="AA109" s="609" t="s">
        <v>325</v>
      </c>
      <c r="AB109" s="609" t="s">
        <v>325</v>
      </c>
      <c r="AC109" s="609" t="s">
        <v>325</v>
      </c>
      <c r="AD109" s="574"/>
      <c r="AE109" s="574"/>
      <c r="AF109" s="608" t="s">
        <v>327</v>
      </c>
      <c r="AH109" s="840">
        <v>17</v>
      </c>
      <c r="AI109" s="840">
        <v>4</v>
      </c>
      <c r="AJ109" s="623">
        <f t="shared" si="15"/>
        <v>119</v>
      </c>
      <c r="AK109" s="623">
        <f t="shared" si="12"/>
        <v>28</v>
      </c>
      <c r="AL109" s="623">
        <f t="shared" si="13"/>
        <v>147</v>
      </c>
    </row>
    <row r="110" spans="1:38" ht="25.5" customHeight="1">
      <c r="A110" s="665" t="s">
        <v>364</v>
      </c>
      <c r="B110" s="615" t="s">
        <v>173</v>
      </c>
      <c r="C110" s="617" t="s">
        <v>173</v>
      </c>
      <c r="D110" s="575" t="s">
        <v>331</v>
      </c>
      <c r="E110" s="575" t="s">
        <v>331</v>
      </c>
      <c r="F110" s="575" t="s">
        <v>331</v>
      </c>
      <c r="G110" s="575" t="s">
        <v>331</v>
      </c>
      <c r="H110" s="575" t="s">
        <v>331</v>
      </c>
      <c r="I110" s="575" t="s">
        <v>14</v>
      </c>
      <c r="J110" s="575" t="s">
        <v>14</v>
      </c>
      <c r="K110" s="618" t="s">
        <v>325</v>
      </c>
      <c r="L110" s="618" t="s">
        <v>325</v>
      </c>
      <c r="M110" s="618" t="s">
        <v>325</v>
      </c>
      <c r="N110" s="618" t="s">
        <v>325</v>
      </c>
      <c r="O110" s="618" t="s">
        <v>325</v>
      </c>
      <c r="P110" s="617" t="s">
        <v>173</v>
      </c>
      <c r="Q110" s="617" t="s">
        <v>173</v>
      </c>
      <c r="R110" s="734" t="s">
        <v>9</v>
      </c>
      <c r="S110" s="734" t="s">
        <v>9</v>
      </c>
      <c r="T110" s="734" t="s">
        <v>9</v>
      </c>
      <c r="U110" s="734" t="s">
        <v>9</v>
      </c>
      <c r="V110" s="734" t="s">
        <v>9</v>
      </c>
      <c r="W110" s="734" t="s">
        <v>9</v>
      </c>
      <c r="X110" s="734" t="s">
        <v>9</v>
      </c>
      <c r="Y110" s="734" t="s">
        <v>9</v>
      </c>
      <c r="Z110" s="734" t="s">
        <v>9</v>
      </c>
      <c r="AA110" s="734" t="s">
        <v>9</v>
      </c>
      <c r="AB110" s="734" t="s">
        <v>9</v>
      </c>
      <c r="AC110" s="734" t="s">
        <v>9</v>
      </c>
      <c r="AD110" s="734" t="s">
        <v>9</v>
      </c>
      <c r="AE110" s="734" t="s">
        <v>9</v>
      </c>
      <c r="AF110" s="741" t="s">
        <v>331</v>
      </c>
      <c r="AH110" s="840">
        <v>9</v>
      </c>
      <c r="AI110" s="840">
        <v>2</v>
      </c>
      <c r="AJ110" s="623">
        <f t="shared" si="15"/>
        <v>63</v>
      </c>
      <c r="AK110" s="623">
        <f t="shared" si="12"/>
        <v>14</v>
      </c>
      <c r="AL110" s="623">
        <f t="shared" si="13"/>
        <v>77</v>
      </c>
    </row>
    <row r="111" spans="1:38" ht="25.5" customHeight="1">
      <c r="H111" s="578" t="s">
        <v>426</v>
      </c>
      <c r="I111" s="578" t="s">
        <v>352</v>
      </c>
      <c r="O111" s="578" t="s">
        <v>426</v>
      </c>
      <c r="P111" s="578" t="s">
        <v>352</v>
      </c>
    </row>
    <row r="112" spans="1:38" ht="25.5" customHeight="1">
      <c r="B112" s="871" t="s">
        <v>428</v>
      </c>
      <c r="C112" s="872"/>
      <c r="D112" s="872"/>
      <c r="E112" s="872"/>
      <c r="F112" s="872"/>
      <c r="G112" s="872"/>
      <c r="H112" s="872"/>
      <c r="I112" s="872"/>
      <c r="J112" s="872"/>
      <c r="K112" s="872"/>
      <c r="L112" s="872"/>
      <c r="M112" s="872"/>
      <c r="N112" s="872"/>
      <c r="O112" s="872"/>
      <c r="P112" s="872"/>
      <c r="Q112" s="872"/>
      <c r="R112" s="872"/>
      <c r="S112" s="872"/>
      <c r="T112" s="872"/>
      <c r="U112" s="872"/>
      <c r="V112" s="872"/>
      <c r="W112" s="872"/>
      <c r="X112" s="872"/>
      <c r="Y112" s="872"/>
      <c r="Z112" s="872"/>
      <c r="AA112" s="872"/>
      <c r="AB112" s="872"/>
      <c r="AC112" s="872"/>
      <c r="AD112" s="872"/>
      <c r="AE112" s="873"/>
    </row>
    <row r="113" spans="1:38" ht="25.5" customHeight="1">
      <c r="A113" s="869" t="s">
        <v>341</v>
      </c>
      <c r="B113" s="633" t="s">
        <v>87</v>
      </c>
      <c r="C113" s="634" t="s">
        <v>44</v>
      </c>
      <c r="D113" s="634" t="s">
        <v>28</v>
      </c>
      <c r="E113" s="634" t="s">
        <v>9</v>
      </c>
      <c r="F113" s="634" t="s">
        <v>84</v>
      </c>
      <c r="G113" s="635" t="s">
        <v>85</v>
      </c>
      <c r="H113" s="634" t="s">
        <v>86</v>
      </c>
      <c r="I113" s="634" t="s">
        <v>87</v>
      </c>
      <c r="J113" s="634" t="s">
        <v>44</v>
      </c>
      <c r="K113" s="634" t="s">
        <v>28</v>
      </c>
      <c r="L113" s="634" t="s">
        <v>9</v>
      </c>
      <c r="M113" s="634" t="s">
        <v>84</v>
      </c>
      <c r="N113" s="635" t="s">
        <v>85</v>
      </c>
      <c r="O113" s="634" t="s">
        <v>86</v>
      </c>
      <c r="P113" s="634" t="s">
        <v>87</v>
      </c>
      <c r="Q113" s="634" t="s">
        <v>44</v>
      </c>
      <c r="R113" s="634" t="s">
        <v>28</v>
      </c>
      <c r="S113" s="634" t="s">
        <v>9</v>
      </c>
      <c r="T113" s="634" t="s">
        <v>84</v>
      </c>
      <c r="U113" s="635" t="s">
        <v>85</v>
      </c>
      <c r="V113" s="634" t="s">
        <v>86</v>
      </c>
      <c r="W113" s="634" t="s">
        <v>87</v>
      </c>
      <c r="X113" s="634" t="s">
        <v>44</v>
      </c>
      <c r="Y113" s="634" t="s">
        <v>28</v>
      </c>
      <c r="Z113" s="634" t="s">
        <v>9</v>
      </c>
      <c r="AA113" s="634" t="s">
        <v>84</v>
      </c>
      <c r="AB113" s="635" t="s">
        <v>85</v>
      </c>
      <c r="AC113" s="634" t="s">
        <v>86</v>
      </c>
      <c r="AD113" s="634" t="s">
        <v>87</v>
      </c>
      <c r="AE113" s="636" t="s">
        <v>44</v>
      </c>
    </row>
    <row r="114" spans="1:38" ht="25.5" customHeight="1">
      <c r="A114" s="870"/>
      <c r="B114" s="701">
        <v>1</v>
      </c>
      <c r="C114" s="640">
        <v>2</v>
      </c>
      <c r="D114" s="638">
        <v>3</v>
      </c>
      <c r="E114" s="638">
        <v>4</v>
      </c>
      <c r="F114" s="639">
        <v>5</v>
      </c>
      <c r="G114" s="639">
        <v>6</v>
      </c>
      <c r="H114" s="638">
        <v>7</v>
      </c>
      <c r="I114" s="638">
        <v>8</v>
      </c>
      <c r="J114" s="638">
        <v>9</v>
      </c>
      <c r="K114" s="638">
        <v>10</v>
      </c>
      <c r="L114" s="638">
        <v>11</v>
      </c>
      <c r="M114" s="639">
        <v>12</v>
      </c>
      <c r="N114" s="639">
        <v>13</v>
      </c>
      <c r="O114" s="638">
        <v>14</v>
      </c>
      <c r="P114" s="638">
        <v>15</v>
      </c>
      <c r="Q114" s="638">
        <v>16</v>
      </c>
      <c r="R114" s="638">
        <v>17</v>
      </c>
      <c r="S114" s="638">
        <v>18</v>
      </c>
      <c r="T114" s="639">
        <v>19</v>
      </c>
      <c r="U114" s="639">
        <v>20</v>
      </c>
      <c r="V114" s="638">
        <v>21</v>
      </c>
      <c r="W114" s="638">
        <v>22</v>
      </c>
      <c r="X114" s="638">
        <v>23</v>
      </c>
      <c r="Y114" s="638">
        <v>24</v>
      </c>
      <c r="Z114" s="638">
        <v>25</v>
      </c>
      <c r="AA114" s="639">
        <v>26</v>
      </c>
      <c r="AB114" s="639">
        <v>27</v>
      </c>
      <c r="AC114" s="638">
        <v>28</v>
      </c>
      <c r="AD114" s="640">
        <v>29</v>
      </c>
      <c r="AE114" s="641">
        <v>30</v>
      </c>
      <c r="AH114" s="840" t="s">
        <v>342</v>
      </c>
      <c r="AI114" s="840" t="s">
        <v>9</v>
      </c>
      <c r="AL114" s="623" t="s">
        <v>386</v>
      </c>
    </row>
    <row r="115" spans="1:38" ht="25.5" customHeight="1">
      <c r="A115" s="650" t="s">
        <v>345</v>
      </c>
      <c r="B115" s="752" t="s">
        <v>9</v>
      </c>
      <c r="C115" s="580" t="s">
        <v>9</v>
      </c>
      <c r="D115" s="580" t="s">
        <v>9</v>
      </c>
      <c r="E115" s="580" t="s">
        <v>9</v>
      </c>
      <c r="F115" s="580" t="s">
        <v>9</v>
      </c>
      <c r="G115" s="580" t="s">
        <v>9</v>
      </c>
      <c r="H115" s="602" t="s">
        <v>329</v>
      </c>
      <c r="I115" s="602" t="s">
        <v>329</v>
      </c>
      <c r="J115" s="602" t="s">
        <v>329</v>
      </c>
      <c r="K115" s="602" t="s">
        <v>329</v>
      </c>
      <c r="L115" s="602" t="s">
        <v>329</v>
      </c>
      <c r="M115" s="579" t="s">
        <v>173</v>
      </c>
      <c r="N115" s="579" t="s">
        <v>173</v>
      </c>
      <c r="O115" s="602" t="s">
        <v>329</v>
      </c>
      <c r="P115" s="602" t="s">
        <v>329</v>
      </c>
      <c r="Q115" s="602" t="s">
        <v>329</v>
      </c>
      <c r="R115" s="602" t="s">
        <v>329</v>
      </c>
      <c r="S115" s="602" t="s">
        <v>329</v>
      </c>
      <c r="T115" s="579" t="s">
        <v>173</v>
      </c>
      <c r="U115" s="579" t="s">
        <v>173</v>
      </c>
      <c r="V115" s="602" t="s">
        <v>329</v>
      </c>
      <c r="W115" s="602" t="s">
        <v>329</v>
      </c>
      <c r="X115" s="602" t="s">
        <v>329</v>
      </c>
      <c r="Y115" s="602" t="s">
        <v>329</v>
      </c>
      <c r="Z115" s="602" t="s">
        <v>329</v>
      </c>
      <c r="AA115" s="579" t="s">
        <v>173</v>
      </c>
      <c r="AB115" s="579" t="s">
        <v>173</v>
      </c>
      <c r="AC115" s="602" t="s">
        <v>329</v>
      </c>
      <c r="AD115" s="602" t="s">
        <v>329</v>
      </c>
      <c r="AE115" s="604" t="s">
        <v>329</v>
      </c>
      <c r="AH115" s="840">
        <v>18</v>
      </c>
      <c r="AI115" s="840">
        <v>4</v>
      </c>
      <c r="AJ115" s="623">
        <f t="shared" ref="AJ115:AJ158" si="16">AH115*8</f>
        <v>144</v>
      </c>
      <c r="AK115" s="623">
        <f t="shared" ref="AK115:AK158" si="17">AI115*7</f>
        <v>28</v>
      </c>
      <c r="AL115" s="623">
        <f t="shared" ref="AL115:AL158" si="18">SUM(AJ115,AK115)</f>
        <v>172</v>
      </c>
    </row>
    <row r="116" spans="1:38" ht="25.5" customHeight="1">
      <c r="A116" s="678" t="s">
        <v>347</v>
      </c>
      <c r="B116" s="704" t="s">
        <v>329</v>
      </c>
      <c r="C116" s="600" t="s">
        <v>329</v>
      </c>
      <c r="D116" s="600" t="s">
        <v>329</v>
      </c>
      <c r="E116" s="600" t="s">
        <v>329</v>
      </c>
      <c r="F116" s="574" t="s">
        <v>173</v>
      </c>
      <c r="G116" s="574" t="s">
        <v>173</v>
      </c>
      <c r="H116" s="600" t="s">
        <v>329</v>
      </c>
      <c r="I116" s="600" t="s">
        <v>329</v>
      </c>
      <c r="J116" s="600" t="s">
        <v>329</v>
      </c>
      <c r="K116" s="600" t="s">
        <v>329</v>
      </c>
      <c r="L116" s="600" t="s">
        <v>329</v>
      </c>
      <c r="M116" s="574" t="s">
        <v>173</v>
      </c>
      <c r="N116" s="574" t="s">
        <v>173</v>
      </c>
      <c r="O116" s="600" t="s">
        <v>329</v>
      </c>
      <c r="P116" s="600" t="s">
        <v>329</v>
      </c>
      <c r="Q116" s="600" t="s">
        <v>329</v>
      </c>
      <c r="R116" s="600" t="s">
        <v>329</v>
      </c>
      <c r="S116" s="600" t="s">
        <v>329</v>
      </c>
      <c r="T116" s="574" t="s">
        <v>173</v>
      </c>
      <c r="U116" s="574" t="s">
        <v>173</v>
      </c>
      <c r="V116" s="600" t="s">
        <v>329</v>
      </c>
      <c r="W116" s="600" t="s">
        <v>329</v>
      </c>
      <c r="X116" s="600" t="s">
        <v>329</v>
      </c>
      <c r="Y116" s="600" t="s">
        <v>329</v>
      </c>
      <c r="Z116" s="600" t="s">
        <v>329</v>
      </c>
      <c r="AA116" s="574" t="s">
        <v>173</v>
      </c>
      <c r="AB116" s="574" t="s">
        <v>173</v>
      </c>
      <c r="AC116" s="600" t="s">
        <v>329</v>
      </c>
      <c r="AD116" s="600" t="s">
        <v>329</v>
      </c>
      <c r="AE116" s="606" t="s">
        <v>329</v>
      </c>
      <c r="AH116" s="840">
        <v>18</v>
      </c>
      <c r="AI116" s="840">
        <v>4</v>
      </c>
      <c r="AJ116" s="623">
        <f t="shared" si="16"/>
        <v>144</v>
      </c>
      <c r="AK116" s="623">
        <f t="shared" si="17"/>
        <v>28</v>
      </c>
      <c r="AL116" s="623">
        <f t="shared" si="18"/>
        <v>172</v>
      </c>
    </row>
    <row r="117" spans="1:38" ht="25.5" customHeight="1">
      <c r="A117" s="650" t="s">
        <v>349</v>
      </c>
      <c r="B117" s="705" t="s">
        <v>327</v>
      </c>
      <c r="C117" s="573" t="s">
        <v>327</v>
      </c>
      <c r="D117" s="573" t="s">
        <v>327</v>
      </c>
      <c r="E117" s="577" t="s">
        <v>327</v>
      </c>
      <c r="F117" s="574" t="s">
        <v>173</v>
      </c>
      <c r="G117" s="574" t="s">
        <v>173</v>
      </c>
      <c r="H117" s="573" t="s">
        <v>327</v>
      </c>
      <c r="I117" s="573" t="s">
        <v>327</v>
      </c>
      <c r="J117" s="573" t="s">
        <v>327</v>
      </c>
      <c r="K117" s="573" t="s">
        <v>327</v>
      </c>
      <c r="L117" s="577" t="s">
        <v>327</v>
      </c>
      <c r="M117" s="574" t="s">
        <v>173</v>
      </c>
      <c r="N117" s="574" t="s">
        <v>173</v>
      </c>
      <c r="O117" s="573" t="s">
        <v>327</v>
      </c>
      <c r="P117" s="573" t="s">
        <v>327</v>
      </c>
      <c r="Q117" s="573" t="s">
        <v>327</v>
      </c>
      <c r="R117" s="573" t="s">
        <v>327</v>
      </c>
      <c r="S117" s="577" t="s">
        <v>327</v>
      </c>
      <c r="T117" s="574" t="s">
        <v>173</v>
      </c>
      <c r="U117" s="574" t="s">
        <v>173</v>
      </c>
      <c r="V117" s="573" t="s">
        <v>327</v>
      </c>
      <c r="W117" s="573" t="s">
        <v>327</v>
      </c>
      <c r="X117" s="573" t="s">
        <v>327</v>
      </c>
      <c r="Y117" s="573" t="s">
        <v>327</v>
      </c>
      <c r="Z117" s="573" t="s">
        <v>327</v>
      </c>
      <c r="AA117" s="574" t="s">
        <v>173</v>
      </c>
      <c r="AB117" s="574" t="s">
        <v>173</v>
      </c>
      <c r="AC117" s="573" t="s">
        <v>327</v>
      </c>
      <c r="AD117" s="573" t="s">
        <v>327</v>
      </c>
      <c r="AE117" s="608" t="s">
        <v>327</v>
      </c>
      <c r="AH117" s="840">
        <v>18</v>
      </c>
      <c r="AI117" s="840">
        <v>4</v>
      </c>
      <c r="AJ117" s="623">
        <f t="shared" si="16"/>
        <v>144</v>
      </c>
      <c r="AK117" s="623">
        <f t="shared" si="17"/>
        <v>28</v>
      </c>
      <c r="AL117" s="623">
        <f t="shared" si="18"/>
        <v>172</v>
      </c>
    </row>
    <row r="118" spans="1:38" ht="25.5" customHeight="1">
      <c r="A118" s="654" t="s">
        <v>353</v>
      </c>
      <c r="B118" s="705" t="s">
        <v>327</v>
      </c>
      <c r="C118" s="573" t="s">
        <v>327</v>
      </c>
      <c r="D118" s="573" t="s">
        <v>327</v>
      </c>
      <c r="E118" s="577" t="s">
        <v>327</v>
      </c>
      <c r="F118" s="574" t="s">
        <v>173</v>
      </c>
      <c r="G118" s="574" t="s">
        <v>173</v>
      </c>
      <c r="H118" s="600" t="s">
        <v>329</v>
      </c>
      <c r="I118" s="600" t="s">
        <v>329</v>
      </c>
      <c r="J118" s="600" t="s">
        <v>329</v>
      </c>
      <c r="K118" s="600" t="s">
        <v>329</v>
      </c>
      <c r="L118" s="600" t="s">
        <v>329</v>
      </c>
      <c r="M118" s="574" t="s">
        <v>173</v>
      </c>
      <c r="N118" s="574" t="s">
        <v>173</v>
      </c>
      <c r="O118" s="573" t="s">
        <v>327</v>
      </c>
      <c r="P118" s="573" t="s">
        <v>327</v>
      </c>
      <c r="Q118" s="573" t="s">
        <v>327</v>
      </c>
      <c r="R118" s="573" t="s">
        <v>327</v>
      </c>
      <c r="S118" s="577" t="s">
        <v>327</v>
      </c>
      <c r="T118" s="574" t="s">
        <v>173</v>
      </c>
      <c r="U118" s="574" t="s">
        <v>173</v>
      </c>
      <c r="V118" s="600" t="s">
        <v>329</v>
      </c>
      <c r="W118" s="600" t="s">
        <v>329</v>
      </c>
      <c r="X118" s="600" t="s">
        <v>329</v>
      </c>
      <c r="Y118" s="600" t="s">
        <v>329</v>
      </c>
      <c r="Z118" s="600" t="s">
        <v>329</v>
      </c>
      <c r="AA118" s="574" t="s">
        <v>173</v>
      </c>
      <c r="AB118" s="574" t="s">
        <v>173</v>
      </c>
      <c r="AC118" s="573" t="s">
        <v>327</v>
      </c>
      <c r="AD118" s="573" t="s">
        <v>327</v>
      </c>
      <c r="AE118" s="608" t="s">
        <v>327</v>
      </c>
      <c r="AH118" s="840">
        <v>18</v>
      </c>
      <c r="AI118" s="840">
        <v>4</v>
      </c>
      <c r="AJ118" s="623">
        <f t="shared" si="16"/>
        <v>144</v>
      </c>
      <c r="AK118" s="623">
        <f t="shared" si="17"/>
        <v>28</v>
      </c>
      <c r="AL118" s="623">
        <f t="shared" si="18"/>
        <v>172</v>
      </c>
    </row>
    <row r="119" spans="1:38" ht="25.5" customHeight="1">
      <c r="A119" s="659" t="s">
        <v>354</v>
      </c>
      <c r="B119" s="709" t="s">
        <v>325</v>
      </c>
      <c r="C119" s="609" t="s">
        <v>325</v>
      </c>
      <c r="D119" s="609" t="s">
        <v>325</v>
      </c>
      <c r="E119" s="609" t="s">
        <v>325</v>
      </c>
      <c r="F119" s="574" t="s">
        <v>173</v>
      </c>
      <c r="G119" s="574" t="s">
        <v>173</v>
      </c>
      <c r="H119" s="609" t="s">
        <v>325</v>
      </c>
      <c r="I119" s="609" t="s">
        <v>325</v>
      </c>
      <c r="J119" s="609" t="s">
        <v>325</v>
      </c>
      <c r="K119" s="609" t="s">
        <v>325</v>
      </c>
      <c r="L119" s="609" t="s">
        <v>325</v>
      </c>
      <c r="M119" s="574" t="s">
        <v>173</v>
      </c>
      <c r="N119" s="574" t="s">
        <v>173</v>
      </c>
      <c r="O119" s="600" t="s">
        <v>329</v>
      </c>
      <c r="P119" s="600" t="s">
        <v>329</v>
      </c>
      <c r="Q119" s="600" t="s">
        <v>329</v>
      </c>
      <c r="R119" s="600" t="s">
        <v>329</v>
      </c>
      <c r="S119" s="600" t="s">
        <v>329</v>
      </c>
      <c r="T119" s="574" t="s">
        <v>173</v>
      </c>
      <c r="U119" s="574" t="s">
        <v>173</v>
      </c>
      <c r="V119" s="576" t="s">
        <v>331</v>
      </c>
      <c r="W119" s="576" t="s">
        <v>331</v>
      </c>
      <c r="X119" s="576" t="s">
        <v>331</v>
      </c>
      <c r="Y119" s="576" t="s">
        <v>331</v>
      </c>
      <c r="Z119" s="576" t="s">
        <v>331</v>
      </c>
      <c r="AA119" s="576" t="s">
        <v>14</v>
      </c>
      <c r="AB119" s="576" t="s">
        <v>14</v>
      </c>
      <c r="AC119" s="609" t="s">
        <v>325</v>
      </c>
      <c r="AD119" s="609" t="s">
        <v>325</v>
      </c>
      <c r="AE119" s="613" t="s">
        <v>325</v>
      </c>
      <c r="AH119" s="840">
        <v>18</v>
      </c>
      <c r="AI119" s="840">
        <v>4</v>
      </c>
      <c r="AJ119" s="623">
        <f t="shared" si="16"/>
        <v>144</v>
      </c>
      <c r="AK119" s="623">
        <f t="shared" si="17"/>
        <v>28</v>
      </c>
      <c r="AL119" s="623">
        <f t="shared" si="18"/>
        <v>172</v>
      </c>
    </row>
    <row r="120" spans="1:38" ht="25.5" customHeight="1">
      <c r="A120" s="661" t="s">
        <v>360</v>
      </c>
      <c r="B120" s="709" t="s">
        <v>325</v>
      </c>
      <c r="C120" s="609" t="s">
        <v>325</v>
      </c>
      <c r="D120" s="609" t="s">
        <v>325</v>
      </c>
      <c r="E120" s="609" t="s">
        <v>325</v>
      </c>
      <c r="F120" s="574" t="s">
        <v>173</v>
      </c>
      <c r="G120" s="574" t="s">
        <v>173</v>
      </c>
      <c r="H120" s="600" t="s">
        <v>329</v>
      </c>
      <c r="I120" s="600" t="s">
        <v>329</v>
      </c>
      <c r="J120" s="600" t="s">
        <v>329</v>
      </c>
      <c r="K120" s="600" t="s">
        <v>329</v>
      </c>
      <c r="L120" s="600" t="s">
        <v>329</v>
      </c>
      <c r="M120" s="574" t="s">
        <v>173</v>
      </c>
      <c r="N120" s="574" t="s">
        <v>173</v>
      </c>
      <c r="O120" s="576" t="s">
        <v>331</v>
      </c>
      <c r="P120" s="576" t="s">
        <v>331</v>
      </c>
      <c r="Q120" s="576" t="s">
        <v>331</v>
      </c>
      <c r="R120" s="576" t="s">
        <v>331</v>
      </c>
      <c r="S120" s="576" t="s">
        <v>331</v>
      </c>
      <c r="T120" s="576" t="s">
        <v>14</v>
      </c>
      <c r="U120" s="576" t="s">
        <v>14</v>
      </c>
      <c r="V120" s="609" t="s">
        <v>325</v>
      </c>
      <c r="W120" s="609" t="s">
        <v>325</v>
      </c>
      <c r="X120" s="609" t="s">
        <v>325</v>
      </c>
      <c r="Y120" s="609" t="s">
        <v>325</v>
      </c>
      <c r="Z120" s="609" t="s">
        <v>325</v>
      </c>
      <c r="AA120" s="574" t="s">
        <v>173</v>
      </c>
      <c r="AB120" s="574" t="s">
        <v>173</v>
      </c>
      <c r="AC120" s="609" t="s">
        <v>325</v>
      </c>
      <c r="AD120" s="609" t="s">
        <v>325</v>
      </c>
      <c r="AE120" s="613" t="s">
        <v>325</v>
      </c>
      <c r="AH120" s="840">
        <v>18</v>
      </c>
      <c r="AI120" s="840">
        <v>4</v>
      </c>
      <c r="AJ120" s="623">
        <f t="shared" si="16"/>
        <v>144</v>
      </c>
      <c r="AK120" s="623">
        <f t="shared" si="17"/>
        <v>28</v>
      </c>
      <c r="AL120" s="623">
        <f t="shared" si="18"/>
        <v>172</v>
      </c>
    </row>
    <row r="121" spans="1:38" ht="25.5" customHeight="1">
      <c r="A121" s="659" t="s">
        <v>363</v>
      </c>
      <c r="B121" s="704" t="s">
        <v>383</v>
      </c>
      <c r="C121" s="600" t="s">
        <v>383</v>
      </c>
      <c r="D121" s="600" t="s">
        <v>383</v>
      </c>
      <c r="E121" s="600" t="s">
        <v>383</v>
      </c>
      <c r="F121" s="574" t="s">
        <v>173</v>
      </c>
      <c r="G121" s="574"/>
      <c r="H121" s="576" t="s">
        <v>331</v>
      </c>
      <c r="I121" s="576" t="s">
        <v>331</v>
      </c>
      <c r="J121" s="576" t="s">
        <v>331</v>
      </c>
      <c r="K121" s="576" t="s">
        <v>331</v>
      </c>
      <c r="L121" s="576" t="s">
        <v>331</v>
      </c>
      <c r="M121" s="576" t="s">
        <v>14</v>
      </c>
      <c r="N121" s="576" t="s">
        <v>14</v>
      </c>
      <c r="O121" s="609" t="s">
        <v>325</v>
      </c>
      <c r="P121" s="609" t="s">
        <v>325</v>
      </c>
      <c r="Q121" s="609" t="s">
        <v>325</v>
      </c>
      <c r="R121" s="609" t="s">
        <v>325</v>
      </c>
      <c r="S121" s="609" t="s">
        <v>325</v>
      </c>
      <c r="T121" s="574" t="s">
        <v>173</v>
      </c>
      <c r="U121" s="574" t="s">
        <v>173</v>
      </c>
      <c r="V121" s="609" t="s">
        <v>325</v>
      </c>
      <c r="W121" s="609" t="s">
        <v>325</v>
      </c>
      <c r="X121" s="609" t="s">
        <v>325</v>
      </c>
      <c r="Y121" s="609" t="s">
        <v>325</v>
      </c>
      <c r="Z121" s="609" t="s">
        <v>325</v>
      </c>
      <c r="AA121" s="574"/>
      <c r="AB121" s="574"/>
      <c r="AC121" s="600" t="s">
        <v>383</v>
      </c>
      <c r="AD121" s="600" t="s">
        <v>383</v>
      </c>
      <c r="AE121" s="606" t="s">
        <v>383</v>
      </c>
      <c r="AH121" s="840">
        <v>18</v>
      </c>
      <c r="AI121" s="840">
        <v>4</v>
      </c>
      <c r="AJ121" s="623">
        <f t="shared" si="16"/>
        <v>144</v>
      </c>
      <c r="AK121" s="623">
        <f t="shared" si="17"/>
        <v>28</v>
      </c>
      <c r="AL121" s="623">
        <f t="shared" si="18"/>
        <v>172</v>
      </c>
    </row>
    <row r="122" spans="1:38" ht="25.5" customHeight="1">
      <c r="A122" s="665" t="s">
        <v>364</v>
      </c>
      <c r="B122" s="740" t="s">
        <v>331</v>
      </c>
      <c r="C122" s="575" t="s">
        <v>331</v>
      </c>
      <c r="D122" s="575" t="s">
        <v>331</v>
      </c>
      <c r="E122" s="575" t="s">
        <v>331</v>
      </c>
      <c r="F122" s="575" t="s">
        <v>14</v>
      </c>
      <c r="G122" s="575" t="s">
        <v>14</v>
      </c>
      <c r="H122" s="618" t="s">
        <v>325</v>
      </c>
      <c r="I122" s="618" t="s">
        <v>325</v>
      </c>
      <c r="J122" s="618" t="s">
        <v>325</v>
      </c>
      <c r="K122" s="618" t="s">
        <v>325</v>
      </c>
      <c r="L122" s="618" t="s">
        <v>325</v>
      </c>
      <c r="M122" s="617" t="s">
        <v>173</v>
      </c>
      <c r="N122" s="617" t="s">
        <v>173</v>
      </c>
      <c r="O122" s="618" t="s">
        <v>325</v>
      </c>
      <c r="P122" s="618" t="s">
        <v>325</v>
      </c>
      <c r="Q122" s="618" t="s">
        <v>325</v>
      </c>
      <c r="R122" s="618" t="s">
        <v>325</v>
      </c>
      <c r="S122" s="618" t="s">
        <v>325</v>
      </c>
      <c r="T122" s="617" t="s">
        <v>173</v>
      </c>
      <c r="U122" s="617" t="s">
        <v>173</v>
      </c>
      <c r="V122" s="616" t="s">
        <v>329</v>
      </c>
      <c r="W122" s="616" t="s">
        <v>329</v>
      </c>
      <c r="X122" s="616" t="s">
        <v>329</v>
      </c>
      <c r="Y122" s="616" t="s">
        <v>329</v>
      </c>
      <c r="Z122" s="616" t="s">
        <v>329</v>
      </c>
      <c r="AA122" s="617" t="s">
        <v>173</v>
      </c>
      <c r="AB122" s="617" t="s">
        <v>173</v>
      </c>
      <c r="AC122" s="575" t="s">
        <v>331</v>
      </c>
      <c r="AD122" s="575" t="s">
        <v>331</v>
      </c>
      <c r="AE122" s="741" t="s">
        <v>331</v>
      </c>
      <c r="AH122" s="840">
        <v>18</v>
      </c>
      <c r="AI122" s="840">
        <v>4</v>
      </c>
      <c r="AJ122" s="623">
        <f t="shared" si="16"/>
        <v>144</v>
      </c>
      <c r="AK122" s="623">
        <f t="shared" si="17"/>
        <v>28</v>
      </c>
      <c r="AL122" s="623">
        <f t="shared" si="18"/>
        <v>172</v>
      </c>
    </row>
    <row r="123" spans="1:38" ht="25.5" customHeight="1">
      <c r="E123" s="578" t="s">
        <v>426</v>
      </c>
      <c r="F123" s="578" t="s">
        <v>352</v>
      </c>
    </row>
    <row r="124" spans="1:38" ht="25.5" customHeight="1">
      <c r="B124" s="871" t="s">
        <v>429</v>
      </c>
      <c r="C124" s="872"/>
      <c r="D124" s="872"/>
      <c r="E124" s="872"/>
      <c r="F124" s="872"/>
      <c r="G124" s="872"/>
      <c r="H124" s="872"/>
      <c r="I124" s="872"/>
      <c r="J124" s="872"/>
      <c r="K124" s="872"/>
      <c r="L124" s="872"/>
      <c r="M124" s="872"/>
      <c r="N124" s="872"/>
      <c r="O124" s="872"/>
      <c r="P124" s="872"/>
      <c r="Q124" s="872"/>
      <c r="R124" s="872"/>
      <c r="S124" s="872"/>
      <c r="T124" s="872"/>
      <c r="U124" s="872"/>
      <c r="V124" s="872"/>
      <c r="W124" s="872"/>
      <c r="X124" s="872"/>
      <c r="Y124" s="872"/>
      <c r="Z124" s="872"/>
      <c r="AA124" s="872"/>
      <c r="AB124" s="872"/>
      <c r="AC124" s="872"/>
      <c r="AD124" s="872"/>
      <c r="AE124" s="872"/>
      <c r="AF124" s="873"/>
    </row>
    <row r="125" spans="1:38" ht="25.5" customHeight="1">
      <c r="A125" s="869" t="s">
        <v>341</v>
      </c>
      <c r="B125" s="633" t="s">
        <v>28</v>
      </c>
      <c r="C125" s="634" t="s">
        <v>9</v>
      </c>
      <c r="D125" s="634" t="s">
        <v>84</v>
      </c>
      <c r="E125" s="635" t="s">
        <v>85</v>
      </c>
      <c r="F125" s="634" t="s">
        <v>86</v>
      </c>
      <c r="G125" s="634" t="s">
        <v>87</v>
      </c>
      <c r="H125" s="634" t="s">
        <v>44</v>
      </c>
      <c r="I125" s="634" t="s">
        <v>28</v>
      </c>
      <c r="J125" s="634" t="s">
        <v>9</v>
      </c>
      <c r="K125" s="634" t="s">
        <v>84</v>
      </c>
      <c r="L125" s="635" t="s">
        <v>85</v>
      </c>
      <c r="M125" s="634" t="s">
        <v>86</v>
      </c>
      <c r="N125" s="634" t="s">
        <v>87</v>
      </c>
      <c r="O125" s="634" t="s">
        <v>44</v>
      </c>
      <c r="P125" s="634" t="s">
        <v>28</v>
      </c>
      <c r="Q125" s="634" t="s">
        <v>9</v>
      </c>
      <c r="R125" s="634" t="s">
        <v>84</v>
      </c>
      <c r="S125" s="635" t="s">
        <v>85</v>
      </c>
      <c r="T125" s="634" t="s">
        <v>86</v>
      </c>
      <c r="U125" s="634" t="s">
        <v>87</v>
      </c>
      <c r="V125" s="634" t="s">
        <v>44</v>
      </c>
      <c r="W125" s="634" t="s">
        <v>28</v>
      </c>
      <c r="X125" s="634" t="s">
        <v>9</v>
      </c>
      <c r="Y125" s="634" t="s">
        <v>84</v>
      </c>
      <c r="Z125" s="635" t="s">
        <v>85</v>
      </c>
      <c r="AA125" s="634" t="s">
        <v>86</v>
      </c>
      <c r="AB125" s="634" t="s">
        <v>87</v>
      </c>
      <c r="AC125" s="634" t="s">
        <v>44</v>
      </c>
      <c r="AD125" s="634" t="s">
        <v>28</v>
      </c>
      <c r="AE125" s="634" t="s">
        <v>9</v>
      </c>
      <c r="AF125" s="636" t="s">
        <v>84</v>
      </c>
    </row>
    <row r="126" spans="1:38" ht="25.5" customHeight="1">
      <c r="A126" s="890"/>
      <c r="B126" s="701">
        <v>1</v>
      </c>
      <c r="C126" s="640">
        <v>2</v>
      </c>
      <c r="D126" s="639">
        <v>3</v>
      </c>
      <c r="E126" s="639">
        <v>4</v>
      </c>
      <c r="F126" s="638">
        <v>5</v>
      </c>
      <c r="G126" s="638">
        <v>6</v>
      </c>
      <c r="H126" s="638">
        <v>7</v>
      </c>
      <c r="I126" s="638">
        <v>8</v>
      </c>
      <c r="J126" s="638">
        <v>9</v>
      </c>
      <c r="K126" s="639">
        <v>10</v>
      </c>
      <c r="L126" s="639">
        <v>11</v>
      </c>
      <c r="M126" s="639">
        <v>12</v>
      </c>
      <c r="N126" s="638">
        <v>13</v>
      </c>
      <c r="O126" s="638">
        <v>14</v>
      </c>
      <c r="P126" s="638">
        <v>15</v>
      </c>
      <c r="Q126" s="638">
        <v>16</v>
      </c>
      <c r="R126" s="639">
        <v>17</v>
      </c>
      <c r="S126" s="639">
        <v>18</v>
      </c>
      <c r="T126" s="638">
        <v>19</v>
      </c>
      <c r="U126" s="638">
        <v>20</v>
      </c>
      <c r="V126" s="638">
        <v>21</v>
      </c>
      <c r="W126" s="638">
        <v>22</v>
      </c>
      <c r="X126" s="638">
        <v>23</v>
      </c>
      <c r="Y126" s="639">
        <v>24</v>
      </c>
      <c r="Z126" s="639">
        <v>25</v>
      </c>
      <c r="AA126" s="638">
        <v>26</v>
      </c>
      <c r="AB126" s="638">
        <v>27</v>
      </c>
      <c r="AC126" s="638">
        <v>28</v>
      </c>
      <c r="AD126" s="638">
        <v>29</v>
      </c>
      <c r="AE126" s="640">
        <v>30</v>
      </c>
      <c r="AF126" s="737">
        <v>31</v>
      </c>
      <c r="AH126" s="840" t="s">
        <v>342</v>
      </c>
      <c r="AI126" s="840" t="s">
        <v>9</v>
      </c>
      <c r="AL126" s="623" t="s">
        <v>386</v>
      </c>
    </row>
    <row r="127" spans="1:38" ht="25.5" customHeight="1">
      <c r="A127" s="650" t="s">
        <v>345</v>
      </c>
      <c r="B127" s="703" t="s">
        <v>329</v>
      </c>
      <c r="C127" s="602" t="s">
        <v>329</v>
      </c>
      <c r="D127" s="579" t="s">
        <v>173</v>
      </c>
      <c r="E127" s="579" t="s">
        <v>173</v>
      </c>
      <c r="F127" s="602" t="s">
        <v>329</v>
      </c>
      <c r="G127" s="602" t="s">
        <v>329</v>
      </c>
      <c r="H127" s="602" t="s">
        <v>329</v>
      </c>
      <c r="I127" s="602" t="s">
        <v>329</v>
      </c>
      <c r="J127" s="602" t="s">
        <v>329</v>
      </c>
      <c r="K127" s="579" t="s">
        <v>173</v>
      </c>
      <c r="L127" s="579" t="s">
        <v>173</v>
      </c>
      <c r="M127" s="731" t="s">
        <v>173</v>
      </c>
      <c r="N127" s="602" t="s">
        <v>329</v>
      </c>
      <c r="O127" s="602" t="s">
        <v>329</v>
      </c>
      <c r="P127" s="602" t="s">
        <v>329</v>
      </c>
      <c r="Q127" s="602" t="s">
        <v>329</v>
      </c>
      <c r="R127" s="579" t="s">
        <v>173</v>
      </c>
      <c r="S127" s="579" t="s">
        <v>173</v>
      </c>
      <c r="T127" s="602" t="s">
        <v>329</v>
      </c>
      <c r="U127" s="602" t="s">
        <v>329</v>
      </c>
      <c r="V127" s="602" t="s">
        <v>329</v>
      </c>
      <c r="W127" s="602" t="s">
        <v>329</v>
      </c>
      <c r="X127" s="602" t="s">
        <v>329</v>
      </c>
      <c r="Y127" s="579" t="s">
        <v>173</v>
      </c>
      <c r="Z127" s="579" t="s">
        <v>173</v>
      </c>
      <c r="AA127" s="602" t="s">
        <v>329</v>
      </c>
      <c r="AB127" s="602" t="s">
        <v>329</v>
      </c>
      <c r="AC127" s="602" t="s">
        <v>329</v>
      </c>
      <c r="AD127" s="602" t="s">
        <v>329</v>
      </c>
      <c r="AE127" s="602" t="s">
        <v>329</v>
      </c>
      <c r="AF127" s="711" t="s">
        <v>173</v>
      </c>
      <c r="AH127" s="840">
        <v>16</v>
      </c>
      <c r="AI127" s="840">
        <v>5</v>
      </c>
      <c r="AJ127" s="623">
        <f t="shared" si="16"/>
        <v>128</v>
      </c>
      <c r="AK127" s="623">
        <f t="shared" si="17"/>
        <v>35</v>
      </c>
      <c r="AL127" s="623">
        <f t="shared" si="18"/>
        <v>163</v>
      </c>
    </row>
    <row r="128" spans="1:38" ht="25.5" customHeight="1">
      <c r="A128" s="678" t="s">
        <v>347</v>
      </c>
      <c r="B128" s="704" t="s">
        <v>329</v>
      </c>
      <c r="C128" s="600" t="s">
        <v>329</v>
      </c>
      <c r="D128" s="574" t="s">
        <v>173</v>
      </c>
      <c r="E128" s="574" t="s">
        <v>173</v>
      </c>
      <c r="F128" s="600" t="s">
        <v>329</v>
      </c>
      <c r="G128" s="600" t="s">
        <v>329</v>
      </c>
      <c r="H128" s="600" t="s">
        <v>329</v>
      </c>
      <c r="I128" s="600" t="s">
        <v>329</v>
      </c>
      <c r="J128" s="600" t="s">
        <v>329</v>
      </c>
      <c r="K128" s="574" t="s">
        <v>173</v>
      </c>
      <c r="L128" s="574" t="s">
        <v>173</v>
      </c>
      <c r="M128" s="706" t="s">
        <v>173</v>
      </c>
      <c r="N128" s="600" t="s">
        <v>329</v>
      </c>
      <c r="O128" s="600" t="s">
        <v>329</v>
      </c>
      <c r="P128" s="600" t="s">
        <v>329</v>
      </c>
      <c r="Q128" s="600" t="s">
        <v>329</v>
      </c>
      <c r="R128" s="574" t="s">
        <v>173</v>
      </c>
      <c r="S128" s="574" t="s">
        <v>173</v>
      </c>
      <c r="T128" s="600" t="s">
        <v>329</v>
      </c>
      <c r="U128" s="600" t="s">
        <v>329</v>
      </c>
      <c r="V128" s="600" t="s">
        <v>329</v>
      </c>
      <c r="W128" s="600" t="s">
        <v>329</v>
      </c>
      <c r="X128" s="600" t="s">
        <v>329</v>
      </c>
      <c r="Y128" s="574" t="s">
        <v>173</v>
      </c>
      <c r="Z128" s="574" t="s">
        <v>173</v>
      </c>
      <c r="AA128" s="600" t="s">
        <v>329</v>
      </c>
      <c r="AB128" s="600" t="s">
        <v>329</v>
      </c>
      <c r="AC128" s="600" t="s">
        <v>329</v>
      </c>
      <c r="AD128" s="600" t="s">
        <v>329</v>
      </c>
      <c r="AE128" s="600" t="s">
        <v>329</v>
      </c>
      <c r="AF128" s="712" t="s">
        <v>173</v>
      </c>
      <c r="AH128" s="840">
        <v>16</v>
      </c>
      <c r="AI128" s="840">
        <v>5</v>
      </c>
      <c r="AJ128" s="623">
        <f t="shared" si="16"/>
        <v>128</v>
      </c>
      <c r="AK128" s="623">
        <f t="shared" si="17"/>
        <v>35</v>
      </c>
      <c r="AL128" s="623">
        <f t="shared" si="18"/>
        <v>163</v>
      </c>
    </row>
    <row r="129" spans="1:38" ht="25.5" customHeight="1">
      <c r="A129" s="650" t="s">
        <v>349</v>
      </c>
      <c r="B129" s="705" t="s">
        <v>327</v>
      </c>
      <c r="C129" s="577" t="s">
        <v>327</v>
      </c>
      <c r="D129" s="574" t="s">
        <v>173</v>
      </c>
      <c r="E129" s="574" t="s">
        <v>173</v>
      </c>
      <c r="F129" s="573" t="s">
        <v>327</v>
      </c>
      <c r="G129" s="573" t="s">
        <v>327</v>
      </c>
      <c r="H129" s="573" t="s">
        <v>327</v>
      </c>
      <c r="I129" s="573" t="s">
        <v>327</v>
      </c>
      <c r="J129" s="577" t="s">
        <v>327</v>
      </c>
      <c r="K129" s="574" t="s">
        <v>173</v>
      </c>
      <c r="L129" s="574" t="s">
        <v>173</v>
      </c>
      <c r="M129" s="706" t="s">
        <v>173</v>
      </c>
      <c r="N129" s="573" t="s">
        <v>327</v>
      </c>
      <c r="O129" s="573" t="s">
        <v>327</v>
      </c>
      <c r="P129" s="573" t="s">
        <v>327</v>
      </c>
      <c r="Q129" s="577" t="s">
        <v>327</v>
      </c>
      <c r="R129" s="574" t="s">
        <v>173</v>
      </c>
      <c r="S129" s="574" t="s">
        <v>173</v>
      </c>
      <c r="T129" s="573" t="s">
        <v>327</v>
      </c>
      <c r="U129" s="573" t="s">
        <v>327</v>
      </c>
      <c r="V129" s="573" t="s">
        <v>327</v>
      </c>
      <c r="W129" s="573" t="s">
        <v>327</v>
      </c>
      <c r="X129" s="573" t="s">
        <v>327</v>
      </c>
      <c r="Y129" s="574" t="s">
        <v>173</v>
      </c>
      <c r="Z129" s="574" t="s">
        <v>173</v>
      </c>
      <c r="AA129" s="573" t="s">
        <v>327</v>
      </c>
      <c r="AB129" s="573" t="s">
        <v>327</v>
      </c>
      <c r="AC129" s="573" t="s">
        <v>327</v>
      </c>
      <c r="AD129" s="573" t="s">
        <v>327</v>
      </c>
      <c r="AE129" s="573" t="s">
        <v>327</v>
      </c>
      <c r="AF129" s="712" t="s">
        <v>173</v>
      </c>
      <c r="AH129" s="840">
        <v>16</v>
      </c>
      <c r="AI129" s="840">
        <v>5</v>
      </c>
      <c r="AJ129" s="623">
        <f t="shared" si="16"/>
        <v>128</v>
      </c>
      <c r="AK129" s="623">
        <f t="shared" si="17"/>
        <v>35</v>
      </c>
      <c r="AL129" s="623">
        <f t="shared" si="18"/>
        <v>163</v>
      </c>
    </row>
    <row r="130" spans="1:38" ht="25.5" customHeight="1">
      <c r="A130" s="654" t="s">
        <v>353</v>
      </c>
      <c r="B130" s="705" t="s">
        <v>327</v>
      </c>
      <c r="C130" s="577" t="s">
        <v>327</v>
      </c>
      <c r="D130" s="574" t="s">
        <v>173</v>
      </c>
      <c r="E130" s="574" t="s">
        <v>173</v>
      </c>
      <c r="F130" s="600" t="s">
        <v>329</v>
      </c>
      <c r="G130" s="600" t="s">
        <v>329</v>
      </c>
      <c r="H130" s="600" t="s">
        <v>329</v>
      </c>
      <c r="I130" s="600" t="s">
        <v>329</v>
      </c>
      <c r="J130" s="600" t="s">
        <v>329</v>
      </c>
      <c r="K130" s="574" t="s">
        <v>173</v>
      </c>
      <c r="L130" s="574" t="s">
        <v>173</v>
      </c>
      <c r="M130" s="706" t="s">
        <v>173</v>
      </c>
      <c r="N130" s="573" t="s">
        <v>327</v>
      </c>
      <c r="O130" s="573" t="s">
        <v>327</v>
      </c>
      <c r="P130" s="573" t="s">
        <v>327</v>
      </c>
      <c r="Q130" s="577" t="s">
        <v>327</v>
      </c>
      <c r="R130" s="574" t="s">
        <v>173</v>
      </c>
      <c r="S130" s="574" t="s">
        <v>173</v>
      </c>
      <c r="T130" s="600" t="s">
        <v>329</v>
      </c>
      <c r="U130" s="600" t="s">
        <v>329</v>
      </c>
      <c r="V130" s="600" t="s">
        <v>329</v>
      </c>
      <c r="W130" s="600" t="s">
        <v>329</v>
      </c>
      <c r="X130" s="600" t="s">
        <v>329</v>
      </c>
      <c r="Y130" s="574" t="s">
        <v>173</v>
      </c>
      <c r="Z130" s="574" t="s">
        <v>173</v>
      </c>
      <c r="AA130" s="573" t="s">
        <v>327</v>
      </c>
      <c r="AB130" s="573" t="s">
        <v>327</v>
      </c>
      <c r="AC130" s="573" t="s">
        <v>327</v>
      </c>
      <c r="AD130" s="573" t="s">
        <v>327</v>
      </c>
      <c r="AE130" s="573" t="s">
        <v>327</v>
      </c>
      <c r="AF130" s="712" t="s">
        <v>173</v>
      </c>
      <c r="AH130" s="840">
        <v>16</v>
      </c>
      <c r="AI130" s="840">
        <v>5</v>
      </c>
      <c r="AJ130" s="623">
        <f t="shared" si="16"/>
        <v>128</v>
      </c>
      <c r="AK130" s="623">
        <f t="shared" si="17"/>
        <v>35</v>
      </c>
      <c r="AL130" s="623">
        <f t="shared" si="18"/>
        <v>163</v>
      </c>
    </row>
    <row r="131" spans="1:38" ht="25.5" customHeight="1">
      <c r="A131" s="659" t="s">
        <v>354</v>
      </c>
      <c r="B131" s="709" t="s">
        <v>325</v>
      </c>
      <c r="C131" s="609" t="s">
        <v>325</v>
      </c>
      <c r="D131" s="574" t="s">
        <v>173</v>
      </c>
      <c r="E131" s="574" t="s">
        <v>173</v>
      </c>
      <c r="F131" s="609" t="s">
        <v>325</v>
      </c>
      <c r="G131" s="609" t="s">
        <v>325</v>
      </c>
      <c r="H131" s="609" t="s">
        <v>325</v>
      </c>
      <c r="I131" s="609" t="s">
        <v>325</v>
      </c>
      <c r="J131" s="609" t="s">
        <v>325</v>
      </c>
      <c r="K131" s="574" t="s">
        <v>173</v>
      </c>
      <c r="L131" s="574" t="s">
        <v>173</v>
      </c>
      <c r="M131" s="706" t="s">
        <v>173</v>
      </c>
      <c r="N131" s="600" t="s">
        <v>329</v>
      </c>
      <c r="O131" s="600" t="s">
        <v>329</v>
      </c>
      <c r="P131" s="600" t="s">
        <v>329</v>
      </c>
      <c r="Q131" s="600" t="s">
        <v>329</v>
      </c>
      <c r="R131" s="574" t="s">
        <v>173</v>
      </c>
      <c r="S131" s="574" t="s">
        <v>173</v>
      </c>
      <c r="T131" s="576" t="s">
        <v>331</v>
      </c>
      <c r="U131" s="576" t="s">
        <v>331</v>
      </c>
      <c r="V131" s="576" t="s">
        <v>331</v>
      </c>
      <c r="W131" s="576" t="s">
        <v>331</v>
      </c>
      <c r="X131" s="576" t="s">
        <v>331</v>
      </c>
      <c r="Y131" s="576" t="s">
        <v>14</v>
      </c>
      <c r="Z131" s="576" t="s">
        <v>14</v>
      </c>
      <c r="AA131" s="609" t="s">
        <v>325</v>
      </c>
      <c r="AB131" s="609" t="s">
        <v>325</v>
      </c>
      <c r="AC131" s="609" t="s">
        <v>325</v>
      </c>
      <c r="AD131" s="609" t="s">
        <v>325</v>
      </c>
      <c r="AE131" s="609" t="s">
        <v>325</v>
      </c>
      <c r="AF131" s="712" t="s">
        <v>173</v>
      </c>
      <c r="AH131" s="840">
        <v>16</v>
      </c>
      <c r="AI131" s="840">
        <v>5</v>
      </c>
      <c r="AJ131" s="623">
        <f t="shared" si="16"/>
        <v>128</v>
      </c>
      <c r="AK131" s="623">
        <f t="shared" si="17"/>
        <v>35</v>
      </c>
      <c r="AL131" s="623">
        <f t="shared" si="18"/>
        <v>163</v>
      </c>
    </row>
    <row r="132" spans="1:38" ht="25.5" customHeight="1">
      <c r="A132" s="661" t="s">
        <v>360</v>
      </c>
      <c r="B132" s="709" t="s">
        <v>325</v>
      </c>
      <c r="C132" s="609" t="s">
        <v>325</v>
      </c>
      <c r="D132" s="574" t="s">
        <v>173</v>
      </c>
      <c r="E132" s="574" t="s">
        <v>173</v>
      </c>
      <c r="F132" s="600" t="s">
        <v>329</v>
      </c>
      <c r="G132" s="600" t="s">
        <v>329</v>
      </c>
      <c r="H132" s="600" t="s">
        <v>329</v>
      </c>
      <c r="I132" s="600" t="s">
        <v>329</v>
      </c>
      <c r="J132" s="600" t="s">
        <v>329</v>
      </c>
      <c r="K132" s="574" t="s">
        <v>173</v>
      </c>
      <c r="L132" s="574" t="s">
        <v>173</v>
      </c>
      <c r="M132" s="576" t="s">
        <v>14</v>
      </c>
      <c r="N132" s="576" t="s">
        <v>331</v>
      </c>
      <c r="O132" s="576" t="s">
        <v>331</v>
      </c>
      <c r="P132" s="576" t="s">
        <v>331</v>
      </c>
      <c r="Q132" s="576" t="s">
        <v>331</v>
      </c>
      <c r="R132" s="576" t="s">
        <v>14</v>
      </c>
      <c r="S132" s="576" t="s">
        <v>14</v>
      </c>
      <c r="T132" s="609" t="s">
        <v>325</v>
      </c>
      <c r="U132" s="609" t="s">
        <v>325</v>
      </c>
      <c r="V132" s="609" t="s">
        <v>325</v>
      </c>
      <c r="W132" s="609" t="s">
        <v>325</v>
      </c>
      <c r="X132" s="609" t="s">
        <v>325</v>
      </c>
      <c r="Y132" s="574" t="s">
        <v>173</v>
      </c>
      <c r="Z132" s="574" t="s">
        <v>173</v>
      </c>
      <c r="AA132" s="609" t="s">
        <v>325</v>
      </c>
      <c r="AB132" s="609" t="s">
        <v>325</v>
      </c>
      <c r="AC132" s="609" t="s">
        <v>325</v>
      </c>
      <c r="AD132" s="609" t="s">
        <v>325</v>
      </c>
      <c r="AE132" s="609" t="s">
        <v>325</v>
      </c>
      <c r="AF132" s="712" t="s">
        <v>173</v>
      </c>
      <c r="AH132" s="840">
        <v>16</v>
      </c>
      <c r="AI132" s="840">
        <v>5</v>
      </c>
      <c r="AJ132" s="623">
        <f t="shared" si="16"/>
        <v>128</v>
      </c>
      <c r="AK132" s="623">
        <f t="shared" si="17"/>
        <v>35</v>
      </c>
      <c r="AL132" s="623">
        <f t="shared" si="18"/>
        <v>163</v>
      </c>
    </row>
    <row r="133" spans="1:38" ht="25.5" customHeight="1">
      <c r="A133" s="659" t="s">
        <v>363</v>
      </c>
      <c r="B133" s="704" t="s">
        <v>383</v>
      </c>
      <c r="C133" s="600" t="s">
        <v>383</v>
      </c>
      <c r="D133" s="574" t="s">
        <v>173</v>
      </c>
      <c r="E133" s="574"/>
      <c r="F133" s="576" t="s">
        <v>331</v>
      </c>
      <c r="G133" s="576" t="s">
        <v>331</v>
      </c>
      <c r="H133" s="576" t="s">
        <v>331</v>
      </c>
      <c r="I133" s="576" t="s">
        <v>331</v>
      </c>
      <c r="J133" s="576" t="s">
        <v>331</v>
      </c>
      <c r="K133" s="576" t="s">
        <v>14</v>
      </c>
      <c r="L133" s="576" t="s">
        <v>14</v>
      </c>
      <c r="M133" s="706" t="s">
        <v>173</v>
      </c>
      <c r="N133" s="609" t="s">
        <v>325</v>
      </c>
      <c r="O133" s="609" t="s">
        <v>325</v>
      </c>
      <c r="P133" s="609" t="s">
        <v>325</v>
      </c>
      <c r="Q133" s="609" t="s">
        <v>325</v>
      </c>
      <c r="R133" s="574" t="s">
        <v>173</v>
      </c>
      <c r="S133" s="574" t="s">
        <v>173</v>
      </c>
      <c r="T133" s="609" t="s">
        <v>325</v>
      </c>
      <c r="U133" s="609" t="s">
        <v>325</v>
      </c>
      <c r="V133" s="609" t="s">
        <v>325</v>
      </c>
      <c r="W133" s="609" t="s">
        <v>325</v>
      </c>
      <c r="X133" s="609" t="s">
        <v>325</v>
      </c>
      <c r="Y133" s="574"/>
      <c r="Z133" s="574"/>
      <c r="AA133" s="600" t="s">
        <v>383</v>
      </c>
      <c r="AB133" s="600" t="s">
        <v>383</v>
      </c>
      <c r="AC133" s="600" t="s">
        <v>383</v>
      </c>
      <c r="AD133" s="600" t="s">
        <v>383</v>
      </c>
      <c r="AE133" s="600" t="s">
        <v>383</v>
      </c>
      <c r="AF133" s="712" t="s">
        <v>173</v>
      </c>
      <c r="AH133" s="840">
        <v>16</v>
      </c>
      <c r="AI133" s="840">
        <v>5</v>
      </c>
      <c r="AJ133" s="623">
        <f t="shared" si="16"/>
        <v>128</v>
      </c>
      <c r="AK133" s="623">
        <f t="shared" si="17"/>
        <v>35</v>
      </c>
      <c r="AL133" s="623">
        <f t="shared" si="18"/>
        <v>163</v>
      </c>
    </row>
    <row r="134" spans="1:38" ht="25.5" customHeight="1">
      <c r="A134" s="665" t="s">
        <v>364</v>
      </c>
      <c r="B134" s="740" t="s">
        <v>331</v>
      </c>
      <c r="C134" s="575" t="s">
        <v>331</v>
      </c>
      <c r="D134" s="575" t="s">
        <v>14</v>
      </c>
      <c r="E134" s="575" t="s">
        <v>14</v>
      </c>
      <c r="F134" s="618" t="s">
        <v>325</v>
      </c>
      <c r="G134" s="618" t="s">
        <v>325</v>
      </c>
      <c r="H134" s="618" t="s">
        <v>325</v>
      </c>
      <c r="I134" s="618" t="s">
        <v>325</v>
      </c>
      <c r="J134" s="618" t="s">
        <v>325</v>
      </c>
      <c r="K134" s="617" t="s">
        <v>173</v>
      </c>
      <c r="L134" s="617" t="s">
        <v>173</v>
      </c>
      <c r="M134" s="667" t="s">
        <v>173</v>
      </c>
      <c r="N134" s="618" t="s">
        <v>325</v>
      </c>
      <c r="O134" s="618" t="s">
        <v>325</v>
      </c>
      <c r="P134" s="618" t="s">
        <v>325</v>
      </c>
      <c r="Q134" s="618" t="s">
        <v>325</v>
      </c>
      <c r="R134" s="617" t="s">
        <v>173</v>
      </c>
      <c r="S134" s="617" t="s">
        <v>173</v>
      </c>
      <c r="T134" s="616" t="s">
        <v>329</v>
      </c>
      <c r="U134" s="616" t="s">
        <v>329</v>
      </c>
      <c r="V134" s="616" t="s">
        <v>329</v>
      </c>
      <c r="W134" s="616" t="s">
        <v>329</v>
      </c>
      <c r="X134" s="616" t="s">
        <v>329</v>
      </c>
      <c r="Y134" s="617" t="s">
        <v>173</v>
      </c>
      <c r="Z134" s="617" t="s">
        <v>173</v>
      </c>
      <c r="AA134" s="575" t="s">
        <v>331</v>
      </c>
      <c r="AB134" s="575" t="s">
        <v>331</v>
      </c>
      <c r="AC134" s="575" t="s">
        <v>331</v>
      </c>
      <c r="AD134" s="575" t="s">
        <v>331</v>
      </c>
      <c r="AE134" s="575" t="s">
        <v>331</v>
      </c>
      <c r="AF134" s="741" t="s">
        <v>14</v>
      </c>
      <c r="AH134" s="840">
        <v>16</v>
      </c>
      <c r="AI134" s="840">
        <v>5</v>
      </c>
      <c r="AJ134" s="623">
        <f t="shared" si="16"/>
        <v>128</v>
      </c>
      <c r="AK134" s="623">
        <f t="shared" si="17"/>
        <v>35</v>
      </c>
      <c r="AL134" s="623">
        <f t="shared" si="18"/>
        <v>163</v>
      </c>
    </row>
    <row r="135" spans="1:38" ht="25.5" customHeight="1"/>
    <row r="136" spans="1:38" ht="25.5" customHeight="1">
      <c r="B136" s="871" t="s">
        <v>430</v>
      </c>
      <c r="C136" s="872"/>
      <c r="D136" s="872"/>
      <c r="E136" s="872"/>
      <c r="F136" s="872"/>
      <c r="G136" s="872"/>
      <c r="H136" s="872"/>
      <c r="I136" s="872"/>
      <c r="J136" s="872"/>
      <c r="K136" s="872"/>
      <c r="L136" s="872"/>
      <c r="M136" s="872"/>
      <c r="N136" s="872"/>
      <c r="O136" s="872"/>
      <c r="P136" s="872"/>
      <c r="Q136" s="872"/>
      <c r="R136" s="872"/>
      <c r="S136" s="872"/>
      <c r="T136" s="872"/>
      <c r="U136" s="872"/>
      <c r="V136" s="872"/>
      <c r="W136" s="872"/>
      <c r="X136" s="872"/>
      <c r="Y136" s="872"/>
      <c r="Z136" s="872"/>
      <c r="AA136" s="872"/>
      <c r="AB136" s="872"/>
      <c r="AC136" s="872"/>
      <c r="AD136" s="872"/>
      <c r="AE136" s="873"/>
    </row>
    <row r="137" spans="1:38" ht="25.5" customHeight="1">
      <c r="A137" s="869" t="s">
        <v>341</v>
      </c>
      <c r="B137" s="774" t="s">
        <v>85</v>
      </c>
      <c r="C137" s="743" t="s">
        <v>86</v>
      </c>
      <c r="D137" s="743" t="s">
        <v>87</v>
      </c>
      <c r="E137" s="743" t="s">
        <v>44</v>
      </c>
      <c r="F137" s="743" t="s">
        <v>28</v>
      </c>
      <c r="G137" s="743" t="s">
        <v>9</v>
      </c>
      <c r="H137" s="743" t="s">
        <v>84</v>
      </c>
      <c r="I137" s="635" t="s">
        <v>85</v>
      </c>
      <c r="J137" s="743" t="s">
        <v>86</v>
      </c>
      <c r="K137" s="743" t="s">
        <v>87</v>
      </c>
      <c r="L137" s="743" t="s">
        <v>44</v>
      </c>
      <c r="M137" s="743" t="s">
        <v>28</v>
      </c>
      <c r="N137" s="743" t="s">
        <v>9</v>
      </c>
      <c r="O137" s="743" t="s">
        <v>84</v>
      </c>
      <c r="P137" s="635" t="s">
        <v>85</v>
      </c>
      <c r="Q137" s="743" t="s">
        <v>86</v>
      </c>
      <c r="R137" s="743" t="s">
        <v>87</v>
      </c>
      <c r="S137" s="743" t="s">
        <v>44</v>
      </c>
      <c r="T137" s="743" t="s">
        <v>28</v>
      </c>
      <c r="U137" s="743" t="s">
        <v>9</v>
      </c>
      <c r="V137" s="743" t="s">
        <v>84</v>
      </c>
      <c r="W137" s="635" t="s">
        <v>85</v>
      </c>
      <c r="X137" s="743" t="s">
        <v>86</v>
      </c>
      <c r="Y137" s="743" t="s">
        <v>87</v>
      </c>
      <c r="Z137" s="743" t="s">
        <v>44</v>
      </c>
      <c r="AA137" s="743" t="s">
        <v>28</v>
      </c>
      <c r="AB137" s="743" t="s">
        <v>9</v>
      </c>
      <c r="AC137" s="743" t="s">
        <v>84</v>
      </c>
      <c r="AD137" s="635" t="s">
        <v>85</v>
      </c>
      <c r="AE137" s="778" t="s">
        <v>86</v>
      </c>
    </row>
    <row r="138" spans="1:38" ht="25.5" customHeight="1">
      <c r="A138" s="890"/>
      <c r="B138" s="765">
        <v>1</v>
      </c>
      <c r="C138" s="640">
        <v>2</v>
      </c>
      <c r="D138" s="638">
        <v>3</v>
      </c>
      <c r="E138" s="638">
        <v>4</v>
      </c>
      <c r="F138" s="638">
        <v>5</v>
      </c>
      <c r="G138" s="638">
        <v>6</v>
      </c>
      <c r="H138" s="639">
        <v>7</v>
      </c>
      <c r="I138" s="639">
        <v>8</v>
      </c>
      <c r="J138" s="638">
        <v>9</v>
      </c>
      <c r="K138" s="638">
        <v>10</v>
      </c>
      <c r="L138" s="638">
        <v>11</v>
      </c>
      <c r="M138" s="638">
        <v>12</v>
      </c>
      <c r="N138" s="638">
        <v>13</v>
      </c>
      <c r="O138" s="639">
        <v>14</v>
      </c>
      <c r="P138" s="639">
        <v>15</v>
      </c>
      <c r="Q138" s="638">
        <v>16</v>
      </c>
      <c r="R138" s="638">
        <v>17</v>
      </c>
      <c r="S138" s="638">
        <v>18</v>
      </c>
      <c r="T138" s="638">
        <v>19</v>
      </c>
      <c r="U138" s="638">
        <v>20</v>
      </c>
      <c r="V138" s="639">
        <v>21</v>
      </c>
      <c r="W138" s="639">
        <v>22</v>
      </c>
      <c r="X138" s="638">
        <v>23</v>
      </c>
      <c r="Y138" s="776">
        <v>24</v>
      </c>
      <c r="Z138" s="776">
        <v>25</v>
      </c>
      <c r="AA138" s="776">
        <v>26</v>
      </c>
      <c r="AB138" s="776">
        <v>27</v>
      </c>
      <c r="AC138" s="777">
        <v>28</v>
      </c>
      <c r="AD138" s="685">
        <v>29</v>
      </c>
      <c r="AE138" s="641">
        <v>30</v>
      </c>
      <c r="AH138" s="840" t="s">
        <v>342</v>
      </c>
      <c r="AI138" s="840" t="s">
        <v>9</v>
      </c>
      <c r="AL138" s="623" t="s">
        <v>386</v>
      </c>
    </row>
    <row r="139" spans="1:38" ht="25.5" customHeight="1">
      <c r="A139" s="650" t="s">
        <v>345</v>
      </c>
      <c r="B139" s="601" t="s">
        <v>173</v>
      </c>
      <c r="C139" s="602" t="s">
        <v>329</v>
      </c>
      <c r="D139" s="602" t="s">
        <v>329</v>
      </c>
      <c r="E139" s="602" t="s">
        <v>329</v>
      </c>
      <c r="F139" s="602" t="s">
        <v>329</v>
      </c>
      <c r="G139" s="602" t="s">
        <v>329</v>
      </c>
      <c r="H139" s="579" t="s">
        <v>173</v>
      </c>
      <c r="I139" s="579" t="s">
        <v>173</v>
      </c>
      <c r="J139" s="731" t="s">
        <v>173</v>
      </c>
      <c r="K139" s="602" t="s">
        <v>329</v>
      </c>
      <c r="L139" s="602" t="s">
        <v>329</v>
      </c>
      <c r="M139" s="602" t="s">
        <v>329</v>
      </c>
      <c r="N139" s="602" t="s">
        <v>329</v>
      </c>
      <c r="O139" s="579" t="s">
        <v>173</v>
      </c>
      <c r="P139" s="579" t="s">
        <v>173</v>
      </c>
      <c r="Q139" s="602" t="s">
        <v>329</v>
      </c>
      <c r="R139" s="602" t="s">
        <v>329</v>
      </c>
      <c r="S139" s="602" t="s">
        <v>329</v>
      </c>
      <c r="T139" s="602" t="s">
        <v>329</v>
      </c>
      <c r="U139" s="602" t="s">
        <v>329</v>
      </c>
      <c r="V139" s="579" t="s">
        <v>173</v>
      </c>
      <c r="W139" s="579" t="s">
        <v>173</v>
      </c>
      <c r="X139" s="602" t="s">
        <v>329</v>
      </c>
      <c r="Y139" s="602" t="s">
        <v>329</v>
      </c>
      <c r="Z139" s="602" t="s">
        <v>329</v>
      </c>
      <c r="AA139" s="602" t="s">
        <v>329</v>
      </c>
      <c r="AB139" s="602" t="s">
        <v>329</v>
      </c>
      <c r="AC139" s="579" t="s">
        <v>173</v>
      </c>
      <c r="AD139" s="579" t="s">
        <v>173</v>
      </c>
      <c r="AE139" s="604" t="s">
        <v>329</v>
      </c>
      <c r="AH139" s="840">
        <v>16</v>
      </c>
      <c r="AI139" s="840">
        <v>4</v>
      </c>
      <c r="AJ139" s="623">
        <f t="shared" si="16"/>
        <v>128</v>
      </c>
      <c r="AK139" s="623">
        <f t="shared" si="17"/>
        <v>28</v>
      </c>
      <c r="AL139" s="623">
        <f t="shared" si="18"/>
        <v>156</v>
      </c>
    </row>
    <row r="140" spans="1:38" ht="25.5" customHeight="1">
      <c r="A140" s="678" t="s">
        <v>347</v>
      </c>
      <c r="B140" s="605" t="s">
        <v>173</v>
      </c>
      <c r="C140" s="600" t="s">
        <v>329</v>
      </c>
      <c r="D140" s="600" t="s">
        <v>329</v>
      </c>
      <c r="E140" s="600" t="s">
        <v>329</v>
      </c>
      <c r="F140" s="600" t="s">
        <v>329</v>
      </c>
      <c r="G140" s="600" t="s">
        <v>329</v>
      </c>
      <c r="H140" s="574" t="s">
        <v>173</v>
      </c>
      <c r="I140" s="574" t="s">
        <v>173</v>
      </c>
      <c r="J140" s="706" t="s">
        <v>173</v>
      </c>
      <c r="K140" s="600" t="s">
        <v>329</v>
      </c>
      <c r="L140" s="600" t="s">
        <v>329</v>
      </c>
      <c r="M140" s="600" t="s">
        <v>329</v>
      </c>
      <c r="N140" s="600" t="s">
        <v>329</v>
      </c>
      <c r="O140" s="574" t="s">
        <v>173</v>
      </c>
      <c r="P140" s="574" t="s">
        <v>173</v>
      </c>
      <c r="Q140" s="600" t="s">
        <v>329</v>
      </c>
      <c r="R140" s="600" t="s">
        <v>329</v>
      </c>
      <c r="S140" s="600" t="s">
        <v>329</v>
      </c>
      <c r="T140" s="600" t="s">
        <v>329</v>
      </c>
      <c r="U140" s="600" t="s">
        <v>329</v>
      </c>
      <c r="V140" s="574" t="s">
        <v>173</v>
      </c>
      <c r="W140" s="574" t="s">
        <v>173</v>
      </c>
      <c r="X140" s="600" t="s">
        <v>329</v>
      </c>
      <c r="Y140" s="600" t="s">
        <v>329</v>
      </c>
      <c r="Z140" s="600" t="s">
        <v>329</v>
      </c>
      <c r="AA140" s="600" t="s">
        <v>329</v>
      </c>
      <c r="AB140" s="600" t="s">
        <v>329</v>
      </c>
      <c r="AC140" s="574" t="s">
        <v>173</v>
      </c>
      <c r="AD140" s="574" t="s">
        <v>173</v>
      </c>
      <c r="AE140" s="606" t="s">
        <v>329</v>
      </c>
      <c r="AH140" s="840">
        <v>16</v>
      </c>
      <c r="AI140" s="840">
        <v>4</v>
      </c>
      <c r="AJ140" s="623">
        <f t="shared" si="16"/>
        <v>128</v>
      </c>
      <c r="AK140" s="623">
        <f t="shared" si="17"/>
        <v>28</v>
      </c>
      <c r="AL140" s="623">
        <f t="shared" si="18"/>
        <v>156</v>
      </c>
    </row>
    <row r="141" spans="1:38" ht="25.5" customHeight="1">
      <c r="A141" s="650" t="s">
        <v>349</v>
      </c>
      <c r="B141" s="605" t="s">
        <v>173</v>
      </c>
      <c r="C141" s="573" t="s">
        <v>327</v>
      </c>
      <c r="D141" s="573" t="s">
        <v>327</v>
      </c>
      <c r="E141" s="573" t="s">
        <v>327</v>
      </c>
      <c r="F141" s="573" t="s">
        <v>327</v>
      </c>
      <c r="G141" s="577" t="s">
        <v>327</v>
      </c>
      <c r="H141" s="574" t="s">
        <v>173</v>
      </c>
      <c r="I141" s="574" t="s">
        <v>173</v>
      </c>
      <c r="J141" s="706" t="s">
        <v>173</v>
      </c>
      <c r="K141" s="573" t="s">
        <v>327</v>
      </c>
      <c r="L141" s="573" t="s">
        <v>327</v>
      </c>
      <c r="M141" s="573" t="s">
        <v>327</v>
      </c>
      <c r="N141" s="577" t="s">
        <v>327</v>
      </c>
      <c r="O141" s="574" t="s">
        <v>173</v>
      </c>
      <c r="P141" s="574" t="s">
        <v>173</v>
      </c>
      <c r="Q141" s="573" t="s">
        <v>327</v>
      </c>
      <c r="R141" s="573" t="s">
        <v>327</v>
      </c>
      <c r="S141" s="573" t="s">
        <v>327</v>
      </c>
      <c r="T141" s="573" t="s">
        <v>327</v>
      </c>
      <c r="U141" s="573" t="s">
        <v>327</v>
      </c>
      <c r="V141" s="574" t="s">
        <v>173</v>
      </c>
      <c r="W141" s="574" t="s">
        <v>173</v>
      </c>
      <c r="X141" s="573" t="s">
        <v>327</v>
      </c>
      <c r="Y141" s="573" t="s">
        <v>327</v>
      </c>
      <c r="Z141" s="573" t="s">
        <v>327</v>
      </c>
      <c r="AA141" s="573" t="s">
        <v>327</v>
      </c>
      <c r="AB141" s="573" t="s">
        <v>327</v>
      </c>
      <c r="AC141" s="574" t="s">
        <v>173</v>
      </c>
      <c r="AD141" s="574" t="s">
        <v>173</v>
      </c>
      <c r="AE141" s="608" t="s">
        <v>327</v>
      </c>
      <c r="AH141" s="840">
        <v>16</v>
      </c>
      <c r="AI141" s="840">
        <v>4</v>
      </c>
      <c r="AJ141" s="623">
        <f t="shared" si="16"/>
        <v>128</v>
      </c>
      <c r="AK141" s="623">
        <f t="shared" si="17"/>
        <v>28</v>
      </c>
      <c r="AL141" s="623">
        <f t="shared" si="18"/>
        <v>156</v>
      </c>
    </row>
    <row r="142" spans="1:38" ht="25.5" customHeight="1">
      <c r="A142" s="654" t="s">
        <v>353</v>
      </c>
      <c r="B142" s="605" t="s">
        <v>173</v>
      </c>
      <c r="C142" s="600" t="s">
        <v>329</v>
      </c>
      <c r="D142" s="600" t="s">
        <v>329</v>
      </c>
      <c r="E142" s="600" t="s">
        <v>329</v>
      </c>
      <c r="F142" s="600" t="s">
        <v>329</v>
      </c>
      <c r="G142" s="600" t="s">
        <v>329</v>
      </c>
      <c r="H142" s="574" t="s">
        <v>173</v>
      </c>
      <c r="I142" s="574" t="s">
        <v>173</v>
      </c>
      <c r="J142" s="706" t="s">
        <v>173</v>
      </c>
      <c r="K142" s="573" t="s">
        <v>327</v>
      </c>
      <c r="L142" s="573" t="s">
        <v>327</v>
      </c>
      <c r="M142" s="573" t="s">
        <v>327</v>
      </c>
      <c r="N142" s="577" t="s">
        <v>327</v>
      </c>
      <c r="O142" s="574" t="s">
        <v>173</v>
      </c>
      <c r="P142" s="574" t="s">
        <v>173</v>
      </c>
      <c r="Q142" s="600" t="s">
        <v>329</v>
      </c>
      <c r="R142" s="600" t="s">
        <v>329</v>
      </c>
      <c r="S142" s="600" t="s">
        <v>329</v>
      </c>
      <c r="T142" s="600" t="s">
        <v>329</v>
      </c>
      <c r="U142" s="600" t="s">
        <v>329</v>
      </c>
      <c r="V142" s="574" t="s">
        <v>173</v>
      </c>
      <c r="W142" s="574" t="s">
        <v>173</v>
      </c>
      <c r="X142" s="573" t="s">
        <v>327</v>
      </c>
      <c r="Y142" s="573" t="s">
        <v>327</v>
      </c>
      <c r="Z142" s="573" t="s">
        <v>327</v>
      </c>
      <c r="AA142" s="573" t="s">
        <v>327</v>
      </c>
      <c r="AB142" s="573" t="s">
        <v>327</v>
      </c>
      <c r="AC142" s="574" t="s">
        <v>173</v>
      </c>
      <c r="AD142" s="574" t="s">
        <v>173</v>
      </c>
      <c r="AE142" s="606" t="s">
        <v>329</v>
      </c>
      <c r="AH142" s="840">
        <v>16</v>
      </c>
      <c r="AI142" s="840">
        <v>4</v>
      </c>
      <c r="AJ142" s="623">
        <f t="shared" si="16"/>
        <v>128</v>
      </c>
      <c r="AK142" s="623">
        <f t="shared" si="17"/>
        <v>28</v>
      </c>
      <c r="AL142" s="623">
        <f t="shared" si="18"/>
        <v>156</v>
      </c>
    </row>
    <row r="143" spans="1:38" ht="25.5" customHeight="1">
      <c r="A143" s="659" t="s">
        <v>354</v>
      </c>
      <c r="B143" s="605" t="s">
        <v>173</v>
      </c>
      <c r="C143" s="609" t="s">
        <v>325</v>
      </c>
      <c r="D143" s="609" t="s">
        <v>325</v>
      </c>
      <c r="E143" s="609" t="s">
        <v>325</v>
      </c>
      <c r="F143" s="609" t="s">
        <v>325</v>
      </c>
      <c r="G143" s="609" t="s">
        <v>325</v>
      </c>
      <c r="H143" s="574" t="s">
        <v>173</v>
      </c>
      <c r="I143" s="574" t="s">
        <v>173</v>
      </c>
      <c r="J143" s="706" t="s">
        <v>173</v>
      </c>
      <c r="K143" s="600" t="s">
        <v>329</v>
      </c>
      <c r="L143" s="600" t="s">
        <v>329</v>
      </c>
      <c r="M143" s="600" t="s">
        <v>329</v>
      </c>
      <c r="N143" s="600" t="s">
        <v>329</v>
      </c>
      <c r="O143" s="574" t="s">
        <v>173</v>
      </c>
      <c r="P143" s="574" t="s">
        <v>173</v>
      </c>
      <c r="Q143" s="576" t="s">
        <v>331</v>
      </c>
      <c r="R143" s="576" t="s">
        <v>331</v>
      </c>
      <c r="S143" s="576" t="s">
        <v>331</v>
      </c>
      <c r="T143" s="576" t="s">
        <v>331</v>
      </c>
      <c r="U143" s="576" t="s">
        <v>331</v>
      </c>
      <c r="V143" s="576" t="s">
        <v>14</v>
      </c>
      <c r="W143" s="576" t="s">
        <v>14</v>
      </c>
      <c r="X143" s="609" t="s">
        <v>325</v>
      </c>
      <c r="Y143" s="609" t="s">
        <v>325</v>
      </c>
      <c r="Z143" s="609" t="s">
        <v>325</v>
      </c>
      <c r="AA143" s="609" t="s">
        <v>325</v>
      </c>
      <c r="AB143" s="609" t="s">
        <v>325</v>
      </c>
      <c r="AC143" s="574" t="s">
        <v>173</v>
      </c>
      <c r="AD143" s="574" t="s">
        <v>173</v>
      </c>
      <c r="AE143" s="613" t="s">
        <v>325</v>
      </c>
      <c r="AH143" s="840">
        <v>16</v>
      </c>
      <c r="AI143" s="840">
        <v>4</v>
      </c>
      <c r="AJ143" s="623">
        <f t="shared" si="16"/>
        <v>128</v>
      </c>
      <c r="AK143" s="623">
        <f t="shared" si="17"/>
        <v>28</v>
      </c>
      <c r="AL143" s="623">
        <f t="shared" si="18"/>
        <v>156</v>
      </c>
    </row>
    <row r="144" spans="1:38" ht="25.5" customHeight="1">
      <c r="A144" s="661" t="s">
        <v>360</v>
      </c>
      <c r="B144" s="605" t="s">
        <v>173</v>
      </c>
      <c r="C144" s="600" t="s">
        <v>329</v>
      </c>
      <c r="D144" s="600" t="s">
        <v>329</v>
      </c>
      <c r="E144" s="600" t="s">
        <v>329</v>
      </c>
      <c r="F144" s="600" t="s">
        <v>329</v>
      </c>
      <c r="G144" s="600" t="s">
        <v>329</v>
      </c>
      <c r="H144" s="574" t="s">
        <v>173</v>
      </c>
      <c r="I144" s="574" t="s">
        <v>173</v>
      </c>
      <c r="J144" s="576" t="s">
        <v>14</v>
      </c>
      <c r="K144" s="576" t="s">
        <v>331</v>
      </c>
      <c r="L144" s="576" t="s">
        <v>331</v>
      </c>
      <c r="M144" s="576" t="s">
        <v>331</v>
      </c>
      <c r="N144" s="576" t="s">
        <v>331</v>
      </c>
      <c r="O144" s="576" t="s">
        <v>14</v>
      </c>
      <c r="P144" s="576" t="s">
        <v>14</v>
      </c>
      <c r="Q144" s="609" t="s">
        <v>325</v>
      </c>
      <c r="R144" s="609" t="s">
        <v>325</v>
      </c>
      <c r="S144" s="609" t="s">
        <v>325</v>
      </c>
      <c r="T144" s="609" t="s">
        <v>325</v>
      </c>
      <c r="U144" s="609" t="s">
        <v>325</v>
      </c>
      <c r="V144" s="574" t="s">
        <v>173</v>
      </c>
      <c r="W144" s="574" t="s">
        <v>173</v>
      </c>
      <c r="X144" s="609" t="s">
        <v>325</v>
      </c>
      <c r="Y144" s="609" t="s">
        <v>325</v>
      </c>
      <c r="Z144" s="609" t="s">
        <v>325</v>
      </c>
      <c r="AA144" s="609" t="s">
        <v>325</v>
      </c>
      <c r="AB144" s="609" t="s">
        <v>325</v>
      </c>
      <c r="AC144" s="574" t="s">
        <v>173</v>
      </c>
      <c r="AD144" s="574" t="s">
        <v>173</v>
      </c>
      <c r="AE144" s="606" t="s">
        <v>329</v>
      </c>
      <c r="AH144" s="840">
        <v>16</v>
      </c>
      <c r="AI144" s="840">
        <v>4</v>
      </c>
      <c r="AJ144" s="623">
        <f t="shared" si="16"/>
        <v>128</v>
      </c>
      <c r="AK144" s="623">
        <f t="shared" si="17"/>
        <v>28</v>
      </c>
      <c r="AL144" s="623">
        <f t="shared" si="18"/>
        <v>156</v>
      </c>
    </row>
    <row r="145" spans="1:38" ht="25.5" customHeight="1">
      <c r="A145" s="659" t="s">
        <v>363</v>
      </c>
      <c r="B145" s="605"/>
      <c r="C145" s="576" t="s">
        <v>331</v>
      </c>
      <c r="D145" s="576" t="s">
        <v>331</v>
      </c>
      <c r="E145" s="576" t="s">
        <v>331</v>
      </c>
      <c r="F145" s="576" t="s">
        <v>331</v>
      </c>
      <c r="G145" s="576" t="s">
        <v>331</v>
      </c>
      <c r="H145" s="576" t="s">
        <v>14</v>
      </c>
      <c r="I145" s="576" t="s">
        <v>14</v>
      </c>
      <c r="J145" s="706" t="s">
        <v>173</v>
      </c>
      <c r="K145" s="609" t="s">
        <v>325</v>
      </c>
      <c r="L145" s="609" t="s">
        <v>325</v>
      </c>
      <c r="M145" s="609" t="s">
        <v>325</v>
      </c>
      <c r="N145" s="609" t="s">
        <v>325</v>
      </c>
      <c r="O145" s="574" t="s">
        <v>173</v>
      </c>
      <c r="P145" s="574" t="s">
        <v>173</v>
      </c>
      <c r="Q145" s="609" t="s">
        <v>325</v>
      </c>
      <c r="R145" s="609" t="s">
        <v>325</v>
      </c>
      <c r="S145" s="609" t="s">
        <v>325</v>
      </c>
      <c r="T145" s="609" t="s">
        <v>325</v>
      </c>
      <c r="U145" s="609" t="s">
        <v>325</v>
      </c>
      <c r="V145" s="574"/>
      <c r="W145" s="574"/>
      <c r="X145" s="600" t="s">
        <v>383</v>
      </c>
      <c r="Y145" s="600" t="s">
        <v>383</v>
      </c>
      <c r="Z145" s="600" t="s">
        <v>383</v>
      </c>
      <c r="AA145" s="600" t="s">
        <v>383</v>
      </c>
      <c r="AB145" s="600" t="s">
        <v>383</v>
      </c>
      <c r="AC145" s="574"/>
      <c r="AD145" s="574"/>
      <c r="AE145" s="610" t="s">
        <v>331</v>
      </c>
      <c r="AH145" s="840">
        <v>16</v>
      </c>
      <c r="AI145" s="840">
        <v>4</v>
      </c>
      <c r="AJ145" s="623">
        <f t="shared" si="16"/>
        <v>128</v>
      </c>
      <c r="AK145" s="623">
        <f t="shared" si="17"/>
        <v>28</v>
      </c>
      <c r="AL145" s="623">
        <f t="shared" si="18"/>
        <v>156</v>
      </c>
    </row>
    <row r="146" spans="1:38" ht="25.5" customHeight="1">
      <c r="A146" s="665" t="s">
        <v>364</v>
      </c>
      <c r="B146" s="740" t="s">
        <v>14</v>
      </c>
      <c r="C146" s="618" t="s">
        <v>325</v>
      </c>
      <c r="D146" s="618" t="s">
        <v>325</v>
      </c>
      <c r="E146" s="618" t="s">
        <v>325</v>
      </c>
      <c r="F146" s="618" t="s">
        <v>325</v>
      </c>
      <c r="G146" s="618" t="s">
        <v>325</v>
      </c>
      <c r="H146" s="617" t="s">
        <v>173</v>
      </c>
      <c r="I146" s="617" t="s">
        <v>173</v>
      </c>
      <c r="J146" s="667" t="s">
        <v>173</v>
      </c>
      <c r="K146" s="618" t="s">
        <v>325</v>
      </c>
      <c r="L146" s="618" t="s">
        <v>325</v>
      </c>
      <c r="M146" s="618" t="s">
        <v>325</v>
      </c>
      <c r="N146" s="618" t="s">
        <v>325</v>
      </c>
      <c r="O146" s="617" t="s">
        <v>173</v>
      </c>
      <c r="P146" s="617" t="s">
        <v>173</v>
      </c>
      <c r="Q146" s="616" t="s">
        <v>329</v>
      </c>
      <c r="R146" s="616" t="s">
        <v>329</v>
      </c>
      <c r="S146" s="616" t="s">
        <v>329</v>
      </c>
      <c r="T146" s="616" t="s">
        <v>329</v>
      </c>
      <c r="U146" s="616" t="s">
        <v>329</v>
      </c>
      <c r="V146" s="617" t="s">
        <v>173</v>
      </c>
      <c r="W146" s="617" t="s">
        <v>173</v>
      </c>
      <c r="X146" s="575" t="s">
        <v>331</v>
      </c>
      <c r="Y146" s="575" t="s">
        <v>331</v>
      </c>
      <c r="Z146" s="575" t="s">
        <v>331</v>
      </c>
      <c r="AA146" s="575" t="s">
        <v>331</v>
      </c>
      <c r="AB146" s="575" t="s">
        <v>331</v>
      </c>
      <c r="AC146" s="575" t="s">
        <v>14</v>
      </c>
      <c r="AD146" s="575" t="s">
        <v>14</v>
      </c>
      <c r="AE146" s="746" t="s">
        <v>325</v>
      </c>
      <c r="AH146" s="840">
        <v>16</v>
      </c>
      <c r="AI146" s="840">
        <v>4</v>
      </c>
      <c r="AJ146" s="623">
        <f t="shared" si="16"/>
        <v>128</v>
      </c>
      <c r="AK146" s="623">
        <f t="shared" si="17"/>
        <v>28</v>
      </c>
      <c r="AL146" s="623">
        <f t="shared" si="18"/>
        <v>156</v>
      </c>
    </row>
    <row r="147" spans="1:38" ht="25.5" customHeight="1"/>
    <row r="148" spans="1:38" ht="25.5" customHeight="1">
      <c r="B148" s="877" t="s">
        <v>431</v>
      </c>
      <c r="C148" s="878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  <c r="O148" s="878"/>
      <c r="P148" s="878"/>
      <c r="Q148" s="878"/>
      <c r="R148" s="878"/>
      <c r="S148" s="878"/>
      <c r="T148" s="878"/>
      <c r="U148" s="878"/>
      <c r="V148" s="878"/>
      <c r="W148" s="878"/>
      <c r="X148" s="878"/>
      <c r="Y148" s="878"/>
      <c r="Z148" s="878"/>
      <c r="AA148" s="878"/>
      <c r="AB148" s="878"/>
      <c r="AC148" s="878"/>
      <c r="AD148" s="878"/>
      <c r="AE148" s="878"/>
      <c r="AF148" s="879"/>
    </row>
    <row r="149" spans="1:38" ht="25.5" customHeight="1">
      <c r="A149" s="869" t="s">
        <v>341</v>
      </c>
      <c r="B149" s="633" t="s">
        <v>87</v>
      </c>
      <c r="C149" s="634" t="s">
        <v>44</v>
      </c>
      <c r="D149" s="634" t="s">
        <v>28</v>
      </c>
      <c r="E149" s="634" t="s">
        <v>9</v>
      </c>
      <c r="F149" s="634" t="s">
        <v>84</v>
      </c>
      <c r="G149" s="635" t="s">
        <v>85</v>
      </c>
      <c r="H149" s="634" t="s">
        <v>86</v>
      </c>
      <c r="I149" s="634" t="s">
        <v>87</v>
      </c>
      <c r="J149" s="634" t="s">
        <v>44</v>
      </c>
      <c r="K149" s="634" t="s">
        <v>28</v>
      </c>
      <c r="L149" s="634" t="s">
        <v>9</v>
      </c>
      <c r="M149" s="634" t="s">
        <v>84</v>
      </c>
      <c r="N149" s="635" t="s">
        <v>85</v>
      </c>
      <c r="O149" s="634" t="s">
        <v>86</v>
      </c>
      <c r="P149" s="634" t="s">
        <v>87</v>
      </c>
      <c r="Q149" s="634" t="s">
        <v>44</v>
      </c>
      <c r="R149" s="634" t="s">
        <v>28</v>
      </c>
      <c r="S149" s="634" t="s">
        <v>9</v>
      </c>
      <c r="T149" s="634" t="s">
        <v>84</v>
      </c>
      <c r="U149" s="635" t="s">
        <v>85</v>
      </c>
      <c r="V149" s="634" t="s">
        <v>86</v>
      </c>
      <c r="W149" s="634" t="s">
        <v>87</v>
      </c>
      <c r="X149" s="634" t="s">
        <v>44</v>
      </c>
      <c r="Y149" s="743" t="s">
        <v>28</v>
      </c>
      <c r="Z149" s="634" t="s">
        <v>9</v>
      </c>
      <c r="AA149" s="634" t="s">
        <v>84</v>
      </c>
      <c r="AB149" s="635" t="s">
        <v>85</v>
      </c>
      <c r="AC149" s="634" t="s">
        <v>86</v>
      </c>
      <c r="AD149" s="634" t="s">
        <v>87</v>
      </c>
      <c r="AE149" s="634" t="s">
        <v>44</v>
      </c>
      <c r="AF149" s="636" t="s">
        <v>28</v>
      </c>
    </row>
    <row r="150" spans="1:38" ht="25.5" customHeight="1">
      <c r="A150" s="890"/>
      <c r="B150" s="701">
        <v>1</v>
      </c>
      <c r="C150" s="640">
        <v>2</v>
      </c>
      <c r="D150" s="638">
        <v>3</v>
      </c>
      <c r="E150" s="638">
        <v>4</v>
      </c>
      <c r="F150" s="639">
        <v>5</v>
      </c>
      <c r="G150" s="639">
        <v>6</v>
      </c>
      <c r="H150" s="639">
        <v>7</v>
      </c>
      <c r="I150" s="639">
        <v>8</v>
      </c>
      <c r="J150" s="638">
        <v>9</v>
      </c>
      <c r="K150" s="638">
        <v>10</v>
      </c>
      <c r="L150" s="638">
        <v>11</v>
      </c>
      <c r="M150" s="639">
        <v>12</v>
      </c>
      <c r="N150" s="639">
        <v>13</v>
      </c>
      <c r="O150" s="638">
        <v>14</v>
      </c>
      <c r="P150" s="638">
        <v>15</v>
      </c>
      <c r="Q150" s="638">
        <v>16</v>
      </c>
      <c r="R150" s="776">
        <v>17</v>
      </c>
      <c r="S150" s="776">
        <v>18</v>
      </c>
      <c r="T150" s="777">
        <v>19</v>
      </c>
      <c r="U150" s="777">
        <v>20</v>
      </c>
      <c r="V150" s="776">
        <v>21</v>
      </c>
      <c r="W150" s="776">
        <v>22</v>
      </c>
      <c r="X150" s="776">
        <v>23</v>
      </c>
      <c r="Y150" s="776">
        <v>24</v>
      </c>
      <c r="Z150" s="777">
        <v>25</v>
      </c>
      <c r="AA150" s="777">
        <v>26</v>
      </c>
      <c r="AB150" s="777">
        <v>27</v>
      </c>
      <c r="AC150" s="776">
        <v>28</v>
      </c>
      <c r="AD150" s="776">
        <v>29</v>
      </c>
      <c r="AE150" s="640">
        <v>30</v>
      </c>
      <c r="AF150" s="641">
        <v>31</v>
      </c>
      <c r="AH150" s="840" t="s">
        <v>342</v>
      </c>
      <c r="AI150" s="840" t="s">
        <v>9</v>
      </c>
      <c r="AL150" s="623" t="s">
        <v>386</v>
      </c>
    </row>
    <row r="151" spans="1:38" ht="25.5" customHeight="1">
      <c r="A151" s="650" t="s">
        <v>345</v>
      </c>
      <c r="B151" s="703" t="s">
        <v>329</v>
      </c>
      <c r="C151" s="602" t="s">
        <v>329</v>
      </c>
      <c r="D151" s="602" t="s">
        <v>329</v>
      </c>
      <c r="E151" s="602" t="s">
        <v>329</v>
      </c>
      <c r="F151" s="579" t="s">
        <v>173</v>
      </c>
      <c r="G151" s="579" t="s">
        <v>173</v>
      </c>
      <c r="H151" s="731" t="s">
        <v>173</v>
      </c>
      <c r="I151" s="731" t="s">
        <v>173</v>
      </c>
      <c r="J151" s="602" t="s">
        <v>329</v>
      </c>
      <c r="K151" s="602" t="s">
        <v>329</v>
      </c>
      <c r="L151" s="602" t="s">
        <v>329</v>
      </c>
      <c r="M151" s="579" t="s">
        <v>173</v>
      </c>
      <c r="N151" s="579" t="s">
        <v>173</v>
      </c>
      <c r="O151" s="602" t="s">
        <v>329</v>
      </c>
      <c r="P151" s="602" t="s">
        <v>329</v>
      </c>
      <c r="Q151" s="602" t="s">
        <v>329</v>
      </c>
      <c r="R151" s="602" t="s">
        <v>329</v>
      </c>
      <c r="S151" s="602" t="s">
        <v>329</v>
      </c>
      <c r="T151" s="579" t="s">
        <v>173</v>
      </c>
      <c r="U151" s="579" t="s">
        <v>173</v>
      </c>
      <c r="V151" s="602" t="s">
        <v>329</v>
      </c>
      <c r="W151" s="602" t="s">
        <v>329</v>
      </c>
      <c r="X151" s="602" t="s">
        <v>329</v>
      </c>
      <c r="Y151" s="602" t="s">
        <v>329</v>
      </c>
      <c r="Z151" s="731" t="s">
        <v>173</v>
      </c>
      <c r="AA151" s="579" t="s">
        <v>173</v>
      </c>
      <c r="AB151" s="579" t="s">
        <v>173</v>
      </c>
      <c r="AC151" s="602" t="s">
        <v>329</v>
      </c>
      <c r="AD151" s="602" t="s">
        <v>329</v>
      </c>
      <c r="AE151" s="602" t="s">
        <v>329</v>
      </c>
      <c r="AF151" s="604" t="s">
        <v>329</v>
      </c>
      <c r="AH151" s="840">
        <v>17</v>
      </c>
      <c r="AI151" s="840">
        <v>3</v>
      </c>
      <c r="AJ151" s="623">
        <f t="shared" si="16"/>
        <v>136</v>
      </c>
      <c r="AK151" s="623">
        <f t="shared" si="17"/>
        <v>21</v>
      </c>
      <c r="AL151" s="623">
        <f t="shared" si="18"/>
        <v>157</v>
      </c>
    </row>
    <row r="152" spans="1:38" ht="25.5" customHeight="1">
      <c r="A152" s="678" t="s">
        <v>347</v>
      </c>
      <c r="B152" s="704" t="s">
        <v>329</v>
      </c>
      <c r="C152" s="600" t="s">
        <v>329</v>
      </c>
      <c r="D152" s="600" t="s">
        <v>329</v>
      </c>
      <c r="E152" s="600" t="s">
        <v>329</v>
      </c>
      <c r="F152" s="574" t="s">
        <v>173</v>
      </c>
      <c r="G152" s="574" t="s">
        <v>173</v>
      </c>
      <c r="H152" s="706" t="s">
        <v>173</v>
      </c>
      <c r="I152" s="706" t="s">
        <v>173</v>
      </c>
      <c r="J152" s="600" t="s">
        <v>329</v>
      </c>
      <c r="K152" s="600" t="s">
        <v>329</v>
      </c>
      <c r="L152" s="600" t="s">
        <v>329</v>
      </c>
      <c r="M152" s="574" t="s">
        <v>173</v>
      </c>
      <c r="N152" s="574" t="s">
        <v>173</v>
      </c>
      <c r="O152" s="600" t="s">
        <v>329</v>
      </c>
      <c r="P152" s="600" t="s">
        <v>329</v>
      </c>
      <c r="Q152" s="600" t="s">
        <v>329</v>
      </c>
      <c r="R152" s="600" t="s">
        <v>329</v>
      </c>
      <c r="S152" s="600" t="s">
        <v>329</v>
      </c>
      <c r="T152" s="574" t="s">
        <v>173</v>
      </c>
      <c r="U152" s="574" t="s">
        <v>173</v>
      </c>
      <c r="V152" s="600" t="s">
        <v>329</v>
      </c>
      <c r="W152" s="600" t="s">
        <v>329</v>
      </c>
      <c r="X152" s="600" t="s">
        <v>329</v>
      </c>
      <c r="Y152" s="600" t="s">
        <v>329</v>
      </c>
      <c r="Z152" s="706" t="s">
        <v>173</v>
      </c>
      <c r="AA152" s="574" t="s">
        <v>173</v>
      </c>
      <c r="AB152" s="574" t="s">
        <v>173</v>
      </c>
      <c r="AC152" s="600" t="s">
        <v>329</v>
      </c>
      <c r="AD152" s="600" t="s">
        <v>329</v>
      </c>
      <c r="AE152" s="600" t="s">
        <v>329</v>
      </c>
      <c r="AF152" s="606" t="s">
        <v>329</v>
      </c>
      <c r="AH152" s="840">
        <v>17</v>
      </c>
      <c r="AI152" s="840">
        <v>3</v>
      </c>
      <c r="AJ152" s="623">
        <f t="shared" si="16"/>
        <v>136</v>
      </c>
      <c r="AK152" s="623">
        <f t="shared" si="17"/>
        <v>21</v>
      </c>
      <c r="AL152" s="623">
        <f t="shared" si="18"/>
        <v>157</v>
      </c>
    </row>
    <row r="153" spans="1:38" ht="25.5" customHeight="1">
      <c r="A153" s="650" t="s">
        <v>349</v>
      </c>
      <c r="B153" s="705" t="s">
        <v>327</v>
      </c>
      <c r="C153" s="573" t="s">
        <v>327</v>
      </c>
      <c r="D153" s="573" t="s">
        <v>327</v>
      </c>
      <c r="E153" s="577" t="s">
        <v>327</v>
      </c>
      <c r="F153" s="574" t="s">
        <v>173</v>
      </c>
      <c r="G153" s="574" t="s">
        <v>173</v>
      </c>
      <c r="H153" s="706" t="s">
        <v>173</v>
      </c>
      <c r="I153" s="706" t="s">
        <v>173</v>
      </c>
      <c r="J153" s="573" t="s">
        <v>327</v>
      </c>
      <c r="K153" s="573" t="s">
        <v>327</v>
      </c>
      <c r="L153" s="577" t="s">
        <v>327</v>
      </c>
      <c r="M153" s="574" t="s">
        <v>173</v>
      </c>
      <c r="N153" s="574" t="s">
        <v>173</v>
      </c>
      <c r="O153" s="573" t="s">
        <v>327</v>
      </c>
      <c r="P153" s="573" t="s">
        <v>327</v>
      </c>
      <c r="Q153" s="573" t="s">
        <v>327</v>
      </c>
      <c r="R153" s="573" t="s">
        <v>327</v>
      </c>
      <c r="S153" s="573" t="s">
        <v>327</v>
      </c>
      <c r="T153" s="574" t="s">
        <v>173</v>
      </c>
      <c r="U153" s="574" t="s">
        <v>173</v>
      </c>
      <c r="V153" s="573" t="s">
        <v>327</v>
      </c>
      <c r="W153" s="573" t="s">
        <v>327</v>
      </c>
      <c r="X153" s="573" t="s">
        <v>327</v>
      </c>
      <c r="Y153" s="573" t="s">
        <v>327</v>
      </c>
      <c r="Z153" s="706" t="s">
        <v>173</v>
      </c>
      <c r="AA153" s="574" t="s">
        <v>173</v>
      </c>
      <c r="AB153" s="574" t="s">
        <v>173</v>
      </c>
      <c r="AC153" s="573" t="s">
        <v>327</v>
      </c>
      <c r="AD153" s="573" t="s">
        <v>327</v>
      </c>
      <c r="AE153" s="573" t="s">
        <v>327</v>
      </c>
      <c r="AF153" s="608" t="s">
        <v>327</v>
      </c>
      <c r="AH153" s="840">
        <v>17</v>
      </c>
      <c r="AI153" s="840">
        <v>3</v>
      </c>
      <c r="AJ153" s="623">
        <f t="shared" si="16"/>
        <v>136</v>
      </c>
      <c r="AK153" s="623">
        <f t="shared" si="17"/>
        <v>21</v>
      </c>
      <c r="AL153" s="623">
        <f t="shared" si="18"/>
        <v>157</v>
      </c>
    </row>
    <row r="154" spans="1:38" ht="25.5" customHeight="1">
      <c r="A154" s="654" t="s">
        <v>353</v>
      </c>
      <c r="B154" s="704" t="s">
        <v>329</v>
      </c>
      <c r="C154" s="600" t="s">
        <v>329</v>
      </c>
      <c r="D154" s="600" t="s">
        <v>329</v>
      </c>
      <c r="E154" s="600" t="s">
        <v>329</v>
      </c>
      <c r="F154" s="574" t="s">
        <v>173</v>
      </c>
      <c r="G154" s="574" t="s">
        <v>173</v>
      </c>
      <c r="H154" s="706" t="s">
        <v>173</v>
      </c>
      <c r="I154" s="706" t="s">
        <v>173</v>
      </c>
      <c r="J154" s="573" t="s">
        <v>327</v>
      </c>
      <c r="K154" s="573" t="s">
        <v>327</v>
      </c>
      <c r="L154" s="577" t="s">
        <v>327</v>
      </c>
      <c r="M154" s="574" t="s">
        <v>173</v>
      </c>
      <c r="N154" s="574" t="s">
        <v>173</v>
      </c>
      <c r="O154" s="600" t="s">
        <v>329</v>
      </c>
      <c r="P154" s="600" t="s">
        <v>329</v>
      </c>
      <c r="Q154" s="600" t="s">
        <v>329</v>
      </c>
      <c r="R154" s="600" t="s">
        <v>329</v>
      </c>
      <c r="S154" s="600" t="s">
        <v>329</v>
      </c>
      <c r="T154" s="574" t="s">
        <v>173</v>
      </c>
      <c r="U154" s="574" t="s">
        <v>173</v>
      </c>
      <c r="V154" s="573" t="s">
        <v>327</v>
      </c>
      <c r="W154" s="573" t="s">
        <v>327</v>
      </c>
      <c r="X154" s="573" t="s">
        <v>327</v>
      </c>
      <c r="Y154" s="573" t="s">
        <v>327</v>
      </c>
      <c r="Z154" s="706" t="s">
        <v>173</v>
      </c>
      <c r="AA154" s="574" t="s">
        <v>173</v>
      </c>
      <c r="AB154" s="574" t="s">
        <v>173</v>
      </c>
      <c r="AC154" s="600" t="s">
        <v>329</v>
      </c>
      <c r="AD154" s="600" t="s">
        <v>329</v>
      </c>
      <c r="AE154" s="600" t="s">
        <v>329</v>
      </c>
      <c r="AF154" s="606" t="s">
        <v>329</v>
      </c>
      <c r="AH154" s="840">
        <v>17</v>
      </c>
      <c r="AI154" s="840">
        <v>3</v>
      </c>
      <c r="AJ154" s="623">
        <f t="shared" si="16"/>
        <v>136</v>
      </c>
      <c r="AK154" s="623">
        <f t="shared" si="17"/>
        <v>21</v>
      </c>
      <c r="AL154" s="623">
        <f t="shared" si="18"/>
        <v>157</v>
      </c>
    </row>
    <row r="155" spans="1:38" ht="25.5" customHeight="1">
      <c r="A155" s="659" t="s">
        <v>354</v>
      </c>
      <c r="B155" s="709" t="s">
        <v>325</v>
      </c>
      <c r="C155" s="609" t="s">
        <v>325</v>
      </c>
      <c r="D155" s="609" t="s">
        <v>325</v>
      </c>
      <c r="E155" s="609" t="s">
        <v>325</v>
      </c>
      <c r="F155" s="574" t="s">
        <v>173</v>
      </c>
      <c r="G155" s="574" t="s">
        <v>173</v>
      </c>
      <c r="H155" s="706" t="s">
        <v>173</v>
      </c>
      <c r="I155" s="706" t="s">
        <v>173</v>
      </c>
      <c r="J155" s="600" t="s">
        <v>329</v>
      </c>
      <c r="K155" s="600" t="s">
        <v>329</v>
      </c>
      <c r="L155" s="600" t="s">
        <v>329</v>
      </c>
      <c r="M155" s="574" t="s">
        <v>173</v>
      </c>
      <c r="N155" s="574" t="s">
        <v>173</v>
      </c>
      <c r="O155" s="576" t="s">
        <v>331</v>
      </c>
      <c r="P155" s="576" t="s">
        <v>331</v>
      </c>
      <c r="Q155" s="576" t="s">
        <v>331</v>
      </c>
      <c r="R155" s="576" t="s">
        <v>331</v>
      </c>
      <c r="S155" s="576" t="s">
        <v>331</v>
      </c>
      <c r="T155" s="576" t="s">
        <v>14</v>
      </c>
      <c r="U155" s="576" t="s">
        <v>14</v>
      </c>
      <c r="V155" s="609" t="s">
        <v>325</v>
      </c>
      <c r="W155" s="609" t="s">
        <v>325</v>
      </c>
      <c r="X155" s="609" t="s">
        <v>325</v>
      </c>
      <c r="Y155" s="609" t="s">
        <v>325</v>
      </c>
      <c r="Z155" s="706" t="s">
        <v>173</v>
      </c>
      <c r="AA155" s="574" t="s">
        <v>173</v>
      </c>
      <c r="AB155" s="574" t="s">
        <v>173</v>
      </c>
      <c r="AC155" s="609" t="s">
        <v>325</v>
      </c>
      <c r="AD155" s="609" t="s">
        <v>325</v>
      </c>
      <c r="AE155" s="609" t="s">
        <v>325</v>
      </c>
      <c r="AF155" s="613" t="s">
        <v>325</v>
      </c>
      <c r="AH155" s="840">
        <v>17</v>
      </c>
      <c r="AI155" s="840">
        <v>3</v>
      </c>
      <c r="AJ155" s="623">
        <f t="shared" si="16"/>
        <v>136</v>
      </c>
      <c r="AK155" s="623">
        <f t="shared" si="17"/>
        <v>21</v>
      </c>
      <c r="AL155" s="623">
        <f t="shared" si="18"/>
        <v>157</v>
      </c>
    </row>
    <row r="156" spans="1:38" ht="25.5" customHeight="1">
      <c r="A156" s="661" t="s">
        <v>360</v>
      </c>
      <c r="B156" s="704" t="s">
        <v>329</v>
      </c>
      <c r="C156" s="600" t="s">
        <v>329</v>
      </c>
      <c r="D156" s="600" t="s">
        <v>329</v>
      </c>
      <c r="E156" s="600" t="s">
        <v>329</v>
      </c>
      <c r="F156" s="574" t="s">
        <v>173</v>
      </c>
      <c r="G156" s="574" t="s">
        <v>173</v>
      </c>
      <c r="H156" s="576" t="s">
        <v>14</v>
      </c>
      <c r="I156" s="576" t="s">
        <v>14</v>
      </c>
      <c r="J156" s="576" t="s">
        <v>331</v>
      </c>
      <c r="K156" s="576" t="s">
        <v>331</v>
      </c>
      <c r="L156" s="576" t="s">
        <v>331</v>
      </c>
      <c r="M156" s="576" t="s">
        <v>14</v>
      </c>
      <c r="N156" s="576" t="s">
        <v>14</v>
      </c>
      <c r="O156" s="609" t="s">
        <v>325</v>
      </c>
      <c r="P156" s="609" t="s">
        <v>325</v>
      </c>
      <c r="Q156" s="609" t="s">
        <v>325</v>
      </c>
      <c r="R156" s="609" t="s">
        <v>325</v>
      </c>
      <c r="S156" s="609" t="s">
        <v>325</v>
      </c>
      <c r="T156" s="574" t="s">
        <v>173</v>
      </c>
      <c r="U156" s="574" t="s">
        <v>173</v>
      </c>
      <c r="V156" s="609" t="s">
        <v>325</v>
      </c>
      <c r="W156" s="609" t="s">
        <v>325</v>
      </c>
      <c r="X156" s="609" t="s">
        <v>325</v>
      </c>
      <c r="Y156" s="609" t="s">
        <v>325</v>
      </c>
      <c r="Z156" s="706" t="s">
        <v>173</v>
      </c>
      <c r="AA156" s="574" t="s">
        <v>173</v>
      </c>
      <c r="AB156" s="574" t="s">
        <v>173</v>
      </c>
      <c r="AC156" s="600" t="s">
        <v>329</v>
      </c>
      <c r="AD156" s="600" t="s">
        <v>329</v>
      </c>
      <c r="AE156" s="600" t="s">
        <v>329</v>
      </c>
      <c r="AF156" s="606" t="s">
        <v>329</v>
      </c>
      <c r="AH156" s="840">
        <v>17</v>
      </c>
      <c r="AI156" s="840">
        <v>3</v>
      </c>
      <c r="AJ156" s="623">
        <f t="shared" si="16"/>
        <v>136</v>
      </c>
      <c r="AK156" s="623">
        <f t="shared" si="17"/>
        <v>21</v>
      </c>
      <c r="AL156" s="623">
        <f t="shared" si="18"/>
        <v>157</v>
      </c>
    </row>
    <row r="157" spans="1:38" ht="25.5" customHeight="1">
      <c r="A157" s="659" t="s">
        <v>363</v>
      </c>
      <c r="B157" s="611" t="s">
        <v>331</v>
      </c>
      <c r="C157" s="576" t="s">
        <v>331</v>
      </c>
      <c r="D157" s="576" t="s">
        <v>331</v>
      </c>
      <c r="E157" s="576" t="s">
        <v>331</v>
      </c>
      <c r="F157" s="576" t="s">
        <v>14</v>
      </c>
      <c r="G157" s="576" t="s">
        <v>14</v>
      </c>
      <c r="H157" s="706" t="s">
        <v>173</v>
      </c>
      <c r="I157" s="706" t="s">
        <v>173</v>
      </c>
      <c r="J157" s="609" t="s">
        <v>325</v>
      </c>
      <c r="K157" s="609" t="s">
        <v>325</v>
      </c>
      <c r="L157" s="609" t="s">
        <v>325</v>
      </c>
      <c r="M157" s="574" t="s">
        <v>173</v>
      </c>
      <c r="N157" s="574" t="s">
        <v>173</v>
      </c>
      <c r="O157" s="609" t="s">
        <v>325</v>
      </c>
      <c r="P157" s="609" t="s">
        <v>325</v>
      </c>
      <c r="Q157" s="609" t="s">
        <v>325</v>
      </c>
      <c r="R157" s="609" t="s">
        <v>325</v>
      </c>
      <c r="S157" s="609" t="s">
        <v>325</v>
      </c>
      <c r="T157" s="574"/>
      <c r="U157" s="574"/>
      <c r="V157" s="600" t="s">
        <v>383</v>
      </c>
      <c r="W157" s="600" t="s">
        <v>383</v>
      </c>
      <c r="X157" s="600" t="s">
        <v>383</v>
      </c>
      <c r="Y157" s="600" t="s">
        <v>383</v>
      </c>
      <c r="Z157" s="706" t="s">
        <v>173</v>
      </c>
      <c r="AA157" s="574"/>
      <c r="AB157" s="574"/>
      <c r="AC157" s="576" t="s">
        <v>331</v>
      </c>
      <c r="AD157" s="576" t="s">
        <v>331</v>
      </c>
      <c r="AE157" s="576" t="s">
        <v>331</v>
      </c>
      <c r="AF157" s="610" t="s">
        <v>331</v>
      </c>
      <c r="AH157" s="840">
        <v>17</v>
      </c>
      <c r="AI157" s="840">
        <v>3</v>
      </c>
      <c r="AJ157" s="623">
        <f t="shared" si="16"/>
        <v>136</v>
      </c>
      <c r="AK157" s="623">
        <f t="shared" si="17"/>
        <v>21</v>
      </c>
      <c r="AL157" s="623">
        <f t="shared" si="18"/>
        <v>157</v>
      </c>
    </row>
    <row r="158" spans="1:38" ht="25.5" customHeight="1">
      <c r="A158" s="665" t="s">
        <v>364</v>
      </c>
      <c r="B158" s="745" t="s">
        <v>325</v>
      </c>
      <c r="C158" s="618" t="s">
        <v>325</v>
      </c>
      <c r="D158" s="618" t="s">
        <v>325</v>
      </c>
      <c r="E158" s="618" t="s">
        <v>325</v>
      </c>
      <c r="F158" s="617" t="s">
        <v>173</v>
      </c>
      <c r="G158" s="617" t="s">
        <v>173</v>
      </c>
      <c r="H158" s="667" t="s">
        <v>173</v>
      </c>
      <c r="I158" s="667" t="s">
        <v>173</v>
      </c>
      <c r="J158" s="618" t="s">
        <v>325</v>
      </c>
      <c r="K158" s="618" t="s">
        <v>325</v>
      </c>
      <c r="L158" s="618" t="s">
        <v>325</v>
      </c>
      <c r="M158" s="617" t="s">
        <v>173</v>
      </c>
      <c r="N158" s="617" t="s">
        <v>173</v>
      </c>
      <c r="O158" s="616" t="s">
        <v>329</v>
      </c>
      <c r="P158" s="616" t="s">
        <v>329</v>
      </c>
      <c r="Q158" s="616" t="s">
        <v>329</v>
      </c>
      <c r="R158" s="616" t="s">
        <v>329</v>
      </c>
      <c r="S158" s="616" t="s">
        <v>329</v>
      </c>
      <c r="T158" s="617" t="s">
        <v>173</v>
      </c>
      <c r="U158" s="617" t="s">
        <v>173</v>
      </c>
      <c r="V158" s="575" t="s">
        <v>331</v>
      </c>
      <c r="W158" s="575" t="s">
        <v>331</v>
      </c>
      <c r="X158" s="575" t="s">
        <v>331</v>
      </c>
      <c r="Y158" s="575" t="s">
        <v>331</v>
      </c>
      <c r="Z158" s="575" t="s">
        <v>14</v>
      </c>
      <c r="AA158" s="575" t="s">
        <v>14</v>
      </c>
      <c r="AB158" s="575" t="s">
        <v>14</v>
      </c>
      <c r="AC158" s="618" t="s">
        <v>325</v>
      </c>
      <c r="AD158" s="618" t="s">
        <v>325</v>
      </c>
      <c r="AE158" s="618" t="s">
        <v>325</v>
      </c>
      <c r="AF158" s="746" t="s">
        <v>325</v>
      </c>
      <c r="AH158" s="840">
        <v>17</v>
      </c>
      <c r="AI158" s="840">
        <v>3</v>
      </c>
      <c r="AJ158" s="623">
        <f t="shared" si="16"/>
        <v>136</v>
      </c>
      <c r="AK158" s="623">
        <f t="shared" si="17"/>
        <v>21</v>
      </c>
      <c r="AL158" s="623">
        <f t="shared" si="18"/>
        <v>157</v>
      </c>
    </row>
    <row r="159" spans="1:38" ht="24.75" customHeight="1"/>
    <row r="160" spans="1:38" ht="23.25" customHeight="1"/>
  </sheetData>
  <mergeCells count="37">
    <mergeCell ref="A77:A78"/>
    <mergeCell ref="B40:AF40"/>
    <mergeCell ref="A41:A42"/>
    <mergeCell ref="A149:A150"/>
    <mergeCell ref="B88:AF88"/>
    <mergeCell ref="A89:A90"/>
    <mergeCell ref="B100:AF100"/>
    <mergeCell ref="A101:A102"/>
    <mergeCell ref="B112:AE112"/>
    <mergeCell ref="A113:A114"/>
    <mergeCell ref="B124:AF124"/>
    <mergeCell ref="A125:A126"/>
    <mergeCell ref="B136:AE136"/>
    <mergeCell ref="A137:A138"/>
    <mergeCell ref="B148:AF148"/>
    <mergeCell ref="B52:AE52"/>
    <mergeCell ref="A53:A54"/>
    <mergeCell ref="B64:AF64"/>
    <mergeCell ref="A65:A66"/>
    <mergeCell ref="B76:AE76"/>
    <mergeCell ref="A14:AF14"/>
    <mergeCell ref="B16:AF16"/>
    <mergeCell ref="A17:A18"/>
    <mergeCell ref="B28:AC28"/>
    <mergeCell ref="A29:A30"/>
    <mergeCell ref="X51:AB51"/>
    <mergeCell ref="B2:AF2"/>
    <mergeCell ref="B3:AF3"/>
    <mergeCell ref="B4:AF4"/>
    <mergeCell ref="B5:AF5"/>
    <mergeCell ref="B6:AF6"/>
    <mergeCell ref="B12:AF12"/>
    <mergeCell ref="B7:AF7"/>
    <mergeCell ref="B8:AF8"/>
    <mergeCell ref="B9:AF9"/>
    <mergeCell ref="B10:AF10"/>
    <mergeCell ref="B11:AF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D179-4A53-48FC-BDF9-E2F5786AA99E}">
  <dimension ref="A1:AG54"/>
  <sheetViews>
    <sheetView topLeftCell="A22" workbookViewId="0">
      <selection activeCell="B34" sqref="B34"/>
    </sheetView>
  </sheetViews>
  <sheetFormatPr defaultColWidth="9.140625" defaultRowHeight="24" customHeight="1"/>
  <cols>
    <col min="1" max="1" width="35.42578125" customWidth="1"/>
    <col min="2" max="32" width="8.42578125" customWidth="1"/>
  </cols>
  <sheetData>
    <row r="1" spans="1:33" ht="14.25" customHeight="1"/>
    <row r="2" spans="1:33" ht="14.25" customHeight="1">
      <c r="C2" t="s">
        <v>325</v>
      </c>
      <c r="D2" s="835" t="s">
        <v>432</v>
      </c>
      <c r="F2" s="835" t="s">
        <v>433</v>
      </c>
    </row>
    <row r="3" spans="1:33" ht="14.25" customHeight="1">
      <c r="C3" t="s">
        <v>434</v>
      </c>
      <c r="D3" t="s">
        <v>435</v>
      </c>
      <c r="F3" t="s">
        <v>436</v>
      </c>
    </row>
    <row r="4" spans="1:33" ht="14.25" customHeight="1">
      <c r="C4" t="s">
        <v>383</v>
      </c>
      <c r="D4" t="s">
        <v>437</v>
      </c>
      <c r="F4" t="s">
        <v>438</v>
      </c>
    </row>
    <row r="5" spans="1:33" ht="14.25" customHeight="1">
      <c r="C5" t="s">
        <v>331</v>
      </c>
      <c r="D5" t="s">
        <v>439</v>
      </c>
      <c r="E5" t="s">
        <v>46</v>
      </c>
      <c r="F5" t="s">
        <v>440</v>
      </c>
    </row>
    <row r="6" spans="1:33" ht="14.25" customHeight="1"/>
    <row r="7" spans="1:33" ht="24" customHeight="1">
      <c r="A7" s="623"/>
      <c r="B7" s="871" t="s">
        <v>424</v>
      </c>
      <c r="C7" s="872"/>
      <c r="D7" s="872"/>
      <c r="E7" s="872"/>
      <c r="F7" s="872"/>
      <c r="G7" s="872"/>
      <c r="H7" s="872"/>
      <c r="I7" s="872"/>
      <c r="J7" s="872"/>
      <c r="K7" s="872"/>
      <c r="L7" s="872"/>
      <c r="M7" s="872"/>
      <c r="N7" s="872"/>
      <c r="O7" s="872"/>
      <c r="P7" s="872"/>
      <c r="Q7" s="872"/>
      <c r="R7" s="872"/>
      <c r="S7" s="872"/>
      <c r="T7" s="872"/>
      <c r="U7" s="872"/>
      <c r="V7" s="872"/>
      <c r="W7" s="872"/>
      <c r="X7" s="872"/>
      <c r="Y7" s="872"/>
      <c r="Z7" s="872"/>
      <c r="AA7" s="872"/>
      <c r="AB7" s="872"/>
      <c r="AC7" s="872"/>
      <c r="AD7" s="872"/>
      <c r="AE7" s="873"/>
      <c r="AF7" s="623"/>
      <c r="AG7" s="623"/>
    </row>
    <row r="8" spans="1:33" ht="24" customHeight="1">
      <c r="A8" s="869" t="s">
        <v>341</v>
      </c>
      <c r="B8" s="633" t="s">
        <v>86</v>
      </c>
      <c r="C8" s="634" t="s">
        <v>87</v>
      </c>
      <c r="D8" s="634" t="s">
        <v>44</v>
      </c>
      <c r="E8" s="634" t="s">
        <v>28</v>
      </c>
      <c r="F8" s="634" t="s">
        <v>9</v>
      </c>
      <c r="G8" s="634" t="s">
        <v>84</v>
      </c>
      <c r="H8" s="635" t="s">
        <v>85</v>
      </c>
      <c r="I8" s="634" t="s">
        <v>86</v>
      </c>
      <c r="J8" s="634" t="s">
        <v>87</v>
      </c>
      <c r="K8" s="634" t="s">
        <v>44</v>
      </c>
      <c r="L8" s="634" t="s">
        <v>28</v>
      </c>
      <c r="M8" s="634" t="s">
        <v>9</v>
      </c>
      <c r="N8" s="634" t="s">
        <v>84</v>
      </c>
      <c r="O8" s="635" t="s">
        <v>85</v>
      </c>
      <c r="P8" s="634" t="s">
        <v>86</v>
      </c>
      <c r="Q8" s="634" t="s">
        <v>87</v>
      </c>
      <c r="R8" s="634" t="s">
        <v>44</v>
      </c>
      <c r="S8" s="634" t="s">
        <v>28</v>
      </c>
      <c r="T8" s="634" t="s">
        <v>9</v>
      </c>
      <c r="U8" s="634" t="s">
        <v>84</v>
      </c>
      <c r="V8" s="635" t="s">
        <v>85</v>
      </c>
      <c r="W8" s="634" t="s">
        <v>86</v>
      </c>
      <c r="X8" s="634" t="s">
        <v>87</v>
      </c>
      <c r="Y8" s="634" t="s">
        <v>44</v>
      </c>
      <c r="Z8" s="634" t="s">
        <v>28</v>
      </c>
      <c r="AA8" s="634" t="s">
        <v>9</v>
      </c>
      <c r="AB8" s="634" t="s">
        <v>84</v>
      </c>
      <c r="AC8" s="635" t="s">
        <v>85</v>
      </c>
      <c r="AD8" s="634" t="s">
        <v>86</v>
      </c>
      <c r="AE8" s="636" t="s">
        <v>87</v>
      </c>
      <c r="AF8" s="623"/>
      <c r="AG8" s="623"/>
    </row>
    <row r="9" spans="1:33" ht="24" customHeight="1">
      <c r="A9" s="890"/>
      <c r="B9" s="701">
        <v>1</v>
      </c>
      <c r="C9" s="640">
        <v>2</v>
      </c>
      <c r="D9" s="638">
        <v>3</v>
      </c>
      <c r="E9" s="638">
        <v>4</v>
      </c>
      <c r="F9" s="638">
        <v>5</v>
      </c>
      <c r="G9" s="639">
        <v>6</v>
      </c>
      <c r="H9" s="639">
        <v>7</v>
      </c>
      <c r="I9" s="638">
        <v>8</v>
      </c>
      <c r="J9" s="638">
        <v>9</v>
      </c>
      <c r="K9" s="638">
        <v>10</v>
      </c>
      <c r="L9" s="638">
        <v>11</v>
      </c>
      <c r="M9" s="638">
        <v>12</v>
      </c>
      <c r="N9" s="639">
        <v>13</v>
      </c>
      <c r="O9" s="639">
        <v>14</v>
      </c>
      <c r="P9" s="638">
        <v>15</v>
      </c>
      <c r="Q9" s="638">
        <v>16</v>
      </c>
      <c r="R9" s="638">
        <v>17</v>
      </c>
      <c r="S9" s="638">
        <v>18</v>
      </c>
      <c r="T9" s="638">
        <v>19</v>
      </c>
      <c r="U9" s="639">
        <v>20</v>
      </c>
      <c r="V9" s="639">
        <v>21</v>
      </c>
      <c r="W9" s="638">
        <v>22</v>
      </c>
      <c r="X9" s="638">
        <v>23</v>
      </c>
      <c r="Y9" s="638">
        <v>24</v>
      </c>
      <c r="Z9" s="638">
        <v>25</v>
      </c>
      <c r="AA9" s="638">
        <v>26</v>
      </c>
      <c r="AB9" s="639">
        <v>27</v>
      </c>
      <c r="AC9" s="639">
        <v>28</v>
      </c>
      <c r="AD9" s="640">
        <v>29</v>
      </c>
      <c r="AE9" s="641">
        <v>30</v>
      </c>
      <c r="AF9" s="623"/>
      <c r="AG9" s="623"/>
    </row>
    <row r="10" spans="1:33" ht="24" customHeight="1">
      <c r="A10" s="650" t="s">
        <v>345</v>
      </c>
      <c r="B10" s="703" t="s">
        <v>329</v>
      </c>
      <c r="C10" s="602" t="s">
        <v>329</v>
      </c>
      <c r="D10" s="602" t="s">
        <v>329</v>
      </c>
      <c r="E10" s="602" t="s">
        <v>329</v>
      </c>
      <c r="F10" s="602" t="s">
        <v>329</v>
      </c>
      <c r="G10" s="579" t="s">
        <v>173</v>
      </c>
      <c r="H10" s="579" t="s">
        <v>173</v>
      </c>
      <c r="I10" s="602" t="s">
        <v>329</v>
      </c>
      <c r="J10" s="602" t="s">
        <v>329</v>
      </c>
      <c r="K10" s="602" t="s">
        <v>329</v>
      </c>
      <c r="L10" s="602" t="s">
        <v>329</v>
      </c>
      <c r="M10" s="602" t="s">
        <v>329</v>
      </c>
      <c r="N10" s="579" t="s">
        <v>173</v>
      </c>
      <c r="O10" s="579" t="s">
        <v>173</v>
      </c>
      <c r="P10" s="602" t="s">
        <v>329</v>
      </c>
      <c r="Q10" s="602" t="s">
        <v>329</v>
      </c>
      <c r="R10" s="602" t="s">
        <v>329</v>
      </c>
      <c r="S10" s="602" t="s">
        <v>329</v>
      </c>
      <c r="T10" s="602" t="s">
        <v>329</v>
      </c>
      <c r="U10" s="579" t="s">
        <v>173</v>
      </c>
      <c r="V10" s="579" t="s">
        <v>173</v>
      </c>
      <c r="W10" s="602" t="s">
        <v>329</v>
      </c>
      <c r="X10" s="602" t="s">
        <v>329</v>
      </c>
      <c r="Y10" s="602" t="s">
        <v>329</v>
      </c>
      <c r="Z10" s="602" t="s">
        <v>329</v>
      </c>
      <c r="AA10" s="602" t="s">
        <v>329</v>
      </c>
      <c r="AB10" s="579" t="s">
        <v>173</v>
      </c>
      <c r="AC10" s="579" t="s">
        <v>173</v>
      </c>
      <c r="AD10" s="602" t="s">
        <v>329</v>
      </c>
      <c r="AE10" s="604" t="s">
        <v>329</v>
      </c>
      <c r="AF10" s="623"/>
      <c r="AG10" s="623"/>
    </row>
    <row r="11" spans="1:33" ht="24" customHeight="1">
      <c r="A11" s="678" t="s">
        <v>347</v>
      </c>
      <c r="B11" s="704" t="s">
        <v>329</v>
      </c>
      <c r="C11" s="600" t="s">
        <v>329</v>
      </c>
      <c r="D11" s="600" t="s">
        <v>329</v>
      </c>
      <c r="E11" s="600" t="s">
        <v>329</v>
      </c>
      <c r="F11" s="600" t="s">
        <v>329</v>
      </c>
      <c r="G11" s="574" t="s">
        <v>173</v>
      </c>
      <c r="H11" s="574" t="s">
        <v>173</v>
      </c>
      <c r="I11" s="600" t="s">
        <v>329</v>
      </c>
      <c r="J11" s="600" t="s">
        <v>329</v>
      </c>
      <c r="K11" s="600" t="s">
        <v>329</v>
      </c>
      <c r="L11" s="600" t="s">
        <v>329</v>
      </c>
      <c r="M11" s="600" t="s">
        <v>329</v>
      </c>
      <c r="N11" s="574" t="s">
        <v>173</v>
      </c>
      <c r="O11" s="574" t="s">
        <v>173</v>
      </c>
      <c r="P11" s="600" t="s">
        <v>329</v>
      </c>
      <c r="Q11" s="600" t="s">
        <v>329</v>
      </c>
      <c r="R11" s="600" t="s">
        <v>329</v>
      </c>
      <c r="S11" s="600" t="s">
        <v>329</v>
      </c>
      <c r="T11" s="600" t="s">
        <v>329</v>
      </c>
      <c r="U11" s="574" t="s">
        <v>173</v>
      </c>
      <c r="V11" s="574" t="s">
        <v>173</v>
      </c>
      <c r="W11" s="600" t="s">
        <v>329</v>
      </c>
      <c r="X11" s="600" t="s">
        <v>329</v>
      </c>
      <c r="Y11" s="600" t="s">
        <v>329</v>
      </c>
      <c r="Z11" s="600" t="s">
        <v>329</v>
      </c>
      <c r="AA11" s="600" t="s">
        <v>329</v>
      </c>
      <c r="AB11" s="574" t="s">
        <v>173</v>
      </c>
      <c r="AC11" s="574" t="s">
        <v>173</v>
      </c>
      <c r="AD11" s="600" t="s">
        <v>329</v>
      </c>
      <c r="AE11" s="606" t="s">
        <v>329</v>
      </c>
      <c r="AF11" s="623"/>
      <c r="AG11" s="623"/>
    </row>
    <row r="12" spans="1:33" ht="24" customHeight="1">
      <c r="A12" s="650" t="s">
        <v>349</v>
      </c>
      <c r="B12" s="705" t="s">
        <v>327</v>
      </c>
      <c r="C12" s="573" t="s">
        <v>327</v>
      </c>
      <c r="D12" s="573" t="s">
        <v>327</v>
      </c>
      <c r="E12" s="573" t="s">
        <v>327</v>
      </c>
      <c r="F12" s="577" t="s">
        <v>327</v>
      </c>
      <c r="G12" s="574" t="s">
        <v>173</v>
      </c>
      <c r="H12" s="574" t="s">
        <v>173</v>
      </c>
      <c r="I12" s="597" t="s">
        <v>9</v>
      </c>
      <c r="J12" s="597" t="s">
        <v>9</v>
      </c>
      <c r="K12" s="597" t="s">
        <v>9</v>
      </c>
      <c r="L12" s="597" t="s">
        <v>9</v>
      </c>
      <c r="M12" s="597" t="s">
        <v>9</v>
      </c>
      <c r="N12" s="597" t="s">
        <v>9</v>
      </c>
      <c r="O12" s="597" t="s">
        <v>9</v>
      </c>
      <c r="P12" s="573" t="s">
        <v>327</v>
      </c>
      <c r="Q12" s="573" t="s">
        <v>327</v>
      </c>
      <c r="R12" s="573" t="s">
        <v>327</v>
      </c>
      <c r="S12" s="573" t="s">
        <v>327</v>
      </c>
      <c r="T12" s="577" t="s">
        <v>327</v>
      </c>
      <c r="U12" s="574" t="s">
        <v>173</v>
      </c>
      <c r="V12" s="574" t="s">
        <v>173</v>
      </c>
      <c r="W12" s="573" t="s">
        <v>327</v>
      </c>
      <c r="X12" s="573" t="s">
        <v>327</v>
      </c>
      <c r="Y12" s="573" t="s">
        <v>327</v>
      </c>
      <c r="Z12" s="573" t="s">
        <v>327</v>
      </c>
      <c r="AA12" s="577" t="s">
        <v>327</v>
      </c>
      <c r="AB12" s="574" t="s">
        <v>173</v>
      </c>
      <c r="AC12" s="574" t="s">
        <v>173</v>
      </c>
      <c r="AD12" s="573" t="s">
        <v>327</v>
      </c>
      <c r="AE12" s="608" t="s">
        <v>327</v>
      </c>
      <c r="AF12" s="623"/>
      <c r="AG12" s="623"/>
    </row>
    <row r="13" spans="1:33" ht="24" customHeight="1">
      <c r="A13" s="654" t="s">
        <v>353</v>
      </c>
      <c r="B13" s="704" t="s">
        <v>329</v>
      </c>
      <c r="C13" s="600" t="s">
        <v>329</v>
      </c>
      <c r="D13" s="600" t="s">
        <v>329</v>
      </c>
      <c r="E13" s="600" t="s">
        <v>329</v>
      </c>
      <c r="F13" s="600" t="s">
        <v>329</v>
      </c>
      <c r="G13" s="574" t="s">
        <v>173</v>
      </c>
      <c r="H13" s="574" t="s">
        <v>173</v>
      </c>
      <c r="I13" s="573" t="s">
        <v>327</v>
      </c>
      <c r="J13" s="573" t="s">
        <v>327</v>
      </c>
      <c r="K13" s="573" t="s">
        <v>327</v>
      </c>
      <c r="L13" s="573" t="s">
        <v>327</v>
      </c>
      <c r="M13" s="577" t="s">
        <v>327</v>
      </c>
      <c r="N13" s="574" t="s">
        <v>173</v>
      </c>
      <c r="O13" s="574" t="s">
        <v>173</v>
      </c>
      <c r="P13" s="600" t="s">
        <v>329</v>
      </c>
      <c r="Q13" s="600" t="s">
        <v>329</v>
      </c>
      <c r="R13" s="600" t="s">
        <v>329</v>
      </c>
      <c r="S13" s="600" t="s">
        <v>329</v>
      </c>
      <c r="T13" s="600" t="s">
        <v>329</v>
      </c>
      <c r="U13" s="574" t="s">
        <v>173</v>
      </c>
      <c r="V13" s="574" t="s">
        <v>173</v>
      </c>
      <c r="W13" s="573" t="s">
        <v>327</v>
      </c>
      <c r="X13" s="573" t="s">
        <v>327</v>
      </c>
      <c r="Y13" s="573" t="s">
        <v>327</v>
      </c>
      <c r="Z13" s="573" t="s">
        <v>327</v>
      </c>
      <c r="AA13" s="577" t="s">
        <v>327</v>
      </c>
      <c r="AB13" s="574" t="s">
        <v>173</v>
      </c>
      <c r="AC13" s="574" t="s">
        <v>173</v>
      </c>
      <c r="AD13" s="600" t="s">
        <v>329</v>
      </c>
      <c r="AE13" s="606" t="s">
        <v>329</v>
      </c>
      <c r="AF13" s="623"/>
      <c r="AG13" s="623"/>
    </row>
    <row r="14" spans="1:33" ht="24" customHeight="1">
      <c r="A14" s="659" t="s">
        <v>354</v>
      </c>
      <c r="B14" s="611" t="s">
        <v>331</v>
      </c>
      <c r="C14" s="576" t="s">
        <v>331</v>
      </c>
      <c r="D14" s="576" t="s">
        <v>331</v>
      </c>
      <c r="E14" s="576" t="s">
        <v>331</v>
      </c>
      <c r="F14" s="576" t="s">
        <v>331</v>
      </c>
      <c r="G14" s="576" t="s">
        <v>14</v>
      </c>
      <c r="H14" s="576" t="s">
        <v>14</v>
      </c>
      <c r="I14" s="597" t="s">
        <v>9</v>
      </c>
      <c r="J14" s="597" t="s">
        <v>9</v>
      </c>
      <c r="K14" s="597" t="s">
        <v>9</v>
      </c>
      <c r="L14" s="597" t="s">
        <v>9</v>
      </c>
      <c r="M14" s="597" t="s">
        <v>9</v>
      </c>
      <c r="N14" s="597" t="s">
        <v>9</v>
      </c>
      <c r="O14" s="597" t="s">
        <v>9</v>
      </c>
      <c r="P14" s="609" t="s">
        <v>325</v>
      </c>
      <c r="Q14" s="609" t="s">
        <v>325</v>
      </c>
      <c r="R14" s="609" t="s">
        <v>325</v>
      </c>
      <c r="S14" s="609" t="s">
        <v>325</v>
      </c>
      <c r="T14" s="609" t="s">
        <v>325</v>
      </c>
      <c r="U14" s="574" t="s">
        <v>173</v>
      </c>
      <c r="V14" s="574" t="s">
        <v>173</v>
      </c>
      <c r="W14" s="576" t="s">
        <v>331</v>
      </c>
      <c r="X14" s="576" t="s">
        <v>331</v>
      </c>
      <c r="Y14" s="576" t="s">
        <v>331</v>
      </c>
      <c r="Z14" s="576" t="s">
        <v>331</v>
      </c>
      <c r="AA14" s="576" t="s">
        <v>331</v>
      </c>
      <c r="AB14" s="576" t="s">
        <v>14</v>
      </c>
      <c r="AC14" s="576" t="s">
        <v>14</v>
      </c>
      <c r="AD14" s="576" t="s">
        <v>331</v>
      </c>
      <c r="AE14" s="610" t="s">
        <v>331</v>
      </c>
      <c r="AF14" s="623"/>
      <c r="AG14" s="623"/>
    </row>
    <row r="15" spans="1:33" ht="24" customHeight="1">
      <c r="A15" s="661" t="s">
        <v>360</v>
      </c>
      <c r="B15" s="772" t="s">
        <v>336</v>
      </c>
      <c r="C15" s="832" t="s">
        <v>336</v>
      </c>
      <c r="D15" s="832" t="s">
        <v>336</v>
      </c>
      <c r="E15" s="832" t="s">
        <v>336</v>
      </c>
      <c r="F15" s="832" t="s">
        <v>336</v>
      </c>
      <c r="G15" s="832" t="s">
        <v>336</v>
      </c>
      <c r="H15" s="832" t="s">
        <v>336</v>
      </c>
      <c r="I15" s="832" t="s">
        <v>336</v>
      </c>
      <c r="J15" s="832" t="s">
        <v>336</v>
      </c>
      <c r="K15" s="832" t="s">
        <v>336</v>
      </c>
      <c r="L15" s="832" t="s">
        <v>336</v>
      </c>
      <c r="M15" s="832" t="s">
        <v>336</v>
      </c>
      <c r="N15" s="832" t="s">
        <v>336</v>
      </c>
      <c r="O15" s="832" t="s">
        <v>336</v>
      </c>
      <c r="P15" s="832" t="s">
        <v>336</v>
      </c>
      <c r="Q15" s="832" t="s">
        <v>336</v>
      </c>
      <c r="R15" s="832" t="s">
        <v>336</v>
      </c>
      <c r="S15" s="832" t="s">
        <v>336</v>
      </c>
      <c r="T15" s="832" t="s">
        <v>336</v>
      </c>
      <c r="U15" s="832" t="s">
        <v>336</v>
      </c>
      <c r="V15" s="832" t="s">
        <v>336</v>
      </c>
      <c r="W15" s="832" t="s">
        <v>336</v>
      </c>
      <c r="X15" s="832" t="s">
        <v>336</v>
      </c>
      <c r="Y15" s="832" t="s">
        <v>336</v>
      </c>
      <c r="Z15" s="832" t="s">
        <v>336</v>
      </c>
      <c r="AA15" s="832" t="s">
        <v>336</v>
      </c>
      <c r="AB15" s="832" t="s">
        <v>336</v>
      </c>
      <c r="AC15" s="832" t="s">
        <v>336</v>
      </c>
      <c r="AD15" s="609" t="s">
        <v>325</v>
      </c>
      <c r="AE15" s="613" t="s">
        <v>325</v>
      </c>
      <c r="AF15" s="623"/>
      <c r="AG15" s="623"/>
    </row>
    <row r="16" spans="1:33" ht="24" customHeight="1">
      <c r="A16" s="659" t="s">
        <v>363</v>
      </c>
      <c r="B16" s="709" t="s">
        <v>325</v>
      </c>
      <c r="C16" s="609" t="s">
        <v>325</v>
      </c>
      <c r="D16" s="609" t="s">
        <v>325</v>
      </c>
      <c r="E16" s="609" t="s">
        <v>325</v>
      </c>
      <c r="F16" s="609" t="s">
        <v>325</v>
      </c>
      <c r="G16" s="574"/>
      <c r="H16" s="574"/>
      <c r="I16" s="609" t="s">
        <v>325</v>
      </c>
      <c r="J16" s="609" t="s">
        <v>325</v>
      </c>
      <c r="K16" s="609" t="s">
        <v>325</v>
      </c>
      <c r="L16" s="609" t="s">
        <v>325</v>
      </c>
      <c r="M16" s="609" t="s">
        <v>325</v>
      </c>
      <c r="N16" s="574" t="s">
        <v>173</v>
      </c>
      <c r="O16" s="574"/>
      <c r="P16" s="576" t="s">
        <v>331</v>
      </c>
      <c r="Q16" s="576" t="s">
        <v>331</v>
      </c>
      <c r="R16" s="576" t="s">
        <v>331</v>
      </c>
      <c r="S16" s="576" t="s">
        <v>331</v>
      </c>
      <c r="T16" s="576" t="s">
        <v>331</v>
      </c>
      <c r="U16" s="576" t="s">
        <v>14</v>
      </c>
      <c r="V16" s="576" t="s">
        <v>14</v>
      </c>
      <c r="W16" s="609" t="s">
        <v>325</v>
      </c>
      <c r="X16" s="609" t="s">
        <v>325</v>
      </c>
      <c r="Y16" s="609" t="s">
        <v>325</v>
      </c>
      <c r="Z16" s="609" t="s">
        <v>325</v>
      </c>
      <c r="AA16" s="609" t="s">
        <v>325</v>
      </c>
      <c r="AB16" s="574" t="s">
        <v>173</v>
      </c>
      <c r="AC16" s="574" t="s">
        <v>173</v>
      </c>
      <c r="AD16" s="609" t="s">
        <v>325</v>
      </c>
      <c r="AE16" s="613" t="s">
        <v>325</v>
      </c>
      <c r="AF16" s="623"/>
      <c r="AG16" s="623"/>
    </row>
    <row r="17" spans="1:33" ht="24" customHeight="1">
      <c r="A17" s="665" t="s">
        <v>364</v>
      </c>
      <c r="B17" s="733" t="s">
        <v>329</v>
      </c>
      <c r="C17" s="616" t="s">
        <v>329</v>
      </c>
      <c r="D17" s="616" t="s">
        <v>329</v>
      </c>
      <c r="E17" s="616" t="s">
        <v>329</v>
      </c>
      <c r="F17" s="616" t="s">
        <v>329</v>
      </c>
      <c r="G17" s="617" t="s">
        <v>173</v>
      </c>
      <c r="H17" s="617" t="s">
        <v>173</v>
      </c>
      <c r="I17" s="575" t="s">
        <v>331</v>
      </c>
      <c r="J17" s="575" t="s">
        <v>331</v>
      </c>
      <c r="K17" s="575" t="s">
        <v>331</v>
      </c>
      <c r="L17" s="575" t="s">
        <v>331</v>
      </c>
      <c r="M17" s="575" t="s">
        <v>331</v>
      </c>
      <c r="N17" s="575" t="s">
        <v>14</v>
      </c>
      <c r="O17" s="575" t="s">
        <v>14</v>
      </c>
      <c r="P17" s="618" t="s">
        <v>325</v>
      </c>
      <c r="Q17" s="618" t="s">
        <v>325</v>
      </c>
      <c r="R17" s="618" t="s">
        <v>325</v>
      </c>
      <c r="S17" s="618" t="s">
        <v>325</v>
      </c>
      <c r="T17" s="618" t="s">
        <v>325</v>
      </c>
      <c r="U17" s="617" t="s">
        <v>173</v>
      </c>
      <c r="V17" s="617" t="s">
        <v>173</v>
      </c>
      <c r="W17" s="618" t="s">
        <v>325</v>
      </c>
      <c r="X17" s="618" t="s">
        <v>325</v>
      </c>
      <c r="Y17" s="618" t="s">
        <v>325</v>
      </c>
      <c r="Z17" s="618" t="s">
        <v>325</v>
      </c>
      <c r="AA17" s="618" t="s">
        <v>325</v>
      </c>
      <c r="AB17" s="617" t="s">
        <v>173</v>
      </c>
      <c r="AC17" s="617" t="s">
        <v>173</v>
      </c>
      <c r="AD17" s="616" t="s">
        <v>329</v>
      </c>
      <c r="AE17" s="621" t="s">
        <v>329</v>
      </c>
      <c r="AF17" s="623"/>
      <c r="AG17" s="623"/>
    </row>
    <row r="18" spans="1:33" ht="24" customHeight="1">
      <c r="A18" s="623"/>
      <c r="B18" s="623"/>
      <c r="C18" s="623"/>
      <c r="D18" s="623"/>
      <c r="E18" s="623"/>
      <c r="F18" s="623"/>
      <c r="G18" s="623"/>
      <c r="H18" s="623"/>
      <c r="I18" s="623"/>
      <c r="J18" s="623"/>
      <c r="K18" s="623"/>
      <c r="L18" s="623"/>
      <c r="M18" s="623"/>
      <c r="N18" s="623"/>
      <c r="O18" s="623"/>
      <c r="P18" s="623"/>
      <c r="Q18" s="623"/>
      <c r="R18" s="623"/>
      <c r="S18" s="623"/>
      <c r="T18" s="623"/>
      <c r="U18" s="623"/>
      <c r="V18" s="623"/>
      <c r="W18" s="623"/>
      <c r="X18" s="623"/>
      <c r="Y18" s="623"/>
      <c r="Z18" s="623"/>
      <c r="AA18" s="623"/>
      <c r="AB18" s="623"/>
      <c r="AC18" s="623"/>
      <c r="AD18" s="623"/>
      <c r="AE18" s="623"/>
      <c r="AF18" s="623"/>
      <c r="AG18" s="623"/>
    </row>
    <row r="19" spans="1:33" ht="24" customHeight="1">
      <c r="A19" s="623"/>
      <c r="B19" s="877" t="s">
        <v>425</v>
      </c>
      <c r="C19" s="878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O19" s="878"/>
      <c r="P19" s="878"/>
      <c r="Q19" s="878"/>
      <c r="R19" s="878"/>
      <c r="S19" s="878"/>
      <c r="T19" s="878"/>
      <c r="U19" s="878"/>
      <c r="V19" s="878"/>
      <c r="W19" s="878"/>
      <c r="X19" s="878"/>
      <c r="Y19" s="878"/>
      <c r="Z19" s="878"/>
      <c r="AA19" s="878"/>
      <c r="AB19" s="878"/>
      <c r="AC19" s="878"/>
      <c r="AD19" s="878"/>
      <c r="AE19" s="878"/>
      <c r="AF19" s="879"/>
      <c r="AG19" s="623"/>
    </row>
    <row r="20" spans="1:33" ht="24" customHeight="1">
      <c r="A20" s="869" t="s">
        <v>341</v>
      </c>
      <c r="B20" s="633" t="s">
        <v>44</v>
      </c>
      <c r="C20" s="634" t="s">
        <v>28</v>
      </c>
      <c r="D20" s="634" t="s">
        <v>9</v>
      </c>
      <c r="E20" s="634" t="s">
        <v>84</v>
      </c>
      <c r="F20" s="635" t="s">
        <v>85</v>
      </c>
      <c r="G20" s="634" t="s">
        <v>86</v>
      </c>
      <c r="H20" s="634" t="s">
        <v>87</v>
      </c>
      <c r="I20" s="634" t="s">
        <v>44</v>
      </c>
      <c r="J20" s="634" t="s">
        <v>28</v>
      </c>
      <c r="K20" s="634" t="s">
        <v>9</v>
      </c>
      <c r="L20" s="634" t="s">
        <v>84</v>
      </c>
      <c r="M20" s="635" t="s">
        <v>85</v>
      </c>
      <c r="N20" s="634" t="s">
        <v>86</v>
      </c>
      <c r="O20" s="634" t="s">
        <v>87</v>
      </c>
      <c r="P20" s="634" t="s">
        <v>44</v>
      </c>
      <c r="Q20" s="634" t="s">
        <v>28</v>
      </c>
      <c r="R20" s="634" t="s">
        <v>9</v>
      </c>
      <c r="S20" s="634" t="s">
        <v>84</v>
      </c>
      <c r="T20" s="635" t="s">
        <v>85</v>
      </c>
      <c r="U20" s="634" t="s">
        <v>86</v>
      </c>
      <c r="V20" s="634" t="s">
        <v>87</v>
      </c>
      <c r="W20" s="634" t="s">
        <v>44</v>
      </c>
      <c r="X20" s="634" t="s">
        <v>28</v>
      </c>
      <c r="Y20" s="634" t="s">
        <v>9</v>
      </c>
      <c r="Z20" s="634" t="s">
        <v>84</v>
      </c>
      <c r="AA20" s="635" t="s">
        <v>85</v>
      </c>
      <c r="AB20" s="634" t="s">
        <v>86</v>
      </c>
      <c r="AC20" s="634" t="s">
        <v>87</v>
      </c>
      <c r="AD20" s="634" t="s">
        <v>44</v>
      </c>
      <c r="AE20" s="634" t="s">
        <v>28</v>
      </c>
      <c r="AF20" s="636" t="s">
        <v>9</v>
      </c>
      <c r="AG20" s="623"/>
    </row>
    <row r="21" spans="1:33" ht="24" customHeight="1">
      <c r="A21" s="890"/>
      <c r="B21" s="701">
        <v>1</v>
      </c>
      <c r="C21" s="640">
        <v>2</v>
      </c>
      <c r="D21" s="638">
        <v>3</v>
      </c>
      <c r="E21" s="639">
        <v>4</v>
      </c>
      <c r="F21" s="639">
        <v>5</v>
      </c>
      <c r="G21" s="638">
        <v>6</v>
      </c>
      <c r="H21" s="638">
        <v>7</v>
      </c>
      <c r="I21" s="638">
        <v>8</v>
      </c>
      <c r="J21" s="638">
        <v>9</v>
      </c>
      <c r="K21" s="638">
        <v>10</v>
      </c>
      <c r="L21" s="639">
        <v>11</v>
      </c>
      <c r="M21" s="639">
        <v>12</v>
      </c>
      <c r="N21" s="638">
        <v>13</v>
      </c>
      <c r="O21" s="638">
        <v>14</v>
      </c>
      <c r="P21" s="638">
        <v>15</v>
      </c>
      <c r="Q21" s="638">
        <v>16</v>
      </c>
      <c r="R21" s="638">
        <v>17</v>
      </c>
      <c r="S21" s="639">
        <v>18</v>
      </c>
      <c r="T21" s="639">
        <v>19</v>
      </c>
      <c r="U21" s="638">
        <v>20</v>
      </c>
      <c r="V21" s="638">
        <v>21</v>
      </c>
      <c r="W21" s="638">
        <v>22</v>
      </c>
      <c r="X21" s="638">
        <v>23</v>
      </c>
      <c r="Y21" s="638">
        <v>24</v>
      </c>
      <c r="Z21" s="639">
        <v>25</v>
      </c>
      <c r="AA21" s="639">
        <v>26</v>
      </c>
      <c r="AB21" s="638">
        <v>27</v>
      </c>
      <c r="AC21" s="638">
        <v>28</v>
      </c>
      <c r="AD21" s="638">
        <v>29</v>
      </c>
      <c r="AE21" s="640">
        <v>30</v>
      </c>
      <c r="AF21" s="641">
        <v>31</v>
      </c>
      <c r="AG21" s="623"/>
    </row>
    <row r="22" spans="1:33" ht="24" customHeight="1">
      <c r="A22" s="650" t="s">
        <v>345</v>
      </c>
      <c r="B22" s="729" t="s">
        <v>327</v>
      </c>
      <c r="C22" s="730" t="s">
        <v>327</v>
      </c>
      <c r="D22" s="836" t="s">
        <v>327</v>
      </c>
      <c r="E22" s="579" t="s">
        <v>173</v>
      </c>
      <c r="F22" s="579" t="s">
        <v>173</v>
      </c>
      <c r="G22" s="730" t="s">
        <v>327</v>
      </c>
      <c r="H22" s="730" t="s">
        <v>327</v>
      </c>
      <c r="I22" s="730" t="s">
        <v>327</v>
      </c>
      <c r="J22" s="730" t="s">
        <v>327</v>
      </c>
      <c r="K22" s="836" t="s">
        <v>327</v>
      </c>
      <c r="L22" s="579" t="s">
        <v>173</v>
      </c>
      <c r="M22" s="579" t="s">
        <v>173</v>
      </c>
      <c r="N22" s="730" t="s">
        <v>327</v>
      </c>
      <c r="O22" s="730" t="s">
        <v>327</v>
      </c>
      <c r="P22" s="730" t="s">
        <v>327</v>
      </c>
      <c r="Q22" s="730" t="s">
        <v>327</v>
      </c>
      <c r="R22" s="836" t="s">
        <v>327</v>
      </c>
      <c r="S22" s="579" t="s">
        <v>173</v>
      </c>
      <c r="T22" s="579" t="s">
        <v>173</v>
      </c>
      <c r="U22" s="730" t="s">
        <v>327</v>
      </c>
      <c r="V22" s="730" t="s">
        <v>327</v>
      </c>
      <c r="W22" s="730" t="s">
        <v>327</v>
      </c>
      <c r="X22" s="730" t="s">
        <v>327</v>
      </c>
      <c r="Y22" s="836" t="s">
        <v>327</v>
      </c>
      <c r="Z22" s="579" t="s">
        <v>173</v>
      </c>
      <c r="AA22" s="579" t="s">
        <v>173</v>
      </c>
      <c r="AB22" s="730" t="s">
        <v>327</v>
      </c>
      <c r="AC22" s="730" t="s">
        <v>327</v>
      </c>
      <c r="AD22" s="833" t="s">
        <v>327</v>
      </c>
      <c r="AE22" s="833" t="s">
        <v>327</v>
      </c>
      <c r="AF22" s="834" t="s">
        <v>327</v>
      </c>
      <c r="AG22" s="623"/>
    </row>
    <row r="23" spans="1:33" ht="24" customHeight="1">
      <c r="A23" s="678" t="s">
        <v>347</v>
      </c>
      <c r="B23" s="704" t="s">
        <v>329</v>
      </c>
      <c r="C23" s="600" t="s">
        <v>329</v>
      </c>
      <c r="D23" s="600" t="s">
        <v>329</v>
      </c>
      <c r="E23" s="574" t="s">
        <v>173</v>
      </c>
      <c r="F23" s="574" t="s">
        <v>173</v>
      </c>
      <c r="G23" s="600" t="s">
        <v>329</v>
      </c>
      <c r="H23" s="600" t="s">
        <v>329</v>
      </c>
      <c r="I23" s="600" t="s">
        <v>329</v>
      </c>
      <c r="J23" s="600" t="s">
        <v>329</v>
      </c>
      <c r="K23" s="600" t="s">
        <v>329</v>
      </c>
      <c r="L23" s="574" t="s">
        <v>173</v>
      </c>
      <c r="M23" s="574" t="s">
        <v>173</v>
      </c>
      <c r="N23" s="600" t="s">
        <v>329</v>
      </c>
      <c r="O23" s="600" t="s">
        <v>329</v>
      </c>
      <c r="P23" s="600" t="s">
        <v>329</v>
      </c>
      <c r="Q23" s="600" t="s">
        <v>329</v>
      </c>
      <c r="R23" s="600" t="s">
        <v>329</v>
      </c>
      <c r="S23" s="574" t="s">
        <v>173</v>
      </c>
      <c r="T23" s="574" t="s">
        <v>173</v>
      </c>
      <c r="U23" s="600" t="s">
        <v>329</v>
      </c>
      <c r="V23" s="600" t="s">
        <v>329</v>
      </c>
      <c r="W23" s="600" t="s">
        <v>329</v>
      </c>
      <c r="X23" s="600" t="s">
        <v>329</v>
      </c>
      <c r="Y23" s="600" t="s">
        <v>329</v>
      </c>
      <c r="Z23" s="574" t="s">
        <v>173</v>
      </c>
      <c r="AA23" s="574" t="s">
        <v>173</v>
      </c>
      <c r="AB23" s="600" t="s">
        <v>329</v>
      </c>
      <c r="AC23" s="600" t="s">
        <v>329</v>
      </c>
      <c r="AD23" s="600" t="s">
        <v>329</v>
      </c>
      <c r="AE23" s="600" t="s">
        <v>329</v>
      </c>
      <c r="AF23" s="606" t="s">
        <v>329</v>
      </c>
      <c r="AG23" s="623"/>
    </row>
    <row r="24" spans="1:33" ht="24" customHeight="1">
      <c r="A24" s="650" t="s">
        <v>349</v>
      </c>
      <c r="B24" s="705" t="s">
        <v>327</v>
      </c>
      <c r="C24" s="573" t="s">
        <v>327</v>
      </c>
      <c r="D24" s="577" t="s">
        <v>327</v>
      </c>
      <c r="E24" s="574" t="s">
        <v>173</v>
      </c>
      <c r="F24" s="574" t="s">
        <v>173</v>
      </c>
      <c r="G24" s="573" t="s">
        <v>327</v>
      </c>
      <c r="H24" s="573" t="s">
        <v>327</v>
      </c>
      <c r="I24" s="573" t="s">
        <v>327</v>
      </c>
      <c r="J24" s="573" t="s">
        <v>327</v>
      </c>
      <c r="K24" s="577" t="s">
        <v>327</v>
      </c>
      <c r="L24" s="574" t="s">
        <v>441</v>
      </c>
      <c r="M24" s="574" t="s">
        <v>173</v>
      </c>
      <c r="N24" s="573" t="s">
        <v>327</v>
      </c>
      <c r="O24" s="573" t="s">
        <v>327</v>
      </c>
      <c r="P24" s="573" t="s">
        <v>327</v>
      </c>
      <c r="Q24" s="573" t="s">
        <v>327</v>
      </c>
      <c r="R24" s="577" t="s">
        <v>327</v>
      </c>
      <c r="S24" s="574" t="s">
        <v>173</v>
      </c>
      <c r="T24" s="574" t="s">
        <v>173</v>
      </c>
      <c r="U24" s="573" t="s">
        <v>327</v>
      </c>
      <c r="V24" s="573" t="s">
        <v>327</v>
      </c>
      <c r="W24" s="573" t="s">
        <v>327</v>
      </c>
      <c r="X24" s="573" t="s">
        <v>327</v>
      </c>
      <c r="Y24" s="577" t="s">
        <v>327</v>
      </c>
      <c r="Z24" s="574" t="s">
        <v>173</v>
      </c>
      <c r="AA24" s="574" t="s">
        <v>173</v>
      </c>
      <c r="AB24" s="573" t="s">
        <v>327</v>
      </c>
      <c r="AC24" s="573" t="s">
        <v>327</v>
      </c>
      <c r="AD24" s="573" t="s">
        <v>327</v>
      </c>
      <c r="AE24" s="573" t="s">
        <v>327</v>
      </c>
      <c r="AF24" s="608" t="s">
        <v>327</v>
      </c>
      <c r="AG24" s="623"/>
    </row>
    <row r="25" spans="1:33" ht="24" customHeight="1">
      <c r="A25" s="654" t="s">
        <v>353</v>
      </c>
      <c r="B25" s="705" t="s">
        <v>327</v>
      </c>
      <c r="C25" s="573" t="s">
        <v>327</v>
      </c>
      <c r="D25" s="577" t="s">
        <v>327</v>
      </c>
      <c r="E25" s="574" t="s">
        <v>173</v>
      </c>
      <c r="F25" s="574" t="s">
        <v>173</v>
      </c>
      <c r="G25" s="573" t="s">
        <v>327</v>
      </c>
      <c r="H25" s="573" t="s">
        <v>327</v>
      </c>
      <c r="I25" s="573" t="s">
        <v>327</v>
      </c>
      <c r="J25" s="573" t="s">
        <v>327</v>
      </c>
      <c r="K25" s="577" t="s">
        <v>327</v>
      </c>
      <c r="L25" s="574" t="s">
        <v>173</v>
      </c>
      <c r="M25" s="574" t="s">
        <v>173</v>
      </c>
      <c r="N25" s="573" t="s">
        <v>327</v>
      </c>
      <c r="O25" s="573" t="s">
        <v>327</v>
      </c>
      <c r="P25" s="573" t="s">
        <v>327</v>
      </c>
      <c r="Q25" s="573" t="s">
        <v>327</v>
      </c>
      <c r="R25" s="577" t="s">
        <v>327</v>
      </c>
      <c r="S25" s="574" t="s">
        <v>173</v>
      </c>
      <c r="T25" s="574" t="s">
        <v>173</v>
      </c>
      <c r="U25" s="573" t="s">
        <v>327</v>
      </c>
      <c r="V25" s="573" t="s">
        <v>327</v>
      </c>
      <c r="W25" s="573" t="s">
        <v>327</v>
      </c>
      <c r="X25" s="573" t="s">
        <v>327</v>
      </c>
      <c r="Y25" s="577" t="s">
        <v>327</v>
      </c>
      <c r="Z25" s="574" t="s">
        <v>173</v>
      </c>
      <c r="AA25" s="574" t="s">
        <v>173</v>
      </c>
      <c r="AB25" s="573" t="s">
        <v>327</v>
      </c>
      <c r="AC25" s="573" t="s">
        <v>327</v>
      </c>
      <c r="AD25" s="573" t="s">
        <v>327</v>
      </c>
      <c r="AE25" s="573" t="s">
        <v>327</v>
      </c>
      <c r="AF25" s="679" t="s">
        <v>327</v>
      </c>
      <c r="AG25" s="623"/>
    </row>
    <row r="26" spans="1:33" ht="24" customHeight="1">
      <c r="A26" s="659" t="s">
        <v>354</v>
      </c>
      <c r="B26" s="611" t="s">
        <v>331</v>
      </c>
      <c r="C26" s="576" t="s">
        <v>331</v>
      </c>
      <c r="D26" s="576" t="s">
        <v>331</v>
      </c>
      <c r="E26" s="576" t="s">
        <v>14</v>
      </c>
      <c r="F26" s="576" t="s">
        <v>14</v>
      </c>
      <c r="G26" s="609" t="s">
        <v>325</v>
      </c>
      <c r="H26" s="609" t="s">
        <v>325</v>
      </c>
      <c r="I26" s="609" t="s">
        <v>325</v>
      </c>
      <c r="J26" s="609" t="s">
        <v>325</v>
      </c>
      <c r="K26" s="609" t="s">
        <v>325</v>
      </c>
      <c r="L26" s="574" t="s">
        <v>173</v>
      </c>
      <c r="M26" s="574" t="s">
        <v>173</v>
      </c>
      <c r="N26" s="609" t="s">
        <v>325</v>
      </c>
      <c r="O26" s="609" t="s">
        <v>325</v>
      </c>
      <c r="P26" s="609" t="s">
        <v>325</v>
      </c>
      <c r="Q26" s="609" t="s">
        <v>325</v>
      </c>
      <c r="R26" s="609" t="s">
        <v>325</v>
      </c>
      <c r="S26" s="574" t="s">
        <v>173</v>
      </c>
      <c r="T26" s="574" t="s">
        <v>173</v>
      </c>
      <c r="U26" s="573" t="s">
        <v>327</v>
      </c>
      <c r="V26" s="573" t="s">
        <v>327</v>
      </c>
      <c r="W26" s="573" t="s">
        <v>327</v>
      </c>
      <c r="X26" s="573" t="s">
        <v>327</v>
      </c>
      <c r="Y26" s="577" t="s">
        <v>327</v>
      </c>
      <c r="Z26" s="574" t="s">
        <v>173</v>
      </c>
      <c r="AA26" s="574" t="s">
        <v>173</v>
      </c>
      <c r="AB26" s="576" t="s">
        <v>331</v>
      </c>
      <c r="AC26" s="576" t="s">
        <v>331</v>
      </c>
      <c r="AD26" s="576" t="s">
        <v>331</v>
      </c>
      <c r="AE26" s="576" t="s">
        <v>331</v>
      </c>
      <c r="AF26" s="610" t="s">
        <v>331</v>
      </c>
      <c r="AG26" s="623"/>
    </row>
    <row r="27" spans="1:33" ht="24" customHeight="1">
      <c r="A27" s="661" t="s">
        <v>360</v>
      </c>
      <c r="B27" s="709" t="s">
        <v>325</v>
      </c>
      <c r="C27" s="609" t="s">
        <v>325</v>
      </c>
      <c r="D27" s="609" t="s">
        <v>325</v>
      </c>
      <c r="E27" s="574"/>
      <c r="F27" s="574"/>
      <c r="G27" s="609" t="s">
        <v>325</v>
      </c>
      <c r="H27" s="609" t="s">
        <v>325</v>
      </c>
      <c r="I27" s="609" t="s">
        <v>325</v>
      </c>
      <c r="J27" s="609" t="s">
        <v>325</v>
      </c>
      <c r="K27" s="609" t="s">
        <v>325</v>
      </c>
      <c r="L27" s="574" t="s">
        <v>173</v>
      </c>
      <c r="M27" s="574" t="s">
        <v>173</v>
      </c>
      <c r="N27" s="573" t="s">
        <v>327</v>
      </c>
      <c r="O27" s="573" t="s">
        <v>327</v>
      </c>
      <c r="P27" s="573" t="s">
        <v>327</v>
      </c>
      <c r="Q27" s="573" t="s">
        <v>327</v>
      </c>
      <c r="R27" s="577" t="s">
        <v>327</v>
      </c>
      <c r="S27" s="574" t="s">
        <v>173</v>
      </c>
      <c r="T27" s="574" t="s">
        <v>173</v>
      </c>
      <c r="U27" s="576" t="s">
        <v>331</v>
      </c>
      <c r="V27" s="576" t="s">
        <v>331</v>
      </c>
      <c r="W27" s="576" t="s">
        <v>331</v>
      </c>
      <c r="X27" s="576" t="s">
        <v>331</v>
      </c>
      <c r="Y27" s="576" t="s">
        <v>331</v>
      </c>
      <c r="Z27" s="576" t="s">
        <v>14</v>
      </c>
      <c r="AA27" s="576" t="s">
        <v>14</v>
      </c>
      <c r="AB27" s="609" t="s">
        <v>325</v>
      </c>
      <c r="AC27" s="609" t="s">
        <v>325</v>
      </c>
      <c r="AD27" s="609" t="s">
        <v>325</v>
      </c>
      <c r="AE27" s="609" t="s">
        <v>325</v>
      </c>
      <c r="AF27" s="613" t="s">
        <v>325</v>
      </c>
      <c r="AG27" s="623"/>
    </row>
    <row r="28" spans="1:33" ht="24" customHeight="1">
      <c r="A28" s="659" t="s">
        <v>363</v>
      </c>
      <c r="B28" s="709" t="s">
        <v>325</v>
      </c>
      <c r="C28" s="609" t="s">
        <v>325</v>
      </c>
      <c r="D28" s="609" t="s">
        <v>325</v>
      </c>
      <c r="E28" s="574"/>
      <c r="F28" s="574"/>
      <c r="G28" s="573" t="s">
        <v>327</v>
      </c>
      <c r="H28" s="573" t="s">
        <v>327</v>
      </c>
      <c r="I28" s="573" t="s">
        <v>327</v>
      </c>
      <c r="J28" s="573" t="s">
        <v>327</v>
      </c>
      <c r="K28" s="577" t="s">
        <v>327</v>
      </c>
      <c r="L28" s="574" t="s">
        <v>173</v>
      </c>
      <c r="M28" s="574"/>
      <c r="N28" s="576" t="s">
        <v>331</v>
      </c>
      <c r="O28" s="576" t="s">
        <v>331</v>
      </c>
      <c r="P28" s="576" t="s">
        <v>331</v>
      </c>
      <c r="Q28" s="576" t="s">
        <v>331</v>
      </c>
      <c r="R28" s="576" t="s">
        <v>331</v>
      </c>
      <c r="S28" s="576" t="s">
        <v>14</v>
      </c>
      <c r="T28" s="576" t="s">
        <v>14</v>
      </c>
      <c r="U28" s="609" t="s">
        <v>325</v>
      </c>
      <c r="V28" s="609" t="s">
        <v>325</v>
      </c>
      <c r="W28" s="609" t="s">
        <v>325</v>
      </c>
      <c r="X28" s="609" t="s">
        <v>325</v>
      </c>
      <c r="Y28" s="609" t="s">
        <v>325</v>
      </c>
      <c r="Z28" s="574" t="s">
        <v>173</v>
      </c>
      <c r="AA28" s="574" t="s">
        <v>173</v>
      </c>
      <c r="AB28" s="609" t="s">
        <v>325</v>
      </c>
      <c r="AC28" s="609" t="s">
        <v>325</v>
      </c>
      <c r="AD28" s="609" t="s">
        <v>325</v>
      </c>
      <c r="AE28" s="609" t="s">
        <v>325</v>
      </c>
      <c r="AF28" s="613" t="s">
        <v>325</v>
      </c>
      <c r="AG28" s="623"/>
    </row>
    <row r="29" spans="1:33" ht="24" customHeight="1">
      <c r="A29" s="665" t="s">
        <v>364</v>
      </c>
      <c r="B29" s="837" t="s">
        <v>327</v>
      </c>
      <c r="C29" s="838" t="s">
        <v>327</v>
      </c>
      <c r="D29" s="620" t="s">
        <v>327</v>
      </c>
      <c r="E29" s="617" t="s">
        <v>173</v>
      </c>
      <c r="F29" s="617" t="s">
        <v>173</v>
      </c>
      <c r="G29" s="575" t="s">
        <v>331</v>
      </c>
      <c r="H29" s="575" t="s">
        <v>331</v>
      </c>
      <c r="I29" s="575" t="s">
        <v>331</v>
      </c>
      <c r="J29" s="575" t="s">
        <v>331</v>
      </c>
      <c r="K29" s="575" t="s">
        <v>331</v>
      </c>
      <c r="L29" s="575" t="s">
        <v>14</v>
      </c>
      <c r="M29" s="575" t="s">
        <v>14</v>
      </c>
      <c r="N29" s="618" t="s">
        <v>325</v>
      </c>
      <c r="O29" s="618" t="s">
        <v>325</v>
      </c>
      <c r="P29" s="618" t="s">
        <v>325</v>
      </c>
      <c r="Q29" s="618" t="s">
        <v>325</v>
      </c>
      <c r="R29" s="618" t="s">
        <v>325</v>
      </c>
      <c r="S29" s="617" t="s">
        <v>173</v>
      </c>
      <c r="T29" s="617" t="s">
        <v>173</v>
      </c>
      <c r="U29" s="618" t="s">
        <v>325</v>
      </c>
      <c r="V29" s="618" t="s">
        <v>325</v>
      </c>
      <c r="W29" s="618" t="s">
        <v>325</v>
      </c>
      <c r="X29" s="618" t="s">
        <v>325</v>
      </c>
      <c r="Y29" s="618" t="s">
        <v>325</v>
      </c>
      <c r="Z29" s="617" t="s">
        <v>173</v>
      </c>
      <c r="AA29" s="617" t="s">
        <v>173</v>
      </c>
      <c r="AB29" s="838" t="s">
        <v>327</v>
      </c>
      <c r="AC29" s="838" t="s">
        <v>327</v>
      </c>
      <c r="AD29" s="838" t="s">
        <v>327</v>
      </c>
      <c r="AE29" s="838" t="s">
        <v>327</v>
      </c>
      <c r="AF29" s="700" t="s">
        <v>327</v>
      </c>
      <c r="AG29" s="623"/>
    </row>
    <row r="30" spans="1:33" ht="24" customHeight="1">
      <c r="A30" s="623"/>
      <c r="B30" s="623"/>
      <c r="C30" s="623"/>
      <c r="D30" s="623"/>
      <c r="E30" s="623"/>
      <c r="F30" s="623"/>
      <c r="G30" s="623"/>
      <c r="H30" s="623"/>
      <c r="I30" s="623"/>
      <c r="J30" s="623"/>
      <c r="K30" s="623"/>
      <c r="L30" s="623"/>
      <c r="M30" s="623"/>
      <c r="N30" s="623"/>
      <c r="O30" s="623"/>
      <c r="P30" s="623"/>
      <c r="Q30" s="623"/>
      <c r="R30" s="623"/>
      <c r="S30" s="623"/>
      <c r="T30" s="623"/>
      <c r="U30" s="623"/>
      <c r="V30" s="623"/>
      <c r="W30" s="623"/>
      <c r="X30" s="623"/>
      <c r="Y30" s="623"/>
      <c r="Z30" s="623"/>
      <c r="AA30" s="623"/>
      <c r="AB30" s="623"/>
      <c r="AC30" s="623"/>
      <c r="AD30" s="623"/>
      <c r="AE30" s="623"/>
      <c r="AF30" s="623"/>
      <c r="AG30" s="623"/>
    </row>
    <row r="31" spans="1:33" ht="24" customHeight="1">
      <c r="A31" s="623"/>
      <c r="B31" s="871" t="s">
        <v>427</v>
      </c>
      <c r="C31" s="872"/>
      <c r="D31" s="872"/>
      <c r="E31" s="872"/>
      <c r="F31" s="872"/>
      <c r="G31" s="872"/>
      <c r="H31" s="872"/>
      <c r="I31" s="872"/>
      <c r="J31" s="872"/>
      <c r="K31" s="872"/>
      <c r="L31" s="872"/>
      <c r="M31" s="872"/>
      <c r="N31" s="872"/>
      <c r="O31" s="872"/>
      <c r="P31" s="872"/>
      <c r="Q31" s="872"/>
      <c r="R31" s="872"/>
      <c r="S31" s="872"/>
      <c r="T31" s="872"/>
      <c r="U31" s="872"/>
      <c r="V31" s="872"/>
      <c r="W31" s="872"/>
      <c r="X31" s="872"/>
      <c r="Y31" s="872"/>
      <c r="Z31" s="872"/>
      <c r="AA31" s="872"/>
      <c r="AB31" s="872"/>
      <c r="AC31" s="872"/>
      <c r="AD31" s="872"/>
      <c r="AE31" s="872"/>
      <c r="AF31" s="873"/>
      <c r="AG31" s="623"/>
    </row>
    <row r="32" spans="1:33" ht="24" customHeight="1">
      <c r="A32" s="869" t="s">
        <v>341</v>
      </c>
      <c r="B32" s="633" t="s">
        <v>84</v>
      </c>
      <c r="C32" s="635" t="s">
        <v>85</v>
      </c>
      <c r="D32" s="634" t="s">
        <v>86</v>
      </c>
      <c r="E32" s="634" t="s">
        <v>87</v>
      </c>
      <c r="F32" s="634" t="s">
        <v>44</v>
      </c>
      <c r="G32" s="634" t="s">
        <v>28</v>
      </c>
      <c r="H32" s="634" t="s">
        <v>9</v>
      </c>
      <c r="I32" s="634" t="s">
        <v>84</v>
      </c>
      <c r="J32" s="635" t="s">
        <v>85</v>
      </c>
      <c r="K32" s="634" t="s">
        <v>86</v>
      </c>
      <c r="L32" s="634" t="s">
        <v>87</v>
      </c>
      <c r="M32" s="634" t="s">
        <v>44</v>
      </c>
      <c r="N32" s="634" t="s">
        <v>28</v>
      </c>
      <c r="O32" s="634" t="s">
        <v>9</v>
      </c>
      <c r="P32" s="634" t="s">
        <v>84</v>
      </c>
      <c r="Q32" s="635" t="s">
        <v>85</v>
      </c>
      <c r="R32" s="634" t="s">
        <v>86</v>
      </c>
      <c r="S32" s="634" t="s">
        <v>87</v>
      </c>
      <c r="T32" s="634" t="s">
        <v>44</v>
      </c>
      <c r="U32" s="634" t="s">
        <v>28</v>
      </c>
      <c r="V32" s="634" t="s">
        <v>9</v>
      </c>
      <c r="W32" s="634" t="s">
        <v>84</v>
      </c>
      <c r="X32" s="635" t="s">
        <v>85</v>
      </c>
      <c r="Y32" s="634" t="s">
        <v>86</v>
      </c>
      <c r="Z32" s="634" t="s">
        <v>87</v>
      </c>
      <c r="AA32" s="634" t="s">
        <v>44</v>
      </c>
      <c r="AB32" s="634" t="s">
        <v>28</v>
      </c>
      <c r="AC32" s="634" t="s">
        <v>9</v>
      </c>
      <c r="AD32" s="634" t="s">
        <v>84</v>
      </c>
      <c r="AE32" s="635" t="s">
        <v>85</v>
      </c>
      <c r="AF32" s="636" t="s">
        <v>86</v>
      </c>
      <c r="AG32" s="623"/>
    </row>
    <row r="33" spans="1:33" ht="24" customHeight="1">
      <c r="A33" s="890"/>
      <c r="B33" s="765">
        <v>1</v>
      </c>
      <c r="C33" s="685">
        <v>2</v>
      </c>
      <c r="D33" s="638">
        <v>3</v>
      </c>
      <c r="E33" s="638">
        <v>4</v>
      </c>
      <c r="F33" s="638">
        <v>5</v>
      </c>
      <c r="G33" s="638">
        <v>6</v>
      </c>
      <c r="H33" s="638">
        <v>7</v>
      </c>
      <c r="I33" s="639">
        <v>8</v>
      </c>
      <c r="J33" s="639">
        <v>9</v>
      </c>
      <c r="K33" s="638">
        <v>10</v>
      </c>
      <c r="L33" s="638">
        <v>11</v>
      </c>
      <c r="M33" s="638">
        <v>12</v>
      </c>
      <c r="N33" s="638">
        <v>13</v>
      </c>
      <c r="O33" s="638">
        <v>14</v>
      </c>
      <c r="P33" s="639">
        <v>15</v>
      </c>
      <c r="Q33" s="639">
        <v>16</v>
      </c>
      <c r="R33" s="638">
        <v>17</v>
      </c>
      <c r="S33" s="638">
        <v>18</v>
      </c>
      <c r="T33" s="638">
        <v>19</v>
      </c>
      <c r="U33" s="638">
        <v>20</v>
      </c>
      <c r="V33" s="638">
        <v>21</v>
      </c>
      <c r="W33" s="639">
        <v>22</v>
      </c>
      <c r="X33" s="639">
        <v>23</v>
      </c>
      <c r="Y33" s="638">
        <v>24</v>
      </c>
      <c r="Z33" s="638">
        <v>25</v>
      </c>
      <c r="AA33" s="638">
        <v>26</v>
      </c>
      <c r="AB33" s="638">
        <v>27</v>
      </c>
      <c r="AC33" s="638">
        <v>28</v>
      </c>
      <c r="AD33" s="639">
        <v>29</v>
      </c>
      <c r="AE33" s="685">
        <v>30</v>
      </c>
      <c r="AF33" s="641">
        <v>31</v>
      </c>
      <c r="AG33" s="623"/>
    </row>
    <row r="34" spans="1:33" ht="24" customHeight="1">
      <c r="A34" s="650" t="s">
        <v>345</v>
      </c>
      <c r="B34" s="601" t="s">
        <v>173</v>
      </c>
      <c r="C34" s="579" t="s">
        <v>173</v>
      </c>
      <c r="D34" s="730" t="s">
        <v>327</v>
      </c>
      <c r="E34" s="730" t="s">
        <v>327</v>
      </c>
      <c r="F34" s="730" t="s">
        <v>327</v>
      </c>
      <c r="G34" s="730" t="s">
        <v>327</v>
      </c>
      <c r="H34" s="836" t="s">
        <v>327</v>
      </c>
      <c r="I34" s="579" t="s">
        <v>173</v>
      </c>
      <c r="J34" s="579" t="s">
        <v>173</v>
      </c>
      <c r="K34" s="580" t="s">
        <v>9</v>
      </c>
      <c r="L34" s="580" t="s">
        <v>9</v>
      </c>
      <c r="M34" s="580" t="s">
        <v>9</v>
      </c>
      <c r="N34" s="580" t="s">
        <v>9</v>
      </c>
      <c r="O34" s="580" t="s">
        <v>9</v>
      </c>
      <c r="P34" s="580" t="s">
        <v>9</v>
      </c>
      <c r="Q34" s="580" t="s">
        <v>9</v>
      </c>
      <c r="R34" s="580" t="s">
        <v>9</v>
      </c>
      <c r="S34" s="580" t="s">
        <v>9</v>
      </c>
      <c r="T34" s="580" t="s">
        <v>9</v>
      </c>
      <c r="U34" s="580" t="s">
        <v>9</v>
      </c>
      <c r="V34" s="580" t="s">
        <v>9</v>
      </c>
      <c r="W34" s="580" t="s">
        <v>9</v>
      </c>
      <c r="X34" s="580" t="s">
        <v>9</v>
      </c>
      <c r="Y34" s="730" t="s">
        <v>327</v>
      </c>
      <c r="Z34" s="730" t="s">
        <v>327</v>
      </c>
      <c r="AA34" s="833" t="s">
        <v>327</v>
      </c>
      <c r="AB34" s="833" t="s">
        <v>327</v>
      </c>
      <c r="AC34" s="833" t="s">
        <v>327</v>
      </c>
      <c r="AD34" s="579" t="s">
        <v>173</v>
      </c>
      <c r="AE34" s="579" t="s">
        <v>173</v>
      </c>
      <c r="AF34" s="732" t="s">
        <v>327</v>
      </c>
      <c r="AG34" s="623"/>
    </row>
    <row r="35" spans="1:33" ht="24" customHeight="1">
      <c r="A35" s="678" t="s">
        <v>347</v>
      </c>
      <c r="B35" s="605" t="s">
        <v>173</v>
      </c>
      <c r="C35" s="574" t="s">
        <v>173</v>
      </c>
      <c r="D35" s="600" t="s">
        <v>329</v>
      </c>
      <c r="E35" s="600" t="s">
        <v>329</v>
      </c>
      <c r="F35" s="600" t="s">
        <v>329</v>
      </c>
      <c r="G35" s="600" t="s">
        <v>329</v>
      </c>
      <c r="H35" s="600" t="s">
        <v>329</v>
      </c>
      <c r="I35" s="574" t="s">
        <v>173</v>
      </c>
      <c r="J35" s="574" t="s">
        <v>173</v>
      </c>
      <c r="K35" s="600" t="s">
        <v>329</v>
      </c>
      <c r="L35" s="600" t="s">
        <v>329</v>
      </c>
      <c r="M35" s="600" t="s">
        <v>329</v>
      </c>
      <c r="N35" s="600" t="s">
        <v>329</v>
      </c>
      <c r="O35" s="600" t="s">
        <v>329</v>
      </c>
      <c r="P35" s="574" t="s">
        <v>173</v>
      </c>
      <c r="Q35" s="574" t="s">
        <v>173</v>
      </c>
      <c r="R35" s="600" t="s">
        <v>329</v>
      </c>
      <c r="S35" s="600" t="s">
        <v>329</v>
      </c>
      <c r="T35" s="600" t="s">
        <v>329</v>
      </c>
      <c r="U35" s="600" t="s">
        <v>329</v>
      </c>
      <c r="V35" s="600" t="s">
        <v>329</v>
      </c>
      <c r="W35" s="574" t="s">
        <v>173</v>
      </c>
      <c r="X35" s="574" t="s">
        <v>173</v>
      </c>
      <c r="Y35" s="600" t="s">
        <v>329</v>
      </c>
      <c r="Z35" s="600" t="s">
        <v>329</v>
      </c>
      <c r="AA35" s="600" t="s">
        <v>329</v>
      </c>
      <c r="AB35" s="600" t="s">
        <v>329</v>
      </c>
      <c r="AC35" s="600" t="s">
        <v>329</v>
      </c>
      <c r="AD35" s="574" t="s">
        <v>173</v>
      </c>
      <c r="AE35" s="574" t="s">
        <v>173</v>
      </c>
      <c r="AF35" s="606" t="s">
        <v>329</v>
      </c>
      <c r="AG35" s="623"/>
    </row>
    <row r="36" spans="1:33" ht="24" customHeight="1">
      <c r="A36" s="650" t="s">
        <v>349</v>
      </c>
      <c r="B36" s="605" t="s">
        <v>173</v>
      </c>
      <c r="C36" s="574" t="s">
        <v>173</v>
      </c>
      <c r="D36" s="573" t="s">
        <v>327</v>
      </c>
      <c r="E36" s="573" t="s">
        <v>327</v>
      </c>
      <c r="F36" s="573" t="s">
        <v>327</v>
      </c>
      <c r="G36" s="573" t="s">
        <v>327</v>
      </c>
      <c r="H36" s="577" t="s">
        <v>327</v>
      </c>
      <c r="I36" s="574" t="s">
        <v>173</v>
      </c>
      <c r="J36" s="574" t="s">
        <v>173</v>
      </c>
      <c r="K36" s="573" t="s">
        <v>327</v>
      </c>
      <c r="L36" s="573" t="s">
        <v>327</v>
      </c>
      <c r="M36" s="573" t="s">
        <v>327</v>
      </c>
      <c r="N36" s="573" t="s">
        <v>327</v>
      </c>
      <c r="O36" s="577" t="s">
        <v>327</v>
      </c>
      <c r="P36" s="574" t="s">
        <v>173</v>
      </c>
      <c r="Q36" s="574" t="s">
        <v>173</v>
      </c>
      <c r="R36" s="573" t="s">
        <v>327</v>
      </c>
      <c r="S36" s="573" t="s">
        <v>327</v>
      </c>
      <c r="T36" s="573" t="s">
        <v>327</v>
      </c>
      <c r="U36" s="573" t="s">
        <v>327</v>
      </c>
      <c r="V36" s="577" t="s">
        <v>327</v>
      </c>
      <c r="W36" s="574" t="s">
        <v>173</v>
      </c>
      <c r="X36" s="574" t="s">
        <v>173</v>
      </c>
      <c r="Y36" s="573" t="s">
        <v>327</v>
      </c>
      <c r="Z36" s="573" t="s">
        <v>327</v>
      </c>
      <c r="AA36" s="573" t="s">
        <v>327</v>
      </c>
      <c r="AB36" s="573" t="s">
        <v>327</v>
      </c>
      <c r="AC36" s="573" t="s">
        <v>327</v>
      </c>
      <c r="AD36" s="574" t="s">
        <v>173</v>
      </c>
      <c r="AE36" s="574" t="s">
        <v>173</v>
      </c>
      <c r="AF36" s="608" t="s">
        <v>327</v>
      </c>
      <c r="AG36" s="623"/>
    </row>
    <row r="37" spans="1:33" ht="24" customHeight="1">
      <c r="A37" s="654" t="s">
        <v>353</v>
      </c>
      <c r="B37" s="605" t="s">
        <v>173</v>
      </c>
      <c r="C37" s="574" t="s">
        <v>173</v>
      </c>
      <c r="D37" s="573" t="s">
        <v>327</v>
      </c>
      <c r="E37" s="573" t="s">
        <v>327</v>
      </c>
      <c r="F37" s="573" t="s">
        <v>327</v>
      </c>
      <c r="G37" s="573" t="s">
        <v>327</v>
      </c>
      <c r="H37" s="577" t="s">
        <v>327</v>
      </c>
      <c r="I37" s="574" t="s">
        <v>173</v>
      </c>
      <c r="J37" s="574" t="s">
        <v>173</v>
      </c>
      <c r="K37" s="573" t="s">
        <v>327</v>
      </c>
      <c r="L37" s="573" t="s">
        <v>327</v>
      </c>
      <c r="M37" s="573" t="s">
        <v>327</v>
      </c>
      <c r="N37" s="573" t="s">
        <v>327</v>
      </c>
      <c r="O37" s="577" t="s">
        <v>327</v>
      </c>
      <c r="P37" s="574" t="s">
        <v>173</v>
      </c>
      <c r="Q37" s="574" t="s">
        <v>173</v>
      </c>
      <c r="R37" s="573" t="s">
        <v>327</v>
      </c>
      <c r="S37" s="573" t="s">
        <v>327</v>
      </c>
      <c r="T37" s="573" t="s">
        <v>327</v>
      </c>
      <c r="U37" s="573" t="s">
        <v>327</v>
      </c>
      <c r="V37" s="577" t="s">
        <v>327</v>
      </c>
      <c r="W37" s="574" t="s">
        <v>173</v>
      </c>
      <c r="X37" s="574" t="s">
        <v>173</v>
      </c>
      <c r="Y37" s="573" t="s">
        <v>327</v>
      </c>
      <c r="Z37" s="573" t="s">
        <v>327</v>
      </c>
      <c r="AA37" s="573" t="s">
        <v>327</v>
      </c>
      <c r="AB37" s="573" t="s">
        <v>327</v>
      </c>
      <c r="AC37" s="577" t="s">
        <v>327</v>
      </c>
      <c r="AD37" s="574" t="s">
        <v>173</v>
      </c>
      <c r="AE37" s="574" t="s">
        <v>173</v>
      </c>
      <c r="AF37" s="608" t="s">
        <v>327</v>
      </c>
      <c r="AG37" s="623"/>
    </row>
    <row r="38" spans="1:33" ht="24" customHeight="1">
      <c r="A38" s="659" t="s">
        <v>354</v>
      </c>
      <c r="B38" s="611" t="s">
        <v>14</v>
      </c>
      <c r="C38" s="576" t="s">
        <v>14</v>
      </c>
      <c r="D38" s="609" t="s">
        <v>325</v>
      </c>
      <c r="E38" s="609" t="s">
        <v>325</v>
      </c>
      <c r="F38" s="609" t="s">
        <v>325</v>
      </c>
      <c r="G38" s="609" t="s">
        <v>325</v>
      </c>
      <c r="H38" s="609" t="s">
        <v>325</v>
      </c>
      <c r="I38" s="574" t="s">
        <v>173</v>
      </c>
      <c r="J38" s="574" t="s">
        <v>173</v>
      </c>
      <c r="K38" s="609" t="s">
        <v>325</v>
      </c>
      <c r="L38" s="609" t="s">
        <v>325</v>
      </c>
      <c r="M38" s="609" t="s">
        <v>325</v>
      </c>
      <c r="N38" s="609" t="s">
        <v>325</v>
      </c>
      <c r="O38" s="609" t="s">
        <v>325</v>
      </c>
      <c r="P38" s="574" t="s">
        <v>173</v>
      </c>
      <c r="Q38" s="574" t="s">
        <v>173</v>
      </c>
      <c r="R38" s="597" t="s">
        <v>9</v>
      </c>
      <c r="S38" s="597" t="s">
        <v>9</v>
      </c>
      <c r="T38" s="597" t="s">
        <v>9</v>
      </c>
      <c r="U38" s="597" t="s">
        <v>9</v>
      </c>
      <c r="V38" s="597" t="s">
        <v>9</v>
      </c>
      <c r="W38" s="597" t="s">
        <v>9</v>
      </c>
      <c r="X38" s="597" t="s">
        <v>9</v>
      </c>
      <c r="Y38" s="576" t="s">
        <v>331</v>
      </c>
      <c r="Z38" s="576" t="s">
        <v>331</v>
      </c>
      <c r="AA38" s="576" t="s">
        <v>331</v>
      </c>
      <c r="AB38" s="576" t="s">
        <v>331</v>
      </c>
      <c r="AC38" s="576" t="s">
        <v>331</v>
      </c>
      <c r="AD38" s="576" t="s">
        <v>14</v>
      </c>
      <c r="AE38" s="576" t="s">
        <v>14</v>
      </c>
      <c r="AF38" s="613" t="s">
        <v>325</v>
      </c>
      <c r="AG38" s="623"/>
    </row>
    <row r="39" spans="1:33" ht="24" customHeight="1">
      <c r="A39" s="661" t="s">
        <v>360</v>
      </c>
      <c r="B39" s="605" t="s">
        <v>173</v>
      </c>
      <c r="C39" s="574" t="s">
        <v>173</v>
      </c>
      <c r="D39" s="609" t="s">
        <v>325</v>
      </c>
      <c r="E39" s="609" t="s">
        <v>325</v>
      </c>
      <c r="F39" s="609" t="s">
        <v>325</v>
      </c>
      <c r="G39" s="609" t="s">
        <v>325</v>
      </c>
      <c r="H39" s="609" t="s">
        <v>325</v>
      </c>
      <c r="I39" s="574" t="s">
        <v>173</v>
      </c>
      <c r="J39" s="574" t="s">
        <v>173</v>
      </c>
      <c r="K39" s="573" t="s">
        <v>327</v>
      </c>
      <c r="L39" s="573" t="s">
        <v>327</v>
      </c>
      <c r="M39" s="573" t="s">
        <v>327</v>
      </c>
      <c r="N39" s="573" t="s">
        <v>327</v>
      </c>
      <c r="O39" s="577" t="s">
        <v>327</v>
      </c>
      <c r="P39" s="574" t="s">
        <v>173</v>
      </c>
      <c r="Q39" s="574" t="s">
        <v>173</v>
      </c>
      <c r="R39" s="576" t="s">
        <v>331</v>
      </c>
      <c r="S39" s="576" t="s">
        <v>331</v>
      </c>
      <c r="T39" s="576" t="s">
        <v>331</v>
      </c>
      <c r="U39" s="576" t="s">
        <v>331</v>
      </c>
      <c r="V39" s="576" t="s">
        <v>331</v>
      </c>
      <c r="W39" s="576" t="s">
        <v>14</v>
      </c>
      <c r="X39" s="576" t="s">
        <v>14</v>
      </c>
      <c r="Y39" s="609" t="s">
        <v>325</v>
      </c>
      <c r="Z39" s="609" t="s">
        <v>325</v>
      </c>
      <c r="AA39" s="609" t="s">
        <v>325</v>
      </c>
      <c r="AB39" s="609" t="s">
        <v>325</v>
      </c>
      <c r="AC39" s="609" t="s">
        <v>325</v>
      </c>
      <c r="AD39" s="574" t="s">
        <v>173</v>
      </c>
      <c r="AE39" s="574" t="s">
        <v>173</v>
      </c>
      <c r="AF39" s="613" t="s">
        <v>325</v>
      </c>
      <c r="AG39" s="623"/>
    </row>
    <row r="40" spans="1:33" ht="24" customHeight="1">
      <c r="A40" s="659" t="s">
        <v>363</v>
      </c>
      <c r="B40" s="605"/>
      <c r="C40" s="574"/>
      <c r="D40" s="573" t="s">
        <v>327</v>
      </c>
      <c r="E40" s="573" t="s">
        <v>327</v>
      </c>
      <c r="F40" s="573" t="s">
        <v>327</v>
      </c>
      <c r="G40" s="573" t="s">
        <v>327</v>
      </c>
      <c r="H40" s="577" t="s">
        <v>327</v>
      </c>
      <c r="I40" s="574" t="s">
        <v>173</v>
      </c>
      <c r="J40" s="574"/>
      <c r="K40" s="576" t="s">
        <v>331</v>
      </c>
      <c r="L40" s="576" t="s">
        <v>331</v>
      </c>
      <c r="M40" s="576" t="s">
        <v>331</v>
      </c>
      <c r="N40" s="576" t="s">
        <v>331</v>
      </c>
      <c r="O40" s="576" t="s">
        <v>331</v>
      </c>
      <c r="P40" s="576" t="s">
        <v>14</v>
      </c>
      <c r="Q40" s="576" t="s">
        <v>14</v>
      </c>
      <c r="R40" s="609" t="s">
        <v>325</v>
      </c>
      <c r="S40" s="609" t="s">
        <v>325</v>
      </c>
      <c r="T40" s="609" t="s">
        <v>325</v>
      </c>
      <c r="U40" s="609" t="s">
        <v>325</v>
      </c>
      <c r="V40" s="609" t="s">
        <v>325</v>
      </c>
      <c r="W40" s="574" t="s">
        <v>173</v>
      </c>
      <c r="X40" s="574" t="s">
        <v>173</v>
      </c>
      <c r="Y40" s="609" t="s">
        <v>325</v>
      </c>
      <c r="Z40" s="609" t="s">
        <v>325</v>
      </c>
      <c r="AA40" s="609" t="s">
        <v>325</v>
      </c>
      <c r="AB40" s="609" t="s">
        <v>325</v>
      </c>
      <c r="AC40" s="609" t="s">
        <v>325</v>
      </c>
      <c r="AD40" s="574"/>
      <c r="AE40" s="574"/>
      <c r="AF40" s="608" t="s">
        <v>327</v>
      </c>
      <c r="AG40" s="623"/>
    </row>
    <row r="41" spans="1:33" ht="24" customHeight="1">
      <c r="A41" s="665" t="s">
        <v>364</v>
      </c>
      <c r="B41" s="615" t="s">
        <v>173</v>
      </c>
      <c r="C41" s="617" t="s">
        <v>173</v>
      </c>
      <c r="D41" s="575" t="s">
        <v>331</v>
      </c>
      <c r="E41" s="575" t="s">
        <v>331</v>
      </c>
      <c r="F41" s="575" t="s">
        <v>331</v>
      </c>
      <c r="G41" s="575" t="s">
        <v>331</v>
      </c>
      <c r="H41" s="575" t="s">
        <v>331</v>
      </c>
      <c r="I41" s="575" t="s">
        <v>14</v>
      </c>
      <c r="J41" s="575" t="s">
        <v>14</v>
      </c>
      <c r="K41" s="618" t="s">
        <v>325</v>
      </c>
      <c r="L41" s="618" t="s">
        <v>325</v>
      </c>
      <c r="M41" s="618" t="s">
        <v>325</v>
      </c>
      <c r="N41" s="618" t="s">
        <v>325</v>
      </c>
      <c r="O41" s="618" t="s">
        <v>325</v>
      </c>
      <c r="P41" s="617" t="s">
        <v>173</v>
      </c>
      <c r="Q41" s="617" t="s">
        <v>173</v>
      </c>
      <c r="R41" s="734" t="s">
        <v>9</v>
      </c>
      <c r="S41" s="734" t="s">
        <v>9</v>
      </c>
      <c r="T41" s="734" t="s">
        <v>9</v>
      </c>
      <c r="U41" s="734" t="s">
        <v>9</v>
      </c>
      <c r="V41" s="734" t="s">
        <v>9</v>
      </c>
      <c r="W41" s="734" t="s">
        <v>9</v>
      </c>
      <c r="X41" s="734" t="s">
        <v>9</v>
      </c>
      <c r="Y41" s="734" t="s">
        <v>9</v>
      </c>
      <c r="Z41" s="734" t="s">
        <v>9</v>
      </c>
      <c r="AA41" s="734" t="s">
        <v>9</v>
      </c>
      <c r="AB41" s="734" t="s">
        <v>9</v>
      </c>
      <c r="AC41" s="734" t="s">
        <v>9</v>
      </c>
      <c r="AD41" s="734" t="s">
        <v>9</v>
      </c>
      <c r="AE41" s="734" t="s">
        <v>9</v>
      </c>
      <c r="AF41" s="741" t="s">
        <v>331</v>
      </c>
      <c r="AG41" s="623"/>
    </row>
    <row r="42" spans="1:33" ht="24" customHeight="1">
      <c r="A42" s="623"/>
      <c r="B42" s="623"/>
      <c r="C42" s="623"/>
      <c r="D42" s="623"/>
      <c r="E42" s="623"/>
      <c r="F42" s="623"/>
      <c r="G42" s="623"/>
      <c r="H42" s="623"/>
      <c r="I42" s="623"/>
      <c r="J42" s="623"/>
      <c r="K42" s="623"/>
      <c r="L42" s="623"/>
      <c r="M42" s="623"/>
      <c r="N42" s="623"/>
      <c r="O42" s="623"/>
      <c r="P42" s="623"/>
      <c r="Q42" s="623"/>
      <c r="R42" s="623"/>
      <c r="S42" s="623"/>
      <c r="T42" s="623"/>
      <c r="U42" s="623"/>
      <c r="V42" s="623"/>
      <c r="W42" s="623"/>
      <c r="X42" s="623"/>
      <c r="Y42" s="623"/>
      <c r="Z42" s="623"/>
      <c r="AA42" s="623"/>
      <c r="AB42" s="623"/>
      <c r="AC42" s="623"/>
      <c r="AD42" s="623"/>
      <c r="AE42" s="623"/>
      <c r="AF42" s="623"/>
      <c r="AG42" s="623"/>
    </row>
    <row r="43" spans="1:33" ht="24" customHeight="1">
      <c r="A43" s="623"/>
      <c r="B43" s="871" t="s">
        <v>428</v>
      </c>
      <c r="C43" s="872"/>
      <c r="D43" s="872"/>
      <c r="E43" s="872"/>
      <c r="F43" s="872"/>
      <c r="G43" s="872"/>
      <c r="H43" s="872"/>
      <c r="I43" s="872"/>
      <c r="J43" s="872"/>
      <c r="K43" s="872"/>
      <c r="L43" s="872"/>
      <c r="M43" s="872"/>
      <c r="N43" s="872"/>
      <c r="O43" s="872"/>
      <c r="P43" s="872"/>
      <c r="Q43" s="872"/>
      <c r="R43" s="872"/>
      <c r="S43" s="872"/>
      <c r="T43" s="872"/>
      <c r="U43" s="872"/>
      <c r="V43" s="872"/>
      <c r="W43" s="872"/>
      <c r="X43" s="872"/>
      <c r="Y43" s="872"/>
      <c r="Z43" s="872"/>
      <c r="AA43" s="872"/>
      <c r="AB43" s="872"/>
      <c r="AC43" s="872"/>
      <c r="AD43" s="872"/>
      <c r="AE43" s="873"/>
      <c r="AF43" s="623"/>
      <c r="AG43" s="623"/>
    </row>
    <row r="44" spans="1:33" ht="24" customHeight="1">
      <c r="A44" s="869" t="s">
        <v>341</v>
      </c>
      <c r="B44" s="633" t="s">
        <v>87</v>
      </c>
      <c r="C44" s="634" t="s">
        <v>44</v>
      </c>
      <c r="D44" s="634" t="s">
        <v>28</v>
      </c>
      <c r="E44" s="634" t="s">
        <v>9</v>
      </c>
      <c r="F44" s="634" t="s">
        <v>84</v>
      </c>
      <c r="G44" s="635" t="s">
        <v>85</v>
      </c>
      <c r="H44" s="634" t="s">
        <v>86</v>
      </c>
      <c r="I44" s="634" t="s">
        <v>87</v>
      </c>
      <c r="J44" s="634" t="s">
        <v>44</v>
      </c>
      <c r="K44" s="634" t="s">
        <v>28</v>
      </c>
      <c r="L44" s="634" t="s">
        <v>9</v>
      </c>
      <c r="M44" s="634" t="s">
        <v>84</v>
      </c>
      <c r="N44" s="635" t="s">
        <v>85</v>
      </c>
      <c r="O44" s="634" t="s">
        <v>86</v>
      </c>
      <c r="P44" s="634" t="s">
        <v>87</v>
      </c>
      <c r="Q44" s="634" t="s">
        <v>44</v>
      </c>
      <c r="R44" s="634" t="s">
        <v>28</v>
      </c>
      <c r="S44" s="634" t="s">
        <v>9</v>
      </c>
      <c r="T44" s="634" t="s">
        <v>84</v>
      </c>
      <c r="U44" s="635" t="s">
        <v>85</v>
      </c>
      <c r="V44" s="634" t="s">
        <v>86</v>
      </c>
      <c r="W44" s="634" t="s">
        <v>87</v>
      </c>
      <c r="X44" s="634" t="s">
        <v>44</v>
      </c>
      <c r="Y44" s="634" t="s">
        <v>28</v>
      </c>
      <c r="Z44" s="634" t="s">
        <v>9</v>
      </c>
      <c r="AA44" s="634" t="s">
        <v>84</v>
      </c>
      <c r="AB44" s="635" t="s">
        <v>85</v>
      </c>
      <c r="AC44" s="634" t="s">
        <v>86</v>
      </c>
      <c r="AD44" s="634" t="s">
        <v>87</v>
      </c>
      <c r="AE44" s="636" t="s">
        <v>44</v>
      </c>
      <c r="AF44" s="623"/>
      <c r="AG44" s="623"/>
    </row>
    <row r="45" spans="1:33" ht="24" customHeight="1">
      <c r="A45" s="870"/>
      <c r="B45" s="701">
        <v>1</v>
      </c>
      <c r="C45" s="640">
        <v>2</v>
      </c>
      <c r="D45" s="638">
        <v>3</v>
      </c>
      <c r="E45" s="638">
        <v>4</v>
      </c>
      <c r="F45" s="639">
        <v>5</v>
      </c>
      <c r="G45" s="639">
        <v>6</v>
      </c>
      <c r="H45" s="638">
        <v>7</v>
      </c>
      <c r="I45" s="638">
        <v>8</v>
      </c>
      <c r="J45" s="638">
        <v>9</v>
      </c>
      <c r="K45" s="638">
        <v>10</v>
      </c>
      <c r="L45" s="638">
        <v>11</v>
      </c>
      <c r="M45" s="639">
        <v>12</v>
      </c>
      <c r="N45" s="639">
        <v>13</v>
      </c>
      <c r="O45" s="638">
        <v>14</v>
      </c>
      <c r="P45" s="638">
        <v>15</v>
      </c>
      <c r="Q45" s="638">
        <v>16</v>
      </c>
      <c r="R45" s="638">
        <v>17</v>
      </c>
      <c r="S45" s="638">
        <v>18</v>
      </c>
      <c r="T45" s="639">
        <v>19</v>
      </c>
      <c r="U45" s="639">
        <v>20</v>
      </c>
      <c r="V45" s="638">
        <v>21</v>
      </c>
      <c r="W45" s="638">
        <v>22</v>
      </c>
      <c r="X45" s="638">
        <v>23</v>
      </c>
      <c r="Y45" s="638">
        <v>24</v>
      </c>
      <c r="Z45" s="638">
        <v>25</v>
      </c>
      <c r="AA45" s="639">
        <v>26</v>
      </c>
      <c r="AB45" s="639">
        <v>27</v>
      </c>
      <c r="AC45" s="638">
        <v>28</v>
      </c>
      <c r="AD45" s="640">
        <v>29</v>
      </c>
      <c r="AE45" s="641">
        <v>30</v>
      </c>
      <c r="AF45" s="623"/>
      <c r="AG45" s="623"/>
    </row>
    <row r="46" spans="1:33" ht="24" customHeight="1">
      <c r="A46" s="650" t="s">
        <v>345</v>
      </c>
      <c r="B46" s="703" t="s">
        <v>329</v>
      </c>
      <c r="C46" s="602" t="s">
        <v>329</v>
      </c>
      <c r="D46" s="602" t="s">
        <v>329</v>
      </c>
      <c r="E46" s="602" t="s">
        <v>329</v>
      </c>
      <c r="F46" s="579" t="s">
        <v>173</v>
      </c>
      <c r="G46" s="579" t="s">
        <v>173</v>
      </c>
      <c r="H46" s="602" t="s">
        <v>329</v>
      </c>
      <c r="I46" s="602" t="s">
        <v>329</v>
      </c>
      <c r="J46" s="602" t="s">
        <v>329</v>
      </c>
      <c r="K46" s="602" t="s">
        <v>329</v>
      </c>
      <c r="L46" s="602" t="s">
        <v>329</v>
      </c>
      <c r="M46" s="579" t="s">
        <v>173</v>
      </c>
      <c r="N46" s="579" t="s">
        <v>173</v>
      </c>
      <c r="O46" s="602" t="s">
        <v>329</v>
      </c>
      <c r="P46" s="602" t="s">
        <v>329</v>
      </c>
      <c r="Q46" s="602" t="s">
        <v>329</v>
      </c>
      <c r="R46" s="602" t="s">
        <v>329</v>
      </c>
      <c r="S46" s="602" t="s">
        <v>329</v>
      </c>
      <c r="T46" s="579" t="s">
        <v>173</v>
      </c>
      <c r="U46" s="579" t="s">
        <v>173</v>
      </c>
      <c r="V46" s="602" t="s">
        <v>329</v>
      </c>
      <c r="W46" s="602" t="s">
        <v>329</v>
      </c>
      <c r="X46" s="602" t="s">
        <v>329</v>
      </c>
      <c r="Y46" s="602" t="s">
        <v>329</v>
      </c>
      <c r="Z46" s="602" t="s">
        <v>329</v>
      </c>
      <c r="AA46" s="579" t="s">
        <v>173</v>
      </c>
      <c r="AB46" s="579" t="s">
        <v>173</v>
      </c>
      <c r="AC46" s="602" t="s">
        <v>329</v>
      </c>
      <c r="AD46" s="602" t="s">
        <v>329</v>
      </c>
      <c r="AE46" s="604" t="s">
        <v>329</v>
      </c>
      <c r="AF46" s="623"/>
      <c r="AG46" s="623"/>
    </row>
    <row r="47" spans="1:33" ht="24" customHeight="1">
      <c r="A47" s="678" t="s">
        <v>347</v>
      </c>
      <c r="B47" s="704" t="s">
        <v>329</v>
      </c>
      <c r="C47" s="600" t="s">
        <v>329</v>
      </c>
      <c r="D47" s="600" t="s">
        <v>329</v>
      </c>
      <c r="E47" s="578" t="s">
        <v>442</v>
      </c>
      <c r="F47" s="574" t="s">
        <v>173</v>
      </c>
      <c r="G47" s="574" t="s">
        <v>173</v>
      </c>
      <c r="H47" s="600" t="s">
        <v>329</v>
      </c>
      <c r="I47" s="600" t="s">
        <v>329</v>
      </c>
      <c r="J47" s="600" t="s">
        <v>329</v>
      </c>
      <c r="K47" s="600" t="s">
        <v>329</v>
      </c>
      <c r="L47" s="600" t="s">
        <v>329</v>
      </c>
      <c r="M47" s="574" t="s">
        <v>173</v>
      </c>
      <c r="N47" s="574" t="s">
        <v>173</v>
      </c>
      <c r="O47" s="600" t="s">
        <v>329</v>
      </c>
      <c r="P47" s="600" t="s">
        <v>329</v>
      </c>
      <c r="Q47" s="600" t="s">
        <v>329</v>
      </c>
      <c r="R47" s="600" t="s">
        <v>329</v>
      </c>
      <c r="S47" s="600" t="s">
        <v>329</v>
      </c>
      <c r="T47" s="574" t="s">
        <v>173</v>
      </c>
      <c r="U47" s="574" t="s">
        <v>173</v>
      </c>
      <c r="V47" s="600" t="s">
        <v>329</v>
      </c>
      <c r="W47" s="600" t="s">
        <v>329</v>
      </c>
      <c r="X47" s="600" t="s">
        <v>329</v>
      </c>
      <c r="Y47" s="600" t="s">
        <v>329</v>
      </c>
      <c r="Z47" s="600" t="s">
        <v>329</v>
      </c>
      <c r="AA47" s="574" t="s">
        <v>173</v>
      </c>
      <c r="AB47" s="574" t="s">
        <v>173</v>
      </c>
      <c r="AC47" s="600" t="s">
        <v>329</v>
      </c>
      <c r="AD47" s="600" t="s">
        <v>329</v>
      </c>
      <c r="AE47" s="606" t="s">
        <v>329</v>
      </c>
      <c r="AF47" s="623"/>
      <c r="AG47" s="623"/>
    </row>
    <row r="48" spans="1:33" ht="24" customHeight="1">
      <c r="A48" s="650" t="s">
        <v>349</v>
      </c>
      <c r="B48" s="705" t="s">
        <v>327</v>
      </c>
      <c r="C48" s="573" t="s">
        <v>327</v>
      </c>
      <c r="D48" s="573" t="s">
        <v>327</v>
      </c>
      <c r="E48" s="577" t="s">
        <v>327</v>
      </c>
      <c r="F48" s="574" t="s">
        <v>173</v>
      </c>
      <c r="G48" s="574" t="s">
        <v>173</v>
      </c>
      <c r="H48" s="573" t="s">
        <v>327</v>
      </c>
      <c r="I48" s="573" t="s">
        <v>327</v>
      </c>
      <c r="J48" s="573" t="s">
        <v>327</v>
      </c>
      <c r="K48" s="573" t="s">
        <v>327</v>
      </c>
      <c r="L48" s="577" t="s">
        <v>327</v>
      </c>
      <c r="M48" s="574" t="s">
        <v>173</v>
      </c>
      <c r="N48" s="574" t="s">
        <v>173</v>
      </c>
      <c r="O48" s="573" t="s">
        <v>327</v>
      </c>
      <c r="P48" s="573" t="s">
        <v>327</v>
      </c>
      <c r="Q48" s="573" t="s">
        <v>327</v>
      </c>
      <c r="R48" s="573" t="s">
        <v>327</v>
      </c>
      <c r="S48" s="577" t="s">
        <v>327</v>
      </c>
      <c r="T48" s="574" t="s">
        <v>173</v>
      </c>
      <c r="U48" s="574" t="s">
        <v>173</v>
      </c>
      <c r="V48" s="573" t="s">
        <v>327</v>
      </c>
      <c r="W48" s="573" t="s">
        <v>327</v>
      </c>
      <c r="X48" s="573" t="s">
        <v>327</v>
      </c>
      <c r="Y48" s="573" t="s">
        <v>327</v>
      </c>
      <c r="Z48" s="573" t="s">
        <v>327</v>
      </c>
      <c r="AA48" s="574" t="s">
        <v>173</v>
      </c>
      <c r="AB48" s="574" t="s">
        <v>173</v>
      </c>
      <c r="AC48" s="573" t="s">
        <v>327</v>
      </c>
      <c r="AD48" s="573" t="s">
        <v>327</v>
      </c>
      <c r="AE48" s="608" t="s">
        <v>327</v>
      </c>
      <c r="AF48" s="623"/>
      <c r="AG48" s="623"/>
    </row>
    <row r="49" spans="1:33" ht="24" customHeight="1">
      <c r="A49" s="654" t="s">
        <v>353</v>
      </c>
      <c r="B49" s="705" t="s">
        <v>327</v>
      </c>
      <c r="C49" s="573" t="s">
        <v>327</v>
      </c>
      <c r="D49" s="573" t="s">
        <v>327</v>
      </c>
      <c r="E49" s="577" t="s">
        <v>327</v>
      </c>
      <c r="F49" s="574" t="s">
        <v>173</v>
      </c>
      <c r="G49" s="574" t="s">
        <v>173</v>
      </c>
      <c r="H49" s="600" t="s">
        <v>329</v>
      </c>
      <c r="I49" s="600" t="s">
        <v>329</v>
      </c>
      <c r="J49" s="600" t="s">
        <v>329</v>
      </c>
      <c r="K49" s="600" t="s">
        <v>329</v>
      </c>
      <c r="L49" s="600" t="s">
        <v>329</v>
      </c>
      <c r="M49" s="574" t="s">
        <v>173</v>
      </c>
      <c r="N49" s="574" t="s">
        <v>173</v>
      </c>
      <c r="O49" s="573" t="s">
        <v>327</v>
      </c>
      <c r="P49" s="573" t="s">
        <v>327</v>
      </c>
      <c r="Q49" s="573" t="s">
        <v>327</v>
      </c>
      <c r="R49" s="573" t="s">
        <v>327</v>
      </c>
      <c r="S49" s="577" t="s">
        <v>327</v>
      </c>
      <c r="T49" s="574" t="s">
        <v>173</v>
      </c>
      <c r="U49" s="574" t="s">
        <v>173</v>
      </c>
      <c r="V49" s="600" t="s">
        <v>329</v>
      </c>
      <c r="W49" s="600" t="s">
        <v>329</v>
      </c>
      <c r="X49" s="600" t="s">
        <v>329</v>
      </c>
      <c r="Y49" s="600" t="s">
        <v>329</v>
      </c>
      <c r="Z49" s="600" t="s">
        <v>329</v>
      </c>
      <c r="AA49" s="574" t="s">
        <v>173</v>
      </c>
      <c r="AB49" s="574" t="s">
        <v>173</v>
      </c>
      <c r="AC49" s="573" t="s">
        <v>327</v>
      </c>
      <c r="AD49" s="573" t="s">
        <v>327</v>
      </c>
      <c r="AE49" s="608" t="s">
        <v>327</v>
      </c>
      <c r="AF49" s="623"/>
      <c r="AG49" s="623"/>
    </row>
    <row r="50" spans="1:33" ht="24" customHeight="1">
      <c r="A50" s="659" t="s">
        <v>354</v>
      </c>
      <c r="B50" s="709" t="s">
        <v>325</v>
      </c>
      <c r="C50" s="609" t="s">
        <v>325</v>
      </c>
      <c r="D50" s="609" t="s">
        <v>325</v>
      </c>
      <c r="E50" s="609" t="s">
        <v>325</v>
      </c>
      <c r="F50" s="574" t="s">
        <v>173</v>
      </c>
      <c r="G50" s="574" t="s">
        <v>173</v>
      </c>
      <c r="H50" s="609" t="s">
        <v>325</v>
      </c>
      <c r="I50" s="609" t="s">
        <v>325</v>
      </c>
      <c r="J50" s="609" t="s">
        <v>325</v>
      </c>
      <c r="K50" s="609" t="s">
        <v>325</v>
      </c>
      <c r="L50" s="609" t="s">
        <v>325</v>
      </c>
      <c r="M50" s="574" t="s">
        <v>173</v>
      </c>
      <c r="N50" s="574" t="s">
        <v>173</v>
      </c>
      <c r="O50" s="600" t="s">
        <v>329</v>
      </c>
      <c r="P50" s="600" t="s">
        <v>329</v>
      </c>
      <c r="Q50" s="600" t="s">
        <v>329</v>
      </c>
      <c r="R50" s="600" t="s">
        <v>329</v>
      </c>
      <c r="S50" s="600" t="s">
        <v>329</v>
      </c>
      <c r="T50" s="574" t="s">
        <v>173</v>
      </c>
      <c r="U50" s="574" t="s">
        <v>173</v>
      </c>
      <c r="V50" s="576" t="s">
        <v>331</v>
      </c>
      <c r="W50" s="576" t="s">
        <v>331</v>
      </c>
      <c r="X50" s="576" t="s">
        <v>331</v>
      </c>
      <c r="Y50" s="576" t="s">
        <v>331</v>
      </c>
      <c r="Z50" s="576" t="s">
        <v>331</v>
      </c>
      <c r="AA50" s="576" t="s">
        <v>14</v>
      </c>
      <c r="AB50" s="576" t="s">
        <v>14</v>
      </c>
      <c r="AC50" s="609" t="s">
        <v>325</v>
      </c>
      <c r="AD50" s="609" t="s">
        <v>325</v>
      </c>
      <c r="AE50" s="613" t="s">
        <v>325</v>
      </c>
      <c r="AF50" s="623"/>
      <c r="AG50" s="623"/>
    </row>
    <row r="51" spans="1:33" ht="24" customHeight="1">
      <c r="A51" s="661" t="s">
        <v>360</v>
      </c>
      <c r="B51" s="709" t="s">
        <v>325</v>
      </c>
      <c r="C51" s="609" t="s">
        <v>325</v>
      </c>
      <c r="D51" s="609" t="s">
        <v>325</v>
      </c>
      <c r="E51" s="609" t="s">
        <v>325</v>
      </c>
      <c r="F51" s="574" t="s">
        <v>173</v>
      </c>
      <c r="G51" s="574" t="s">
        <v>173</v>
      </c>
      <c r="H51" s="600" t="s">
        <v>329</v>
      </c>
      <c r="I51" s="600" t="s">
        <v>329</v>
      </c>
      <c r="J51" s="600" t="s">
        <v>329</v>
      </c>
      <c r="K51" s="600" t="s">
        <v>329</v>
      </c>
      <c r="L51" s="600" t="s">
        <v>329</v>
      </c>
      <c r="M51" s="574" t="s">
        <v>173</v>
      </c>
      <c r="N51" s="574" t="s">
        <v>173</v>
      </c>
      <c r="O51" s="576" t="s">
        <v>331</v>
      </c>
      <c r="P51" s="576" t="s">
        <v>331</v>
      </c>
      <c r="Q51" s="576" t="s">
        <v>331</v>
      </c>
      <c r="R51" s="576" t="s">
        <v>331</v>
      </c>
      <c r="S51" s="576" t="s">
        <v>331</v>
      </c>
      <c r="T51" s="576" t="s">
        <v>14</v>
      </c>
      <c r="U51" s="576" t="s">
        <v>14</v>
      </c>
      <c r="V51" s="609" t="s">
        <v>325</v>
      </c>
      <c r="W51" s="609" t="s">
        <v>325</v>
      </c>
      <c r="X51" s="609" t="s">
        <v>325</v>
      </c>
      <c r="Y51" s="609" t="s">
        <v>325</v>
      </c>
      <c r="Z51" s="609" t="s">
        <v>325</v>
      </c>
      <c r="AA51" s="574" t="s">
        <v>173</v>
      </c>
      <c r="AB51" s="574" t="s">
        <v>173</v>
      </c>
      <c r="AC51" s="609" t="s">
        <v>325</v>
      </c>
      <c r="AD51" s="609" t="s">
        <v>325</v>
      </c>
      <c r="AE51" s="613" t="s">
        <v>325</v>
      </c>
      <c r="AF51" s="623"/>
      <c r="AG51" s="623"/>
    </row>
    <row r="52" spans="1:33" ht="24" customHeight="1">
      <c r="A52" s="659" t="s">
        <v>363</v>
      </c>
      <c r="B52" s="704" t="s">
        <v>383</v>
      </c>
      <c r="C52" s="600" t="s">
        <v>383</v>
      </c>
      <c r="D52" s="600" t="s">
        <v>383</v>
      </c>
      <c r="E52" s="600" t="s">
        <v>383</v>
      </c>
      <c r="F52" s="574" t="s">
        <v>173</v>
      </c>
      <c r="G52" s="574"/>
      <c r="H52" s="576" t="s">
        <v>331</v>
      </c>
      <c r="I52" s="576" t="s">
        <v>331</v>
      </c>
      <c r="J52" s="576" t="s">
        <v>331</v>
      </c>
      <c r="K52" s="576" t="s">
        <v>331</v>
      </c>
      <c r="L52" s="576" t="s">
        <v>331</v>
      </c>
      <c r="M52" s="576" t="s">
        <v>14</v>
      </c>
      <c r="N52" s="576" t="s">
        <v>14</v>
      </c>
      <c r="O52" s="609" t="s">
        <v>325</v>
      </c>
      <c r="P52" s="609" t="s">
        <v>325</v>
      </c>
      <c r="Q52" s="609" t="s">
        <v>325</v>
      </c>
      <c r="R52" s="609" t="s">
        <v>325</v>
      </c>
      <c r="S52" s="609" t="s">
        <v>325</v>
      </c>
      <c r="T52" s="574" t="s">
        <v>173</v>
      </c>
      <c r="U52" s="574" t="s">
        <v>173</v>
      </c>
      <c r="V52" s="609" t="s">
        <v>325</v>
      </c>
      <c r="W52" s="609" t="s">
        <v>325</v>
      </c>
      <c r="X52" s="609" t="s">
        <v>325</v>
      </c>
      <c r="Y52" s="609" t="s">
        <v>325</v>
      </c>
      <c r="Z52" s="609" t="s">
        <v>325</v>
      </c>
      <c r="AA52" s="574"/>
      <c r="AB52" s="574"/>
      <c r="AC52" s="600" t="s">
        <v>383</v>
      </c>
      <c r="AD52" s="600" t="s">
        <v>383</v>
      </c>
      <c r="AE52" s="606" t="s">
        <v>383</v>
      </c>
      <c r="AF52" s="623"/>
      <c r="AG52" s="623"/>
    </row>
    <row r="53" spans="1:33" ht="24" customHeight="1">
      <c r="A53" s="665" t="s">
        <v>364</v>
      </c>
      <c r="B53" s="740" t="s">
        <v>331</v>
      </c>
      <c r="C53" s="575" t="s">
        <v>331</v>
      </c>
      <c r="D53" s="575" t="s">
        <v>331</v>
      </c>
      <c r="E53" s="575" t="s">
        <v>331</v>
      </c>
      <c r="F53" s="575" t="s">
        <v>14</v>
      </c>
      <c r="G53" s="575" t="s">
        <v>14</v>
      </c>
      <c r="H53" s="618" t="s">
        <v>325</v>
      </c>
      <c r="I53" s="618" t="s">
        <v>325</v>
      </c>
      <c r="J53" s="618" t="s">
        <v>325</v>
      </c>
      <c r="K53" s="618" t="s">
        <v>325</v>
      </c>
      <c r="L53" s="618" t="s">
        <v>325</v>
      </c>
      <c r="M53" s="617" t="s">
        <v>173</v>
      </c>
      <c r="N53" s="617" t="s">
        <v>173</v>
      </c>
      <c r="O53" s="618" t="s">
        <v>325</v>
      </c>
      <c r="P53" s="618" t="s">
        <v>325</v>
      </c>
      <c r="Q53" s="618" t="s">
        <v>325</v>
      </c>
      <c r="R53" s="618" t="s">
        <v>325</v>
      </c>
      <c r="S53" s="618" t="s">
        <v>325</v>
      </c>
      <c r="T53" s="617" t="s">
        <v>173</v>
      </c>
      <c r="U53" s="617" t="s">
        <v>173</v>
      </c>
      <c r="V53" s="616" t="s">
        <v>329</v>
      </c>
      <c r="W53" s="616" t="s">
        <v>329</v>
      </c>
      <c r="X53" s="616" t="s">
        <v>329</v>
      </c>
      <c r="Y53" s="616" t="s">
        <v>329</v>
      </c>
      <c r="Z53" s="616" t="s">
        <v>329</v>
      </c>
      <c r="AA53" s="617" t="s">
        <v>173</v>
      </c>
      <c r="AB53" s="617" t="s">
        <v>173</v>
      </c>
      <c r="AC53" s="575" t="s">
        <v>331</v>
      </c>
      <c r="AD53" s="575" t="s">
        <v>331</v>
      </c>
      <c r="AE53" s="741" t="s">
        <v>331</v>
      </c>
      <c r="AF53" s="623"/>
      <c r="AG53" s="623"/>
    </row>
    <row r="54" spans="1:33" ht="24" customHeight="1">
      <c r="A54" s="623"/>
      <c r="B54" s="623"/>
      <c r="C54" s="623"/>
      <c r="D54" s="623"/>
      <c r="E54" s="623"/>
      <c r="F54" s="623"/>
      <c r="G54" s="623"/>
      <c r="H54" s="623"/>
      <c r="I54" s="623"/>
      <c r="J54" s="623"/>
      <c r="K54" s="623"/>
      <c r="L54" s="623"/>
      <c r="M54" s="623"/>
      <c r="N54" s="623"/>
      <c r="O54" s="623"/>
      <c r="P54" s="623"/>
      <c r="Q54" s="623"/>
      <c r="R54" s="623"/>
      <c r="S54" s="623"/>
      <c r="T54" s="623"/>
      <c r="U54" s="623"/>
      <c r="V54" s="623"/>
      <c r="W54" s="623"/>
      <c r="X54" s="623"/>
      <c r="Y54" s="623"/>
      <c r="Z54" s="623"/>
      <c r="AA54" s="623"/>
      <c r="AB54" s="623"/>
      <c r="AC54" s="623"/>
      <c r="AD54" s="623"/>
      <c r="AE54" s="623"/>
      <c r="AF54" s="623"/>
      <c r="AG54" s="623"/>
    </row>
  </sheetData>
  <mergeCells count="8">
    <mergeCell ref="B43:AE43"/>
    <mergeCell ref="A44:A45"/>
    <mergeCell ref="B7:AE7"/>
    <mergeCell ref="A8:A9"/>
    <mergeCell ref="B19:AF19"/>
    <mergeCell ref="A20:A21"/>
    <mergeCell ref="B31:AF31"/>
    <mergeCell ref="A32:A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CA47-5AA3-4ACE-A488-98FA17920ACE}">
  <dimension ref="A1:AH53"/>
  <sheetViews>
    <sheetView topLeftCell="D16" workbookViewId="0">
      <selection activeCell="V29" sqref="V29"/>
    </sheetView>
  </sheetViews>
  <sheetFormatPr defaultColWidth="9.140625" defaultRowHeight="15"/>
  <cols>
    <col min="1" max="1" width="17.28515625" bestFit="1" customWidth="1"/>
  </cols>
  <sheetData>
    <row r="1" spans="1:34" s="582" customFormat="1" ht="33.75">
      <c r="A1" s="581">
        <v>45809</v>
      </c>
      <c r="B1" s="912"/>
      <c r="C1" s="912"/>
      <c r="D1" s="912"/>
      <c r="E1" s="912"/>
      <c r="F1" s="912"/>
      <c r="G1" s="912"/>
      <c r="H1" s="912"/>
      <c r="I1" s="912"/>
      <c r="J1" s="912"/>
      <c r="K1" s="912"/>
      <c r="L1" s="912"/>
      <c r="M1" s="912"/>
      <c r="N1" s="912"/>
      <c r="O1" s="912"/>
      <c r="P1" s="912"/>
      <c r="Q1" s="912"/>
      <c r="R1" s="912"/>
      <c r="S1" s="912"/>
      <c r="T1" s="912"/>
      <c r="U1" s="912"/>
      <c r="V1" s="912"/>
      <c r="W1" s="912"/>
      <c r="X1" s="912"/>
      <c r="Y1" s="912"/>
      <c r="Z1" s="912"/>
      <c r="AA1" s="912"/>
      <c r="AB1" s="912"/>
      <c r="AC1" s="912"/>
      <c r="AD1" s="912"/>
      <c r="AE1" s="912"/>
      <c r="AF1" s="912"/>
      <c r="AG1" s="912"/>
    </row>
    <row r="2" spans="1:34">
      <c r="A2" s="446"/>
      <c r="B2" s="447" t="s">
        <v>5</v>
      </c>
      <c r="C2" s="447" t="s">
        <v>6</v>
      </c>
      <c r="D2" s="447" t="s">
        <v>7</v>
      </c>
      <c r="E2" s="447" t="s">
        <v>1</v>
      </c>
      <c r="F2" s="447" t="s">
        <v>2</v>
      </c>
      <c r="G2" s="447" t="s">
        <v>3</v>
      </c>
      <c r="H2" s="447" t="s">
        <v>4</v>
      </c>
      <c r="I2" s="447" t="s">
        <v>5</v>
      </c>
      <c r="J2" s="447" t="s">
        <v>6</v>
      </c>
      <c r="K2" s="447" t="s">
        <v>7</v>
      </c>
      <c r="L2" s="447" t="s">
        <v>1</v>
      </c>
      <c r="M2" s="447" t="s">
        <v>2</v>
      </c>
      <c r="N2" s="447" t="s">
        <v>3</v>
      </c>
      <c r="O2" s="447" t="s">
        <v>4</v>
      </c>
      <c r="P2" s="447" t="s">
        <v>5</v>
      </c>
      <c r="Q2" s="447" t="s">
        <v>6</v>
      </c>
      <c r="R2" s="447" t="s">
        <v>7</v>
      </c>
      <c r="S2" s="447" t="s">
        <v>1</v>
      </c>
      <c r="T2" s="447" t="s">
        <v>2</v>
      </c>
      <c r="U2" s="447" t="s">
        <v>3</v>
      </c>
      <c r="V2" s="447" t="s">
        <v>4</v>
      </c>
      <c r="W2" s="447" t="s">
        <v>5</v>
      </c>
      <c r="X2" s="447" t="s">
        <v>6</v>
      </c>
      <c r="Y2" s="447" t="s">
        <v>7</v>
      </c>
      <c r="Z2" s="447" t="s">
        <v>1</v>
      </c>
      <c r="AA2" s="447" t="s">
        <v>2</v>
      </c>
      <c r="AB2" s="447" t="s">
        <v>3</v>
      </c>
      <c r="AC2" s="447" t="s">
        <v>4</v>
      </c>
      <c r="AD2" s="447" t="s">
        <v>5</v>
      </c>
      <c r="AE2" s="447" t="s">
        <v>6</v>
      </c>
      <c r="AF2" s="447"/>
      <c r="AG2" s="448"/>
    </row>
    <row r="3" spans="1:34">
      <c r="A3" s="450" t="s">
        <v>97</v>
      </c>
      <c r="B3" s="453">
        <v>1</v>
      </c>
      <c r="C3" s="452">
        <v>2</v>
      </c>
      <c r="D3" s="452">
        <v>3</v>
      </c>
      <c r="E3" s="452">
        <v>4</v>
      </c>
      <c r="F3" s="452">
        <v>5</v>
      </c>
      <c r="G3" s="452">
        <v>6</v>
      </c>
      <c r="H3" s="453">
        <v>7</v>
      </c>
      <c r="I3" s="453">
        <v>8</v>
      </c>
      <c r="J3" s="452">
        <v>9</v>
      </c>
      <c r="K3" s="452">
        <v>10</v>
      </c>
      <c r="L3" s="452">
        <v>11</v>
      </c>
      <c r="M3" s="452">
        <v>12</v>
      </c>
      <c r="N3" s="452">
        <v>13</v>
      </c>
      <c r="O3" s="453">
        <v>14</v>
      </c>
      <c r="P3" s="453">
        <v>15</v>
      </c>
      <c r="Q3" s="452">
        <v>16</v>
      </c>
      <c r="R3" s="452">
        <v>17</v>
      </c>
      <c r="S3" s="452">
        <v>18</v>
      </c>
      <c r="T3" s="452">
        <v>19</v>
      </c>
      <c r="U3" s="452">
        <v>20</v>
      </c>
      <c r="V3" s="453">
        <v>21</v>
      </c>
      <c r="W3" s="453">
        <v>22</v>
      </c>
      <c r="X3" s="452">
        <v>23</v>
      </c>
      <c r="Y3" s="452">
        <v>24</v>
      </c>
      <c r="Z3" s="452">
        <v>25</v>
      </c>
      <c r="AA3" s="452">
        <v>26</v>
      </c>
      <c r="AB3" s="452">
        <v>27</v>
      </c>
      <c r="AC3" s="453">
        <v>28</v>
      </c>
      <c r="AD3" s="453">
        <v>29</v>
      </c>
      <c r="AE3" s="452">
        <v>30</v>
      </c>
      <c r="AF3" s="452"/>
      <c r="AG3" s="448"/>
      <c r="AH3">
        <f>COUNTIF(B3:AF3,"TT")</f>
        <v>0</v>
      </c>
    </row>
    <row r="4" spans="1:34">
      <c r="A4" s="450" t="s">
        <v>443</v>
      </c>
      <c r="B4" s="453">
        <v>1</v>
      </c>
      <c r="C4" s="452">
        <v>2</v>
      </c>
      <c r="D4" s="452">
        <v>3</v>
      </c>
      <c r="E4" s="452">
        <v>4</v>
      </c>
      <c r="F4" s="452">
        <v>5</v>
      </c>
      <c r="G4" s="452">
        <v>6</v>
      </c>
      <c r="H4" s="453">
        <v>7</v>
      </c>
      <c r="I4" s="453">
        <v>8</v>
      </c>
      <c r="J4" s="452">
        <v>9</v>
      </c>
      <c r="K4" s="452">
        <v>10</v>
      </c>
      <c r="L4" s="452">
        <v>11</v>
      </c>
      <c r="M4" s="452">
        <v>12</v>
      </c>
      <c r="N4" s="452">
        <v>13</v>
      </c>
      <c r="O4" s="453">
        <v>14</v>
      </c>
      <c r="P4" s="453">
        <v>15</v>
      </c>
      <c r="Q4" s="456" t="s">
        <v>444</v>
      </c>
      <c r="R4" s="456" t="s">
        <v>444</v>
      </c>
      <c r="S4" s="452">
        <v>18</v>
      </c>
      <c r="T4" s="452">
        <v>19</v>
      </c>
      <c r="U4" s="452">
        <v>20</v>
      </c>
      <c r="V4" s="453">
        <v>21</v>
      </c>
      <c r="W4" s="453">
        <v>22</v>
      </c>
      <c r="X4" s="456" t="s">
        <v>444</v>
      </c>
      <c r="Y4" s="456" t="s">
        <v>444</v>
      </c>
      <c r="Z4" s="456" t="s">
        <v>444</v>
      </c>
      <c r="AA4" s="452">
        <v>26</v>
      </c>
      <c r="AB4" s="452">
        <v>27</v>
      </c>
      <c r="AC4" s="453">
        <v>28</v>
      </c>
      <c r="AD4" s="453">
        <v>29</v>
      </c>
      <c r="AE4" s="456" t="s">
        <v>444</v>
      </c>
      <c r="AF4" s="452"/>
      <c r="AG4" s="448"/>
      <c r="AH4">
        <f t="shared" ref="AH4:AH10" si="0">COUNTIF(B4:AF4,"TT")</f>
        <v>6</v>
      </c>
    </row>
    <row r="5" spans="1:34" ht="27">
      <c r="A5" s="450" t="s">
        <v>445</v>
      </c>
      <c r="B5" s="453">
        <v>1</v>
      </c>
      <c r="C5" s="452">
        <v>2</v>
      </c>
      <c r="D5" s="452">
        <v>3</v>
      </c>
      <c r="E5" s="452">
        <v>4</v>
      </c>
      <c r="F5" s="452">
        <v>5</v>
      </c>
      <c r="G5" s="452">
        <v>6</v>
      </c>
      <c r="H5" s="453">
        <v>7</v>
      </c>
      <c r="I5" s="453">
        <v>8</v>
      </c>
      <c r="J5" s="452">
        <v>9</v>
      </c>
      <c r="K5" s="452">
        <v>10</v>
      </c>
      <c r="L5" s="452">
        <v>11</v>
      </c>
      <c r="M5" s="452">
        <v>12</v>
      </c>
      <c r="N5" s="452">
        <v>13</v>
      </c>
      <c r="O5" s="453">
        <v>14</v>
      </c>
      <c r="P5" s="453">
        <v>15</v>
      </c>
      <c r="Q5" s="452">
        <v>16</v>
      </c>
      <c r="R5" s="452">
        <v>17</v>
      </c>
      <c r="S5" s="456" t="s">
        <v>444</v>
      </c>
      <c r="T5" s="452">
        <v>19</v>
      </c>
      <c r="U5" s="452">
        <v>20</v>
      </c>
      <c r="V5" s="453">
        <v>21</v>
      </c>
      <c r="W5" s="453">
        <v>22</v>
      </c>
      <c r="X5" s="452">
        <v>23</v>
      </c>
      <c r="Y5" s="452">
        <v>24</v>
      </c>
      <c r="Z5" s="452">
        <v>25</v>
      </c>
      <c r="AA5" s="452">
        <v>26</v>
      </c>
      <c r="AB5" s="452">
        <v>27</v>
      </c>
      <c r="AC5" s="453">
        <v>28</v>
      </c>
      <c r="AD5" s="453">
        <v>29</v>
      </c>
      <c r="AE5" s="452">
        <v>30</v>
      </c>
      <c r="AF5" s="452"/>
      <c r="AG5" s="448"/>
      <c r="AH5">
        <f t="shared" si="0"/>
        <v>1</v>
      </c>
    </row>
    <row r="6" spans="1:34">
      <c r="A6" s="450" t="s">
        <v>446</v>
      </c>
      <c r="B6" s="453">
        <v>1</v>
      </c>
      <c r="C6" s="452">
        <v>2</v>
      </c>
      <c r="D6" s="452">
        <v>3</v>
      </c>
      <c r="E6" s="452">
        <v>4</v>
      </c>
      <c r="F6" s="452">
        <v>5</v>
      </c>
      <c r="G6" s="452">
        <v>6</v>
      </c>
      <c r="H6" s="453">
        <v>7</v>
      </c>
      <c r="I6" s="453">
        <v>8</v>
      </c>
      <c r="J6" s="452">
        <v>9</v>
      </c>
      <c r="K6" s="452">
        <v>10</v>
      </c>
      <c r="L6" s="452">
        <v>11</v>
      </c>
      <c r="M6" s="452">
        <v>12</v>
      </c>
      <c r="N6" s="452">
        <v>13</v>
      </c>
      <c r="O6" s="453">
        <v>14</v>
      </c>
      <c r="P6" s="453">
        <v>15</v>
      </c>
      <c r="Q6" s="452">
        <v>16</v>
      </c>
      <c r="R6" s="452">
        <v>17</v>
      </c>
      <c r="S6" s="452">
        <v>18</v>
      </c>
      <c r="T6" s="452">
        <v>19</v>
      </c>
      <c r="U6" s="452">
        <v>20</v>
      </c>
      <c r="V6" s="453">
        <v>21</v>
      </c>
      <c r="W6" s="453">
        <v>22</v>
      </c>
      <c r="X6" s="452">
        <v>23</v>
      </c>
      <c r="Y6" s="452">
        <v>24</v>
      </c>
      <c r="Z6" s="452">
        <v>25</v>
      </c>
      <c r="AA6" s="452">
        <v>26</v>
      </c>
      <c r="AB6" s="452">
        <v>27</v>
      </c>
      <c r="AC6" s="453">
        <v>28</v>
      </c>
      <c r="AD6" s="453">
        <v>29</v>
      </c>
      <c r="AE6" s="452">
        <v>30</v>
      </c>
      <c r="AF6" s="452"/>
      <c r="AG6" s="448"/>
      <c r="AH6">
        <f t="shared" si="0"/>
        <v>0</v>
      </c>
    </row>
    <row r="7" spans="1:34" ht="27">
      <c r="A7" s="450" t="s">
        <v>447</v>
      </c>
      <c r="B7" s="453">
        <v>1</v>
      </c>
      <c r="C7" s="452">
        <v>2</v>
      </c>
      <c r="D7" s="452">
        <v>3</v>
      </c>
      <c r="E7" s="452">
        <v>4</v>
      </c>
      <c r="F7" s="452">
        <v>5</v>
      </c>
      <c r="G7" s="452">
        <v>6</v>
      </c>
      <c r="H7" s="453">
        <v>7</v>
      </c>
      <c r="I7" s="453">
        <v>8</v>
      </c>
      <c r="J7" s="452">
        <v>9</v>
      </c>
      <c r="K7" s="452">
        <v>10</v>
      </c>
      <c r="L7" s="452">
        <v>11</v>
      </c>
      <c r="M7" s="452">
        <v>12</v>
      </c>
      <c r="N7" s="452">
        <v>13</v>
      </c>
      <c r="O7" s="453">
        <v>14</v>
      </c>
      <c r="P7" s="453">
        <v>15</v>
      </c>
      <c r="Q7" s="452">
        <v>16</v>
      </c>
      <c r="R7" s="452">
        <v>17</v>
      </c>
      <c r="S7" s="452">
        <v>18</v>
      </c>
      <c r="T7" s="452">
        <v>19</v>
      </c>
      <c r="U7" s="452">
        <v>20</v>
      </c>
      <c r="V7" s="453">
        <v>21</v>
      </c>
      <c r="W7" s="453">
        <v>22</v>
      </c>
      <c r="X7" s="452">
        <v>23</v>
      </c>
      <c r="Y7" s="452">
        <v>24</v>
      </c>
      <c r="Z7" s="452">
        <v>25</v>
      </c>
      <c r="AA7" s="452">
        <v>26</v>
      </c>
      <c r="AB7" s="452">
        <v>27</v>
      </c>
      <c r="AC7" s="453">
        <v>28</v>
      </c>
      <c r="AD7" s="453">
        <v>29</v>
      </c>
      <c r="AE7" s="452">
        <v>30</v>
      </c>
      <c r="AF7" s="452"/>
      <c r="AG7" s="448"/>
      <c r="AH7">
        <f t="shared" si="0"/>
        <v>0</v>
      </c>
    </row>
    <row r="8" spans="1:34">
      <c r="A8" s="450" t="s">
        <v>448</v>
      </c>
      <c r="B8" s="453">
        <v>1</v>
      </c>
      <c r="C8" s="452">
        <v>2</v>
      </c>
      <c r="D8" s="452">
        <v>3</v>
      </c>
      <c r="E8" s="452">
        <v>4</v>
      </c>
      <c r="F8" s="452">
        <v>5</v>
      </c>
      <c r="G8" s="452">
        <v>6</v>
      </c>
      <c r="H8" s="453">
        <v>7</v>
      </c>
      <c r="I8" s="453">
        <v>8</v>
      </c>
      <c r="J8" s="452">
        <v>9</v>
      </c>
      <c r="K8" s="452">
        <v>10</v>
      </c>
      <c r="L8" s="452">
        <v>11</v>
      </c>
      <c r="M8" s="452">
        <v>12</v>
      </c>
      <c r="N8" s="452">
        <v>13</v>
      </c>
      <c r="O8" s="453">
        <v>14</v>
      </c>
      <c r="P8" s="453">
        <v>15</v>
      </c>
      <c r="Q8" s="452">
        <v>16</v>
      </c>
      <c r="R8" s="452">
        <v>17</v>
      </c>
      <c r="S8" s="452">
        <v>18</v>
      </c>
      <c r="T8" s="452">
        <v>19</v>
      </c>
      <c r="U8" s="452">
        <v>20</v>
      </c>
      <c r="V8" s="453">
        <v>21</v>
      </c>
      <c r="W8" s="453">
        <v>22</v>
      </c>
      <c r="X8" s="452">
        <v>23</v>
      </c>
      <c r="Y8" s="452">
        <v>24</v>
      </c>
      <c r="Z8" s="452">
        <v>25</v>
      </c>
      <c r="AA8" s="456" t="s">
        <v>444</v>
      </c>
      <c r="AB8" s="452">
        <v>27</v>
      </c>
      <c r="AC8" s="453">
        <v>28</v>
      </c>
      <c r="AD8" s="453">
        <v>29</v>
      </c>
      <c r="AE8" s="452">
        <v>30</v>
      </c>
      <c r="AF8" s="452"/>
      <c r="AG8" s="448"/>
      <c r="AH8">
        <f t="shared" si="0"/>
        <v>1</v>
      </c>
    </row>
    <row r="9" spans="1:34">
      <c r="A9" s="450" t="s">
        <v>98</v>
      </c>
      <c r="B9" s="453">
        <v>1</v>
      </c>
      <c r="C9" s="452">
        <v>2</v>
      </c>
      <c r="D9" s="452">
        <v>3</v>
      </c>
      <c r="E9" s="452">
        <v>4</v>
      </c>
      <c r="F9" s="452">
        <v>5</v>
      </c>
      <c r="G9" s="452">
        <v>6</v>
      </c>
      <c r="H9" s="453">
        <v>7</v>
      </c>
      <c r="I9" s="453">
        <v>8</v>
      </c>
      <c r="J9" s="452">
        <v>9</v>
      </c>
      <c r="K9" s="452">
        <v>10</v>
      </c>
      <c r="L9" s="452">
        <v>11</v>
      </c>
      <c r="M9" s="452">
        <v>12</v>
      </c>
      <c r="N9" s="452">
        <v>13</v>
      </c>
      <c r="O9" s="453">
        <v>14</v>
      </c>
      <c r="P9" s="453">
        <v>15</v>
      </c>
      <c r="Q9" s="452">
        <v>16</v>
      </c>
      <c r="R9" s="452">
        <v>17</v>
      </c>
      <c r="S9" s="452">
        <v>18</v>
      </c>
      <c r="T9" s="456" t="s">
        <v>444</v>
      </c>
      <c r="U9" s="452">
        <v>20</v>
      </c>
      <c r="V9" s="453">
        <v>21</v>
      </c>
      <c r="W9" s="453">
        <v>22</v>
      </c>
      <c r="X9" s="452">
        <v>23</v>
      </c>
      <c r="Y9" s="452">
        <v>24</v>
      </c>
      <c r="Z9" s="452">
        <v>25</v>
      </c>
      <c r="AA9" s="452">
        <v>26</v>
      </c>
      <c r="AB9" s="452">
        <v>27</v>
      </c>
      <c r="AC9" s="453">
        <v>28</v>
      </c>
      <c r="AD9" s="453">
        <v>29</v>
      </c>
      <c r="AE9" s="452">
        <v>30</v>
      </c>
      <c r="AF9" s="452"/>
      <c r="AG9" s="448"/>
      <c r="AH9">
        <f t="shared" si="0"/>
        <v>1</v>
      </c>
    </row>
    <row r="10" spans="1:34" ht="26.25" customHeight="1">
      <c r="A10" s="450" t="s">
        <v>449</v>
      </c>
      <c r="B10" s="453">
        <v>1</v>
      </c>
      <c r="C10" s="452">
        <v>2</v>
      </c>
      <c r="D10" s="452">
        <v>3</v>
      </c>
      <c r="E10" s="452">
        <v>4</v>
      </c>
      <c r="F10" s="452">
        <v>5</v>
      </c>
      <c r="G10" s="452">
        <v>6</v>
      </c>
      <c r="H10" s="453">
        <v>7</v>
      </c>
      <c r="I10" s="453">
        <v>8</v>
      </c>
      <c r="J10" s="452">
        <v>9</v>
      </c>
      <c r="K10" s="452">
        <v>10</v>
      </c>
      <c r="L10" s="452">
        <v>11</v>
      </c>
      <c r="M10" s="452">
        <v>12</v>
      </c>
      <c r="N10" s="452">
        <v>13</v>
      </c>
      <c r="O10" s="453">
        <v>14</v>
      </c>
      <c r="P10" s="453">
        <v>15</v>
      </c>
      <c r="Q10" s="452">
        <v>16</v>
      </c>
      <c r="R10" s="452">
        <v>17</v>
      </c>
      <c r="S10" s="452">
        <v>18</v>
      </c>
      <c r="T10" s="452">
        <v>19</v>
      </c>
      <c r="U10" s="452">
        <v>20</v>
      </c>
      <c r="V10" s="453">
        <v>21</v>
      </c>
      <c r="W10" s="453">
        <v>22</v>
      </c>
      <c r="X10" s="452">
        <v>23</v>
      </c>
      <c r="Y10" s="452">
        <v>24</v>
      </c>
      <c r="Z10" s="452">
        <v>25</v>
      </c>
      <c r="AA10" s="452">
        <v>26</v>
      </c>
      <c r="AB10" s="452">
        <v>27</v>
      </c>
      <c r="AC10" s="453">
        <v>28</v>
      </c>
      <c r="AD10" s="453">
        <v>29</v>
      </c>
      <c r="AE10" s="452">
        <v>30</v>
      </c>
      <c r="AF10" s="452"/>
      <c r="AG10" s="448"/>
      <c r="AH10">
        <f t="shared" si="0"/>
        <v>0</v>
      </c>
    </row>
    <row r="11" spans="1:34" ht="51.75" customHeight="1">
      <c r="A11" s="583"/>
      <c r="B11" s="584"/>
      <c r="C11" s="584"/>
      <c r="D11" s="584"/>
      <c r="E11" s="584"/>
      <c r="F11" s="584"/>
      <c r="G11" s="584"/>
      <c r="H11" s="584"/>
      <c r="I11" s="584"/>
      <c r="J11" s="584"/>
      <c r="K11" s="584"/>
      <c r="L11" s="584"/>
      <c r="M11" s="584"/>
      <c r="N11" s="584"/>
      <c r="O11" s="584"/>
      <c r="P11" s="584"/>
      <c r="Q11" s="584"/>
      <c r="R11" s="584"/>
      <c r="S11" s="584"/>
      <c r="T11" s="584"/>
      <c r="U11" s="584"/>
      <c r="V11" s="584"/>
      <c r="W11" s="584"/>
      <c r="X11" s="584"/>
      <c r="Y11" s="584"/>
      <c r="Z11" s="584"/>
      <c r="AA11" s="584"/>
      <c r="AB11" s="584"/>
      <c r="AC11" s="584"/>
      <c r="AD11" s="584"/>
      <c r="AE11" s="584"/>
      <c r="AF11" s="584"/>
      <c r="AG11" s="585"/>
    </row>
    <row r="12" spans="1:34" s="581" customFormat="1" ht="27">
      <c r="A12" s="581">
        <v>45839</v>
      </c>
    </row>
    <row r="13" spans="1:34">
      <c r="A13" s="446"/>
      <c r="B13" s="447" t="s">
        <v>7</v>
      </c>
      <c r="C13" s="447" t="s">
        <v>1</v>
      </c>
      <c r="D13" s="447" t="s">
        <v>2</v>
      </c>
      <c r="E13" s="447" t="s">
        <v>3</v>
      </c>
      <c r="F13" s="447" t="s">
        <v>4</v>
      </c>
      <c r="G13" s="447" t="s">
        <v>5</v>
      </c>
      <c r="H13" s="447" t="s">
        <v>6</v>
      </c>
      <c r="I13" s="447" t="s">
        <v>7</v>
      </c>
      <c r="J13" s="447" t="s">
        <v>1</v>
      </c>
      <c r="K13" s="447" t="s">
        <v>2</v>
      </c>
      <c r="L13" s="447" t="s">
        <v>3</v>
      </c>
      <c r="M13" s="447" t="s">
        <v>4</v>
      </c>
      <c r="N13" s="447" t="s">
        <v>5</v>
      </c>
      <c r="O13" s="447" t="s">
        <v>6</v>
      </c>
      <c r="P13" s="447" t="s">
        <v>7</v>
      </c>
      <c r="Q13" s="447" t="s">
        <v>1</v>
      </c>
      <c r="R13" s="447" t="s">
        <v>2</v>
      </c>
      <c r="S13" s="447" t="s">
        <v>3</v>
      </c>
      <c r="T13" s="447" t="s">
        <v>4</v>
      </c>
      <c r="U13" s="447" t="s">
        <v>5</v>
      </c>
      <c r="V13" s="447" t="s">
        <v>6</v>
      </c>
      <c r="W13" s="447" t="s">
        <v>7</v>
      </c>
      <c r="X13" s="447" t="s">
        <v>1</v>
      </c>
      <c r="Y13" s="447" t="s">
        <v>2</v>
      </c>
      <c r="Z13" s="447" t="s">
        <v>3</v>
      </c>
      <c r="AA13" s="447" t="s">
        <v>4</v>
      </c>
      <c r="AB13" s="447" t="s">
        <v>5</v>
      </c>
      <c r="AC13" s="447" t="s">
        <v>6</v>
      </c>
      <c r="AD13" s="447" t="s">
        <v>7</v>
      </c>
      <c r="AE13" s="447" t="s">
        <v>1</v>
      </c>
      <c r="AF13" s="447" t="s">
        <v>2</v>
      </c>
      <c r="AG13" s="448"/>
    </row>
    <row r="14" spans="1:34">
      <c r="A14" s="450" t="s">
        <v>97</v>
      </c>
      <c r="B14" s="586">
        <v>1</v>
      </c>
      <c r="C14" s="586">
        <v>2</v>
      </c>
      <c r="D14" s="586">
        <v>3</v>
      </c>
      <c r="E14" s="586">
        <v>4</v>
      </c>
      <c r="F14" s="453">
        <v>5</v>
      </c>
      <c r="G14" s="453">
        <v>6</v>
      </c>
      <c r="H14" s="587">
        <v>7</v>
      </c>
      <c r="I14" s="587">
        <v>8</v>
      </c>
      <c r="J14" s="587">
        <v>9</v>
      </c>
      <c r="K14" s="587">
        <v>10</v>
      </c>
      <c r="L14" s="587">
        <v>11</v>
      </c>
      <c r="M14" s="453">
        <v>12</v>
      </c>
      <c r="N14" s="453">
        <v>13</v>
      </c>
      <c r="O14" s="452">
        <v>14</v>
      </c>
      <c r="P14" s="452">
        <v>15</v>
      </c>
      <c r="Q14" s="452">
        <v>16</v>
      </c>
      <c r="R14" s="456" t="s">
        <v>444</v>
      </c>
      <c r="S14" s="452">
        <v>18</v>
      </c>
      <c r="T14" s="453">
        <v>19</v>
      </c>
      <c r="U14" s="453">
        <v>20</v>
      </c>
      <c r="V14" s="452">
        <v>21</v>
      </c>
      <c r="W14" s="456" t="s">
        <v>444</v>
      </c>
      <c r="X14" s="452">
        <v>23</v>
      </c>
      <c r="Y14" s="452">
        <v>24</v>
      </c>
      <c r="Z14" s="451">
        <v>25</v>
      </c>
      <c r="AA14" s="453">
        <v>26</v>
      </c>
      <c r="AB14" s="453">
        <v>27</v>
      </c>
      <c r="AC14" s="452">
        <v>28</v>
      </c>
      <c r="AD14" s="452">
        <v>29</v>
      </c>
      <c r="AE14" s="452">
        <v>30</v>
      </c>
      <c r="AF14" s="452">
        <v>31</v>
      </c>
      <c r="AG14" s="448"/>
      <c r="AH14">
        <f>COUNTIF(B14:AF14,"TT")</f>
        <v>2</v>
      </c>
    </row>
    <row r="15" spans="1:34">
      <c r="A15" s="450" t="s">
        <v>443</v>
      </c>
      <c r="B15" s="456" t="s">
        <v>444</v>
      </c>
      <c r="C15" s="456" t="s">
        <v>444</v>
      </c>
      <c r="D15" s="452">
        <v>3</v>
      </c>
      <c r="E15" s="452">
        <v>4</v>
      </c>
      <c r="F15" s="453">
        <v>5</v>
      </c>
      <c r="G15" s="453">
        <v>6</v>
      </c>
      <c r="H15" s="587">
        <v>7</v>
      </c>
      <c r="I15" s="587">
        <v>8</v>
      </c>
      <c r="J15" s="587">
        <v>9</v>
      </c>
      <c r="K15" s="587">
        <v>10</v>
      </c>
      <c r="L15" s="587">
        <v>11</v>
      </c>
      <c r="M15" s="453">
        <v>12</v>
      </c>
      <c r="N15" s="453">
        <v>13</v>
      </c>
      <c r="O15" s="452">
        <v>14</v>
      </c>
      <c r="P15" s="452">
        <v>15</v>
      </c>
      <c r="Q15" s="452">
        <v>16</v>
      </c>
      <c r="R15" s="452">
        <v>17</v>
      </c>
      <c r="S15" s="452">
        <v>18</v>
      </c>
      <c r="T15" s="453">
        <v>19</v>
      </c>
      <c r="U15" s="453">
        <v>20</v>
      </c>
      <c r="V15" s="452">
        <v>21</v>
      </c>
      <c r="W15" s="452">
        <v>22</v>
      </c>
      <c r="X15" s="452">
        <v>23</v>
      </c>
      <c r="Y15" s="452">
        <v>24</v>
      </c>
      <c r="Z15" s="451">
        <v>25</v>
      </c>
      <c r="AA15" s="453">
        <v>26</v>
      </c>
      <c r="AB15" s="453">
        <v>27</v>
      </c>
      <c r="AC15" s="456" t="s">
        <v>444</v>
      </c>
      <c r="AD15" s="456" t="s">
        <v>444</v>
      </c>
      <c r="AE15" s="456" t="s">
        <v>444</v>
      </c>
      <c r="AF15" s="452">
        <v>31</v>
      </c>
      <c r="AG15" s="448"/>
      <c r="AH15">
        <f t="shared" ref="AH15:AH21" si="1">COUNTIF(B15:AF15,"TT")</f>
        <v>5</v>
      </c>
    </row>
    <row r="16" spans="1:34" ht="27">
      <c r="A16" s="450" t="s">
        <v>445</v>
      </c>
      <c r="B16" s="452">
        <v>1</v>
      </c>
      <c r="C16" s="452">
        <v>2</v>
      </c>
      <c r="D16" s="452">
        <v>3</v>
      </c>
      <c r="E16" s="452">
        <v>4</v>
      </c>
      <c r="F16" s="453">
        <v>5</v>
      </c>
      <c r="G16" s="453">
        <v>6</v>
      </c>
      <c r="H16" s="587">
        <v>7</v>
      </c>
      <c r="I16" s="587">
        <v>8</v>
      </c>
      <c r="J16" s="587">
        <v>9</v>
      </c>
      <c r="K16" s="587">
        <v>10</v>
      </c>
      <c r="L16" s="587">
        <v>11</v>
      </c>
      <c r="M16" s="453">
        <v>12</v>
      </c>
      <c r="N16" s="453">
        <v>13</v>
      </c>
      <c r="O16" s="452">
        <v>14</v>
      </c>
      <c r="P16" s="452">
        <v>15</v>
      </c>
      <c r="Q16" s="452">
        <v>16</v>
      </c>
      <c r="R16" s="452">
        <v>17</v>
      </c>
      <c r="S16" s="452">
        <v>18</v>
      </c>
      <c r="T16" s="453">
        <v>19</v>
      </c>
      <c r="U16" s="453">
        <v>20</v>
      </c>
      <c r="V16" s="452">
        <v>21</v>
      </c>
      <c r="W16" s="452">
        <v>22</v>
      </c>
      <c r="X16" s="456" t="s">
        <v>444</v>
      </c>
      <c r="Y16" s="452">
        <v>24</v>
      </c>
      <c r="Z16" s="451">
        <v>25</v>
      </c>
      <c r="AA16" s="453">
        <v>26</v>
      </c>
      <c r="AB16" s="453">
        <v>27</v>
      </c>
      <c r="AC16" s="452">
        <v>28</v>
      </c>
      <c r="AD16" s="452">
        <v>29</v>
      </c>
      <c r="AE16" s="452">
        <v>30</v>
      </c>
      <c r="AF16" s="452">
        <v>31</v>
      </c>
      <c r="AG16" s="448"/>
      <c r="AH16">
        <f t="shared" si="1"/>
        <v>1</v>
      </c>
    </row>
    <row r="17" spans="1:34">
      <c r="A17" s="450" t="s">
        <v>446</v>
      </c>
      <c r="B17" s="452">
        <v>1</v>
      </c>
      <c r="C17" s="452">
        <v>2</v>
      </c>
      <c r="D17" s="456" t="s">
        <v>444</v>
      </c>
      <c r="E17" s="452">
        <v>4</v>
      </c>
      <c r="F17" s="453">
        <v>5</v>
      </c>
      <c r="G17" s="453">
        <v>6</v>
      </c>
      <c r="H17" s="456" t="s">
        <v>444</v>
      </c>
      <c r="I17" s="587">
        <v>8</v>
      </c>
      <c r="J17" s="452">
        <v>9</v>
      </c>
      <c r="K17" s="452">
        <v>10</v>
      </c>
      <c r="L17" s="452">
        <v>11</v>
      </c>
      <c r="M17" s="453">
        <v>12</v>
      </c>
      <c r="N17" s="453">
        <v>13</v>
      </c>
      <c r="O17" s="452">
        <v>14</v>
      </c>
      <c r="P17" s="452">
        <v>15</v>
      </c>
      <c r="Q17" s="452">
        <v>16</v>
      </c>
      <c r="R17" s="452">
        <v>17</v>
      </c>
      <c r="S17" s="452">
        <v>18</v>
      </c>
      <c r="T17" s="453">
        <v>19</v>
      </c>
      <c r="U17" s="453">
        <v>20</v>
      </c>
      <c r="V17" s="452">
        <v>21</v>
      </c>
      <c r="W17" s="452">
        <v>22</v>
      </c>
      <c r="X17" s="452">
        <v>23</v>
      </c>
      <c r="Y17" s="452">
        <v>24</v>
      </c>
      <c r="Z17" s="451">
        <v>25</v>
      </c>
      <c r="AA17" s="453">
        <v>26</v>
      </c>
      <c r="AB17" s="453">
        <v>27</v>
      </c>
      <c r="AC17" s="587">
        <v>28</v>
      </c>
      <c r="AD17" s="587">
        <v>29</v>
      </c>
      <c r="AE17" s="587">
        <v>30</v>
      </c>
      <c r="AF17" s="587">
        <v>31</v>
      </c>
      <c r="AG17" s="448"/>
      <c r="AH17">
        <f t="shared" si="1"/>
        <v>2</v>
      </c>
    </row>
    <row r="18" spans="1:34">
      <c r="A18" s="596" t="s">
        <v>447</v>
      </c>
      <c r="B18" s="586">
        <v>1</v>
      </c>
      <c r="C18" s="586">
        <v>2</v>
      </c>
      <c r="D18" s="586">
        <v>3</v>
      </c>
      <c r="E18" s="586">
        <v>4</v>
      </c>
      <c r="F18" s="588">
        <v>5</v>
      </c>
      <c r="G18" s="588">
        <v>6</v>
      </c>
      <c r="H18" s="586">
        <v>7</v>
      </c>
      <c r="I18" s="586">
        <v>8</v>
      </c>
      <c r="J18" s="589" t="s">
        <v>444</v>
      </c>
      <c r="K18" s="452">
        <v>10</v>
      </c>
      <c r="L18" s="452">
        <v>11</v>
      </c>
      <c r="M18" s="453">
        <v>12</v>
      </c>
      <c r="N18" s="453">
        <v>13</v>
      </c>
      <c r="O18" s="452">
        <v>14</v>
      </c>
      <c r="P18" s="589" t="s">
        <v>444</v>
      </c>
      <c r="Q18" s="586">
        <v>16</v>
      </c>
      <c r="R18" s="586">
        <v>17</v>
      </c>
      <c r="S18" s="586">
        <v>18</v>
      </c>
      <c r="T18" s="588">
        <v>19</v>
      </c>
      <c r="U18" s="588">
        <v>20</v>
      </c>
      <c r="V18" s="586">
        <v>21</v>
      </c>
      <c r="W18" s="586">
        <v>22</v>
      </c>
      <c r="X18" s="586">
        <v>23</v>
      </c>
      <c r="Y18" s="586">
        <v>24</v>
      </c>
      <c r="Z18" s="590">
        <v>25</v>
      </c>
      <c r="AA18" s="588">
        <v>26</v>
      </c>
      <c r="AB18" s="588">
        <v>27</v>
      </c>
      <c r="AC18" s="587">
        <v>28</v>
      </c>
      <c r="AD18" s="587">
        <v>29</v>
      </c>
      <c r="AE18" s="587">
        <v>30</v>
      </c>
      <c r="AF18" s="587">
        <v>31</v>
      </c>
      <c r="AG18" s="448"/>
      <c r="AH18">
        <f t="shared" si="1"/>
        <v>2</v>
      </c>
    </row>
    <row r="19" spans="1:34">
      <c r="A19" s="450" t="s">
        <v>448</v>
      </c>
      <c r="B19" s="586">
        <v>1</v>
      </c>
      <c r="C19" s="587">
        <v>2</v>
      </c>
      <c r="D19" s="587">
        <v>3</v>
      </c>
      <c r="E19" s="587">
        <v>4</v>
      </c>
      <c r="F19" s="591">
        <v>5</v>
      </c>
      <c r="G19" s="591">
        <v>6</v>
      </c>
      <c r="H19" s="587">
        <v>7</v>
      </c>
      <c r="I19" s="587">
        <v>8</v>
      </c>
      <c r="J19" s="587">
        <v>9</v>
      </c>
      <c r="K19" s="589" t="s">
        <v>444</v>
      </c>
      <c r="L19" s="587">
        <v>11</v>
      </c>
      <c r="M19" s="591">
        <v>12</v>
      </c>
      <c r="N19" s="591">
        <v>13</v>
      </c>
      <c r="O19" s="587">
        <v>14</v>
      </c>
      <c r="P19" s="587">
        <v>15</v>
      </c>
      <c r="Q19" s="589" t="s">
        <v>444</v>
      </c>
      <c r="R19" s="587">
        <v>17</v>
      </c>
      <c r="S19" s="587">
        <v>18</v>
      </c>
      <c r="T19" s="591">
        <v>19</v>
      </c>
      <c r="U19" s="591">
        <v>20</v>
      </c>
      <c r="V19" s="587">
        <v>21</v>
      </c>
      <c r="W19" s="587">
        <v>22</v>
      </c>
      <c r="X19" s="587">
        <v>23</v>
      </c>
      <c r="Y19" s="586">
        <v>24</v>
      </c>
      <c r="Z19" s="592">
        <v>25</v>
      </c>
      <c r="AA19" s="591">
        <v>26</v>
      </c>
      <c r="AB19" s="591">
        <v>27</v>
      </c>
      <c r="AC19" s="587">
        <v>28</v>
      </c>
      <c r="AD19" s="587">
        <v>29</v>
      </c>
      <c r="AE19" s="587">
        <v>30</v>
      </c>
      <c r="AF19" s="587">
        <v>31</v>
      </c>
      <c r="AG19" s="593"/>
      <c r="AH19">
        <f t="shared" si="1"/>
        <v>2</v>
      </c>
    </row>
    <row r="20" spans="1:34">
      <c r="A20" s="450" t="s">
        <v>98</v>
      </c>
      <c r="B20" s="586">
        <v>1</v>
      </c>
      <c r="C20" s="587">
        <v>2</v>
      </c>
      <c r="D20" s="587">
        <v>3</v>
      </c>
      <c r="E20" s="587">
        <v>4</v>
      </c>
      <c r="F20" s="591">
        <v>5</v>
      </c>
      <c r="G20" s="591">
        <v>6</v>
      </c>
      <c r="H20" s="587">
        <v>7</v>
      </c>
      <c r="I20" s="587">
        <v>8</v>
      </c>
      <c r="J20" s="587">
        <v>9</v>
      </c>
      <c r="K20" s="587">
        <v>10</v>
      </c>
      <c r="L20" s="587">
        <v>11</v>
      </c>
      <c r="M20" s="591">
        <v>12</v>
      </c>
      <c r="N20" s="591">
        <v>13</v>
      </c>
      <c r="O20" s="589" t="s">
        <v>444</v>
      </c>
      <c r="P20" s="587">
        <v>15</v>
      </c>
      <c r="Q20" s="587">
        <v>16</v>
      </c>
      <c r="R20" s="587">
        <v>17</v>
      </c>
      <c r="S20" s="587">
        <v>18</v>
      </c>
      <c r="T20" s="591">
        <v>19</v>
      </c>
      <c r="U20" s="591">
        <v>20</v>
      </c>
      <c r="V20" s="587">
        <v>21</v>
      </c>
      <c r="W20" s="587">
        <v>22</v>
      </c>
      <c r="X20" s="587">
        <v>23</v>
      </c>
      <c r="Y20" s="587">
        <v>24</v>
      </c>
      <c r="Z20" s="592">
        <v>25</v>
      </c>
      <c r="AA20" s="591">
        <v>26</v>
      </c>
      <c r="AB20" s="591">
        <v>27</v>
      </c>
      <c r="AC20" s="587">
        <v>28</v>
      </c>
      <c r="AD20" s="587">
        <v>29</v>
      </c>
      <c r="AE20" s="587">
        <v>30</v>
      </c>
      <c r="AF20" s="587">
        <v>31</v>
      </c>
      <c r="AG20" s="593"/>
      <c r="AH20">
        <f t="shared" si="1"/>
        <v>1</v>
      </c>
    </row>
    <row r="21" spans="1:34" ht="27">
      <c r="A21" s="450" t="s">
        <v>449</v>
      </c>
      <c r="B21" s="587">
        <v>1</v>
      </c>
      <c r="C21" s="587">
        <v>2</v>
      </c>
      <c r="D21" s="587">
        <v>3</v>
      </c>
      <c r="E21" s="587">
        <v>4</v>
      </c>
      <c r="F21" s="591">
        <v>5</v>
      </c>
      <c r="G21" s="591">
        <v>6</v>
      </c>
      <c r="H21" s="587">
        <v>7</v>
      </c>
      <c r="I21" s="589" t="s">
        <v>444</v>
      </c>
      <c r="J21" s="587">
        <v>9</v>
      </c>
      <c r="K21" s="587">
        <v>10</v>
      </c>
      <c r="L21" s="587">
        <v>11</v>
      </c>
      <c r="M21" s="591">
        <v>12</v>
      </c>
      <c r="N21" s="591">
        <v>13</v>
      </c>
      <c r="O21" s="587">
        <v>14</v>
      </c>
      <c r="P21" s="587">
        <v>15</v>
      </c>
      <c r="Q21" s="587">
        <v>16</v>
      </c>
      <c r="R21" s="587">
        <v>17</v>
      </c>
      <c r="S21" s="587">
        <v>18</v>
      </c>
      <c r="T21" s="591">
        <v>19</v>
      </c>
      <c r="U21" s="591">
        <v>20</v>
      </c>
      <c r="V21" s="587">
        <v>21</v>
      </c>
      <c r="W21" s="587">
        <v>22</v>
      </c>
      <c r="X21" s="587">
        <v>23</v>
      </c>
      <c r="Y21" s="456" t="s">
        <v>444</v>
      </c>
      <c r="Z21" s="592">
        <v>25</v>
      </c>
      <c r="AA21" s="591">
        <v>26</v>
      </c>
      <c r="AB21" s="591">
        <v>27</v>
      </c>
      <c r="AC21" s="587">
        <v>28</v>
      </c>
      <c r="AD21" s="587">
        <v>29</v>
      </c>
      <c r="AE21" s="587">
        <v>30</v>
      </c>
      <c r="AF21" s="456" t="s">
        <v>444</v>
      </c>
      <c r="AG21" s="593"/>
      <c r="AH21">
        <f t="shared" si="1"/>
        <v>3</v>
      </c>
    </row>
    <row r="22" spans="1:34" ht="75.75" customHeight="1">
      <c r="A22" s="583"/>
      <c r="B22" s="584"/>
      <c r="C22" s="584"/>
      <c r="D22" s="584"/>
      <c r="E22" s="584"/>
      <c r="F22" s="584"/>
      <c r="G22" s="584"/>
      <c r="H22" s="584"/>
      <c r="I22" s="584"/>
      <c r="J22" s="584"/>
      <c r="K22" s="584"/>
      <c r="L22" s="584"/>
      <c r="M22" s="584"/>
      <c r="N22" s="584"/>
      <c r="O22" s="584"/>
      <c r="P22" s="584"/>
      <c r="Q22" s="584"/>
      <c r="R22" s="584"/>
      <c r="S22" s="584"/>
      <c r="T22" s="584"/>
      <c r="U22" s="584"/>
      <c r="V22" s="584"/>
      <c r="W22" s="584"/>
      <c r="X22" s="584"/>
      <c r="Y22" s="584"/>
      <c r="Z22" s="584"/>
      <c r="AA22" s="584"/>
      <c r="AB22" s="584"/>
      <c r="AC22" s="584"/>
      <c r="AD22" s="584"/>
      <c r="AE22" s="584"/>
      <c r="AF22" s="584"/>
      <c r="AG22" s="585"/>
    </row>
    <row r="23" spans="1:34" s="594" customFormat="1" ht="27">
      <c r="A23" s="594">
        <v>45870</v>
      </c>
    </row>
    <row r="24" spans="1:34">
      <c r="A24" s="446"/>
      <c r="B24" s="447" t="s">
        <v>3</v>
      </c>
      <c r="C24" s="447" t="s">
        <v>4</v>
      </c>
      <c r="D24" s="447" t="s">
        <v>5</v>
      </c>
      <c r="E24" s="447" t="s">
        <v>6</v>
      </c>
      <c r="F24" s="447" t="s">
        <v>7</v>
      </c>
      <c r="G24" s="447" t="s">
        <v>1</v>
      </c>
      <c r="H24" s="447" t="s">
        <v>2</v>
      </c>
      <c r="I24" s="447" t="s">
        <v>3</v>
      </c>
      <c r="J24" s="447" t="s">
        <v>4</v>
      </c>
      <c r="K24" s="447" t="s">
        <v>5</v>
      </c>
      <c r="L24" s="447" t="s">
        <v>6</v>
      </c>
      <c r="M24" s="447" t="s">
        <v>7</v>
      </c>
      <c r="N24" s="447" t="s">
        <v>1</v>
      </c>
      <c r="O24" s="447" t="s">
        <v>2</v>
      </c>
      <c r="P24" s="447" t="s">
        <v>3</v>
      </c>
      <c r="Q24" s="447" t="s">
        <v>4</v>
      </c>
      <c r="R24" s="447" t="s">
        <v>5</v>
      </c>
      <c r="S24" s="447" t="s">
        <v>6</v>
      </c>
      <c r="T24" s="447" t="s">
        <v>7</v>
      </c>
      <c r="U24" s="447" t="s">
        <v>1</v>
      </c>
      <c r="V24" s="447" t="s">
        <v>2</v>
      </c>
      <c r="W24" s="447" t="s">
        <v>3</v>
      </c>
      <c r="X24" s="447" t="s">
        <v>4</v>
      </c>
      <c r="Y24" s="447" t="s">
        <v>5</v>
      </c>
      <c r="Z24" s="447" t="s">
        <v>6</v>
      </c>
      <c r="AA24" s="447" t="s">
        <v>7</v>
      </c>
      <c r="AB24" s="447" t="s">
        <v>1</v>
      </c>
      <c r="AC24" s="447" t="s">
        <v>2</v>
      </c>
      <c r="AD24" s="447" t="s">
        <v>3</v>
      </c>
      <c r="AE24" s="447" t="s">
        <v>4</v>
      </c>
      <c r="AF24" s="447" t="s">
        <v>5</v>
      </c>
      <c r="AG24" s="448"/>
    </row>
    <row r="25" spans="1:34">
      <c r="A25" s="450" t="s">
        <v>97</v>
      </c>
      <c r="B25" s="452">
        <v>1</v>
      </c>
      <c r="C25" s="453">
        <v>2</v>
      </c>
      <c r="D25" s="453">
        <v>3</v>
      </c>
      <c r="E25" s="452">
        <v>4</v>
      </c>
      <c r="F25" s="452">
        <v>5</v>
      </c>
      <c r="G25" s="452">
        <v>6</v>
      </c>
      <c r="H25" s="452">
        <v>7</v>
      </c>
      <c r="I25" s="452">
        <v>8</v>
      </c>
      <c r="J25" s="453">
        <v>9</v>
      </c>
      <c r="K25" s="453">
        <v>10</v>
      </c>
      <c r="L25" s="452">
        <v>11</v>
      </c>
      <c r="M25" s="452">
        <v>12</v>
      </c>
      <c r="N25" s="452">
        <v>13</v>
      </c>
      <c r="O25" s="589" t="s">
        <v>444</v>
      </c>
      <c r="P25" s="451">
        <v>15</v>
      </c>
      <c r="Q25" s="453">
        <v>16</v>
      </c>
      <c r="R25" s="453">
        <v>17</v>
      </c>
      <c r="S25" s="452">
        <v>18</v>
      </c>
      <c r="T25" s="452">
        <v>19</v>
      </c>
      <c r="U25" s="452">
        <v>20</v>
      </c>
      <c r="V25" s="452">
        <v>21</v>
      </c>
      <c r="W25" s="452">
        <v>22</v>
      </c>
      <c r="X25" s="453">
        <v>23</v>
      </c>
      <c r="Y25" s="453">
        <v>24</v>
      </c>
      <c r="Z25" s="452">
        <v>25</v>
      </c>
      <c r="AA25" s="452">
        <v>26</v>
      </c>
      <c r="AB25" s="452">
        <v>27</v>
      </c>
      <c r="AC25" s="452">
        <v>28</v>
      </c>
      <c r="AD25" s="452">
        <v>29</v>
      </c>
      <c r="AE25" s="453">
        <v>30</v>
      </c>
      <c r="AF25" s="453">
        <v>31</v>
      </c>
      <c r="AG25" s="448"/>
      <c r="AH25">
        <f>COUNTIF(B25:AF25,"TT")</f>
        <v>1</v>
      </c>
    </row>
    <row r="26" spans="1:34">
      <c r="A26" s="450" t="s">
        <v>443</v>
      </c>
      <c r="B26" s="452">
        <v>1</v>
      </c>
      <c r="C26" s="453">
        <v>2</v>
      </c>
      <c r="D26" s="453">
        <v>3</v>
      </c>
      <c r="E26" s="456" t="s">
        <v>444</v>
      </c>
      <c r="F26" s="456" t="s">
        <v>444</v>
      </c>
      <c r="G26" s="456" t="s">
        <v>444</v>
      </c>
      <c r="H26" s="452">
        <v>7</v>
      </c>
      <c r="I26" s="452">
        <v>8</v>
      </c>
      <c r="J26" s="453">
        <v>9</v>
      </c>
      <c r="K26" s="453">
        <v>10</v>
      </c>
      <c r="L26" s="456" t="s">
        <v>444</v>
      </c>
      <c r="M26" s="456" t="s">
        <v>444</v>
      </c>
      <c r="N26" s="456" t="s">
        <v>444</v>
      </c>
      <c r="O26" s="452">
        <v>14</v>
      </c>
      <c r="P26" s="451">
        <v>15</v>
      </c>
      <c r="Q26" s="453">
        <v>16</v>
      </c>
      <c r="R26" s="453">
        <v>17</v>
      </c>
      <c r="S26" s="456" t="s">
        <v>444</v>
      </c>
      <c r="T26" s="456" t="s">
        <v>444</v>
      </c>
      <c r="U26" s="456" t="s">
        <v>444</v>
      </c>
      <c r="V26" s="452">
        <v>21</v>
      </c>
      <c r="W26" s="452">
        <v>22</v>
      </c>
      <c r="X26" s="453">
        <v>23</v>
      </c>
      <c r="Y26" s="453">
        <v>24</v>
      </c>
      <c r="Z26" s="456" t="s">
        <v>444</v>
      </c>
      <c r="AA26" s="456" t="s">
        <v>444</v>
      </c>
      <c r="AB26" s="456" t="s">
        <v>444</v>
      </c>
      <c r="AC26" s="452">
        <v>28</v>
      </c>
      <c r="AD26" s="452">
        <v>29</v>
      </c>
      <c r="AE26" s="453">
        <v>30</v>
      </c>
      <c r="AF26" s="453">
        <v>31</v>
      </c>
      <c r="AG26" s="448"/>
      <c r="AH26">
        <f t="shared" ref="AH26:AH32" si="2">COUNTIF(B26:AF26,"TT")</f>
        <v>12</v>
      </c>
    </row>
    <row r="27" spans="1:34" ht="27">
      <c r="A27" s="450" t="s">
        <v>445</v>
      </c>
      <c r="B27" s="452">
        <v>1</v>
      </c>
      <c r="C27" s="453">
        <v>2</v>
      </c>
      <c r="D27" s="453">
        <v>3</v>
      </c>
      <c r="E27" s="452">
        <v>4</v>
      </c>
      <c r="F27" s="452">
        <v>5</v>
      </c>
      <c r="G27" s="452">
        <v>6</v>
      </c>
      <c r="H27" s="589" t="s">
        <v>444</v>
      </c>
      <c r="I27" s="452">
        <v>8</v>
      </c>
      <c r="J27" s="453">
        <v>9</v>
      </c>
      <c r="K27" s="453">
        <v>10</v>
      </c>
      <c r="L27" s="452">
        <v>11</v>
      </c>
      <c r="M27" s="452">
        <v>12</v>
      </c>
      <c r="N27" s="452">
        <v>13</v>
      </c>
      <c r="O27" s="452">
        <v>14</v>
      </c>
      <c r="P27" s="451">
        <v>15</v>
      </c>
      <c r="Q27" s="453">
        <v>16</v>
      </c>
      <c r="R27" s="453">
        <v>17</v>
      </c>
      <c r="S27" s="452">
        <v>18</v>
      </c>
      <c r="T27" s="452">
        <v>19</v>
      </c>
      <c r="U27" s="452">
        <v>20</v>
      </c>
      <c r="V27" s="452">
        <v>21</v>
      </c>
      <c r="W27" s="452">
        <v>22</v>
      </c>
      <c r="X27" s="453">
        <v>23</v>
      </c>
      <c r="Y27" s="453">
        <v>24</v>
      </c>
      <c r="Z27" s="452">
        <v>25</v>
      </c>
      <c r="AA27" s="452">
        <v>26</v>
      </c>
      <c r="AB27" s="452">
        <v>27</v>
      </c>
      <c r="AC27" s="452">
        <v>28</v>
      </c>
      <c r="AD27" s="452">
        <v>29</v>
      </c>
      <c r="AE27" s="453">
        <v>30</v>
      </c>
      <c r="AF27" s="453">
        <v>31</v>
      </c>
      <c r="AG27" s="448"/>
      <c r="AH27">
        <f t="shared" si="2"/>
        <v>1</v>
      </c>
    </row>
    <row r="28" spans="1:34">
      <c r="A28" s="450" t="s">
        <v>446</v>
      </c>
      <c r="B28" s="452">
        <v>1</v>
      </c>
      <c r="C28" s="453">
        <v>2</v>
      </c>
      <c r="D28" s="453">
        <v>3</v>
      </c>
      <c r="E28" s="452">
        <v>4</v>
      </c>
      <c r="F28" s="452">
        <v>5</v>
      </c>
      <c r="G28" s="452">
        <v>6</v>
      </c>
      <c r="H28" s="452">
        <v>7</v>
      </c>
      <c r="I28" s="452">
        <v>8</v>
      </c>
      <c r="J28" s="453">
        <v>9</v>
      </c>
      <c r="K28" s="453">
        <v>10</v>
      </c>
      <c r="L28" s="452">
        <v>11</v>
      </c>
      <c r="M28" s="452">
        <v>12</v>
      </c>
      <c r="N28" s="452">
        <v>13</v>
      </c>
      <c r="O28" s="452">
        <v>14</v>
      </c>
      <c r="P28" s="451">
        <v>15</v>
      </c>
      <c r="Q28" s="453">
        <v>16</v>
      </c>
      <c r="R28" s="453">
        <v>17</v>
      </c>
      <c r="S28" s="452">
        <v>18</v>
      </c>
      <c r="T28" s="452">
        <v>19</v>
      </c>
      <c r="U28" s="452">
        <v>20</v>
      </c>
      <c r="V28" s="452">
        <v>21</v>
      </c>
      <c r="W28" s="452">
        <v>22</v>
      </c>
      <c r="X28" s="453">
        <v>23</v>
      </c>
      <c r="Y28" s="453">
        <v>24</v>
      </c>
      <c r="Z28" s="452">
        <v>25</v>
      </c>
      <c r="AA28" s="452">
        <v>26</v>
      </c>
      <c r="AB28" s="452">
        <v>27</v>
      </c>
      <c r="AC28" s="589" t="s">
        <v>444</v>
      </c>
      <c r="AD28" s="452">
        <v>29</v>
      </c>
      <c r="AE28" s="453">
        <v>30</v>
      </c>
      <c r="AF28" s="453">
        <v>31</v>
      </c>
      <c r="AG28" s="448"/>
      <c r="AH28">
        <f t="shared" si="2"/>
        <v>1</v>
      </c>
    </row>
    <row r="29" spans="1:34" ht="27">
      <c r="A29" s="450" t="s">
        <v>447</v>
      </c>
      <c r="B29" s="452">
        <v>1</v>
      </c>
      <c r="C29" s="453">
        <v>2</v>
      </c>
      <c r="D29" s="453">
        <v>3</v>
      </c>
      <c r="E29" s="452">
        <v>4</v>
      </c>
      <c r="F29" s="452">
        <v>5</v>
      </c>
      <c r="G29" s="452">
        <v>6</v>
      </c>
      <c r="H29" s="452">
        <v>7</v>
      </c>
      <c r="I29" s="452">
        <v>8</v>
      </c>
      <c r="J29" s="453">
        <v>9</v>
      </c>
      <c r="K29" s="453">
        <v>10</v>
      </c>
      <c r="L29" s="452">
        <v>11</v>
      </c>
      <c r="M29" s="452">
        <v>12</v>
      </c>
      <c r="N29" s="452">
        <v>13</v>
      </c>
      <c r="O29" s="452">
        <v>14</v>
      </c>
      <c r="P29" s="451">
        <v>15</v>
      </c>
      <c r="Q29" s="453">
        <v>16</v>
      </c>
      <c r="R29" s="453">
        <v>17</v>
      </c>
      <c r="S29" s="452">
        <v>18</v>
      </c>
      <c r="T29" s="452">
        <v>19</v>
      </c>
      <c r="U29" s="452">
        <v>20</v>
      </c>
      <c r="V29" s="589" t="s">
        <v>444</v>
      </c>
      <c r="W29" s="452">
        <v>22</v>
      </c>
      <c r="X29" s="453">
        <v>23</v>
      </c>
      <c r="Y29" s="453">
        <v>24</v>
      </c>
      <c r="Z29" s="452">
        <v>25</v>
      </c>
      <c r="AA29" s="452">
        <v>26</v>
      </c>
      <c r="AB29" s="452">
        <v>27</v>
      </c>
      <c r="AC29" s="452">
        <v>28</v>
      </c>
      <c r="AD29" s="452">
        <v>29</v>
      </c>
      <c r="AE29" s="453">
        <v>30</v>
      </c>
      <c r="AF29" s="453">
        <v>31</v>
      </c>
      <c r="AG29" s="448"/>
      <c r="AH29">
        <f t="shared" si="2"/>
        <v>1</v>
      </c>
    </row>
    <row r="30" spans="1:34">
      <c r="A30" s="450" t="s">
        <v>448</v>
      </c>
      <c r="B30" s="452">
        <v>1</v>
      </c>
      <c r="C30" s="453">
        <v>2</v>
      </c>
      <c r="D30" s="453">
        <v>3</v>
      </c>
      <c r="E30" s="452">
        <v>4</v>
      </c>
      <c r="F30" s="452">
        <v>5</v>
      </c>
      <c r="G30" s="452">
        <v>6</v>
      </c>
      <c r="H30" s="452">
        <v>7</v>
      </c>
      <c r="I30" s="452">
        <v>8</v>
      </c>
      <c r="J30" s="453">
        <v>9</v>
      </c>
      <c r="K30" s="453">
        <v>10</v>
      </c>
      <c r="L30" s="452">
        <v>11</v>
      </c>
      <c r="M30" s="452">
        <v>12</v>
      </c>
      <c r="N30" s="452">
        <v>13</v>
      </c>
      <c r="O30" s="452">
        <v>14</v>
      </c>
      <c r="P30" s="451">
        <v>15</v>
      </c>
      <c r="Q30" s="453">
        <v>16</v>
      </c>
      <c r="R30" s="453">
        <v>17</v>
      </c>
      <c r="S30" s="452">
        <v>18</v>
      </c>
      <c r="T30" s="452">
        <v>19</v>
      </c>
      <c r="U30" s="452">
        <v>20</v>
      </c>
      <c r="V30" s="452">
        <v>21</v>
      </c>
      <c r="W30" s="452">
        <v>22</v>
      </c>
      <c r="X30" s="453">
        <v>23</v>
      </c>
      <c r="Y30" s="453">
        <v>24</v>
      </c>
      <c r="Z30" s="452">
        <v>25</v>
      </c>
      <c r="AA30" s="452">
        <v>26</v>
      </c>
      <c r="AB30" s="452">
        <v>27</v>
      </c>
      <c r="AC30" s="452">
        <v>28</v>
      </c>
      <c r="AD30" s="452">
        <v>29</v>
      </c>
      <c r="AE30" s="453">
        <v>30</v>
      </c>
      <c r="AF30" s="453">
        <v>31</v>
      </c>
      <c r="AG30" s="448"/>
      <c r="AH30">
        <f t="shared" si="2"/>
        <v>0</v>
      </c>
    </row>
    <row r="31" spans="1:34">
      <c r="A31" s="450" t="s">
        <v>98</v>
      </c>
      <c r="B31" s="452">
        <v>1</v>
      </c>
      <c r="C31" s="453">
        <v>2</v>
      </c>
      <c r="D31" s="453">
        <v>3</v>
      </c>
      <c r="E31" s="452">
        <v>4</v>
      </c>
      <c r="F31" s="452">
        <v>5</v>
      </c>
      <c r="G31" s="452">
        <v>6</v>
      </c>
      <c r="H31" s="452">
        <v>7</v>
      </c>
      <c r="I31" s="452">
        <v>8</v>
      </c>
      <c r="J31" s="453">
        <v>9</v>
      </c>
      <c r="K31" s="453">
        <v>10</v>
      </c>
      <c r="L31" s="452">
        <v>11</v>
      </c>
      <c r="M31" s="452">
        <v>12</v>
      </c>
      <c r="N31" s="452">
        <v>13</v>
      </c>
      <c r="O31" s="452">
        <v>14</v>
      </c>
      <c r="P31" s="451">
        <v>15</v>
      </c>
      <c r="Q31" s="453">
        <v>16</v>
      </c>
      <c r="R31" s="453">
        <v>17</v>
      </c>
      <c r="S31" s="452">
        <v>18</v>
      </c>
      <c r="T31" s="452">
        <v>19</v>
      </c>
      <c r="U31" s="452">
        <v>20</v>
      </c>
      <c r="V31" s="452">
        <v>21</v>
      </c>
      <c r="W31" s="452">
        <v>22</v>
      </c>
      <c r="X31" s="453">
        <v>23</v>
      </c>
      <c r="Y31" s="453">
        <v>24</v>
      </c>
      <c r="Z31" s="452">
        <v>25</v>
      </c>
      <c r="AA31" s="452">
        <v>26</v>
      </c>
      <c r="AB31" s="452">
        <v>27</v>
      </c>
      <c r="AC31" s="452">
        <v>28</v>
      </c>
      <c r="AD31" s="452">
        <v>29</v>
      </c>
      <c r="AE31" s="453">
        <v>30</v>
      </c>
      <c r="AF31" s="453">
        <v>31</v>
      </c>
      <c r="AG31" s="448"/>
      <c r="AH31">
        <f t="shared" si="2"/>
        <v>0</v>
      </c>
    </row>
    <row r="32" spans="1:34" ht="27">
      <c r="A32" s="450" t="s">
        <v>449</v>
      </c>
      <c r="B32" s="452">
        <v>1</v>
      </c>
      <c r="C32" s="453">
        <v>2</v>
      </c>
      <c r="D32" s="453">
        <v>3</v>
      </c>
      <c r="E32" s="452">
        <v>4</v>
      </c>
      <c r="F32" s="452">
        <v>5</v>
      </c>
      <c r="G32" s="452">
        <v>6</v>
      </c>
      <c r="H32" s="452">
        <v>7</v>
      </c>
      <c r="I32" s="452">
        <v>8</v>
      </c>
      <c r="J32" s="453">
        <v>9</v>
      </c>
      <c r="K32" s="453">
        <v>10</v>
      </c>
      <c r="L32" s="452">
        <v>11</v>
      </c>
      <c r="M32" s="452">
        <v>12</v>
      </c>
      <c r="N32" s="452">
        <v>13</v>
      </c>
      <c r="O32" s="452">
        <v>14</v>
      </c>
      <c r="P32" s="451">
        <v>15</v>
      </c>
      <c r="Q32" s="453">
        <v>16</v>
      </c>
      <c r="R32" s="453">
        <v>17</v>
      </c>
      <c r="S32" s="452">
        <v>18</v>
      </c>
      <c r="T32" s="452">
        <v>19</v>
      </c>
      <c r="U32" s="452">
        <v>20</v>
      </c>
      <c r="V32" s="452">
        <v>21</v>
      </c>
      <c r="W32" s="452">
        <v>22</v>
      </c>
      <c r="X32" s="453">
        <v>23</v>
      </c>
      <c r="Y32" s="453">
        <v>24</v>
      </c>
      <c r="Z32" s="452">
        <v>25</v>
      </c>
      <c r="AA32" s="452">
        <v>26</v>
      </c>
      <c r="AB32" s="452">
        <v>27</v>
      </c>
      <c r="AC32" s="452">
        <v>28</v>
      </c>
      <c r="AD32" s="452">
        <v>29</v>
      </c>
      <c r="AE32" s="453">
        <v>30</v>
      </c>
      <c r="AF32" s="453">
        <v>31</v>
      </c>
      <c r="AG32" s="448"/>
      <c r="AH32">
        <f t="shared" si="2"/>
        <v>0</v>
      </c>
    </row>
    <row r="33" spans="1:34" ht="78" customHeight="1">
      <c r="A33" s="583"/>
      <c r="B33" s="584"/>
      <c r="C33" s="584"/>
      <c r="D33" s="584"/>
      <c r="E33" s="584"/>
      <c r="F33" s="584"/>
      <c r="G33" s="584"/>
      <c r="H33" s="584"/>
      <c r="I33" s="584"/>
      <c r="J33" s="584"/>
      <c r="K33" s="584"/>
      <c r="L33" s="584"/>
      <c r="M33" s="584"/>
      <c r="N33" s="584"/>
      <c r="O33" s="584"/>
      <c r="P33" s="584"/>
      <c r="Q33" s="584"/>
      <c r="R33" s="584"/>
      <c r="S33" s="584"/>
      <c r="T33" s="584"/>
      <c r="U33" s="584"/>
      <c r="V33" s="584"/>
      <c r="W33" s="584"/>
      <c r="X33" s="584"/>
      <c r="Y33" s="584"/>
      <c r="Z33" s="584"/>
      <c r="AA33" s="584"/>
      <c r="AB33" s="584"/>
      <c r="AC33" s="584"/>
      <c r="AD33" s="584"/>
      <c r="AE33" s="584"/>
      <c r="AF33" s="584"/>
      <c r="AG33" s="585"/>
    </row>
    <row r="34" spans="1:34" s="581" customFormat="1" ht="27">
      <c r="A34" s="581">
        <v>45901</v>
      </c>
    </row>
    <row r="35" spans="1:34">
      <c r="A35" s="446"/>
      <c r="B35" s="447" t="s">
        <v>6</v>
      </c>
      <c r="C35" s="447" t="s">
        <v>7</v>
      </c>
      <c r="D35" s="447" t="s">
        <v>1</v>
      </c>
      <c r="E35" s="447" t="s">
        <v>2</v>
      </c>
      <c r="F35" s="447" t="s">
        <v>3</v>
      </c>
      <c r="G35" s="447" t="s">
        <v>4</v>
      </c>
      <c r="H35" s="447" t="s">
        <v>5</v>
      </c>
      <c r="I35" s="447" t="s">
        <v>6</v>
      </c>
      <c r="J35" s="447" t="s">
        <v>7</v>
      </c>
      <c r="K35" s="447" t="s">
        <v>1</v>
      </c>
      <c r="L35" s="447" t="s">
        <v>2</v>
      </c>
      <c r="M35" s="447" t="s">
        <v>3</v>
      </c>
      <c r="N35" s="447" t="s">
        <v>4</v>
      </c>
      <c r="O35" s="447" t="s">
        <v>5</v>
      </c>
      <c r="P35" s="447" t="s">
        <v>6</v>
      </c>
      <c r="Q35" s="447" t="s">
        <v>7</v>
      </c>
      <c r="R35" s="447" t="s">
        <v>1</v>
      </c>
      <c r="S35" s="447" t="s">
        <v>2</v>
      </c>
      <c r="T35" s="447" t="s">
        <v>3</v>
      </c>
      <c r="U35" s="447" t="s">
        <v>4</v>
      </c>
      <c r="V35" s="447" t="s">
        <v>5</v>
      </c>
      <c r="W35" s="447" t="s">
        <v>6</v>
      </c>
      <c r="X35" s="447" t="s">
        <v>7</v>
      </c>
      <c r="Y35" s="447" t="s">
        <v>1</v>
      </c>
      <c r="Z35" s="447" t="s">
        <v>2</v>
      </c>
      <c r="AA35" s="447" t="s">
        <v>3</v>
      </c>
      <c r="AB35" s="447" t="s">
        <v>4</v>
      </c>
      <c r="AC35" s="447" t="s">
        <v>5</v>
      </c>
      <c r="AD35" s="447" t="s">
        <v>6</v>
      </c>
      <c r="AE35" s="447" t="s">
        <v>7</v>
      </c>
      <c r="AF35" s="447"/>
      <c r="AG35" s="448"/>
    </row>
    <row r="36" spans="1:34">
      <c r="A36" s="450" t="s">
        <v>97</v>
      </c>
      <c r="B36" s="452">
        <v>1</v>
      </c>
      <c r="C36" s="452">
        <v>2</v>
      </c>
      <c r="D36" s="452">
        <v>3</v>
      </c>
      <c r="E36" s="452">
        <v>4</v>
      </c>
      <c r="F36" s="452">
        <v>5</v>
      </c>
      <c r="G36" s="453">
        <v>6</v>
      </c>
      <c r="H36" s="453">
        <v>7</v>
      </c>
      <c r="I36" s="452">
        <v>8</v>
      </c>
      <c r="J36" s="452">
        <v>9</v>
      </c>
      <c r="K36" s="452">
        <v>10</v>
      </c>
      <c r="L36" s="452">
        <v>11</v>
      </c>
      <c r="M36" s="452">
        <v>12</v>
      </c>
      <c r="N36" s="453">
        <v>13</v>
      </c>
      <c r="O36" s="453">
        <v>14</v>
      </c>
      <c r="P36" s="452">
        <v>15</v>
      </c>
      <c r="Q36" s="452">
        <v>16</v>
      </c>
      <c r="R36" s="452">
        <v>17</v>
      </c>
      <c r="S36" s="452">
        <v>18</v>
      </c>
      <c r="T36" s="452">
        <v>19</v>
      </c>
      <c r="U36" s="453">
        <v>20</v>
      </c>
      <c r="V36" s="453">
        <v>21</v>
      </c>
      <c r="W36" s="452">
        <v>22</v>
      </c>
      <c r="X36" s="452">
        <v>23</v>
      </c>
      <c r="Y36" s="452">
        <v>24</v>
      </c>
      <c r="Z36" s="452">
        <v>25</v>
      </c>
      <c r="AA36" s="452">
        <v>26</v>
      </c>
      <c r="AB36" s="453">
        <v>27</v>
      </c>
      <c r="AC36" s="453">
        <v>28</v>
      </c>
      <c r="AD36" s="452">
        <v>29</v>
      </c>
      <c r="AE36" s="452">
        <v>30</v>
      </c>
      <c r="AF36" s="452"/>
      <c r="AG36" s="448"/>
      <c r="AH36">
        <f>COUNTIF(B36:AF36,"TT")</f>
        <v>0</v>
      </c>
    </row>
    <row r="37" spans="1:34">
      <c r="A37" s="450" t="s">
        <v>443</v>
      </c>
      <c r="B37" s="456" t="s">
        <v>444</v>
      </c>
      <c r="C37" s="456" t="s">
        <v>444</v>
      </c>
      <c r="D37" s="456" t="s">
        <v>444</v>
      </c>
      <c r="E37" s="452">
        <v>4</v>
      </c>
      <c r="F37" s="452">
        <v>5</v>
      </c>
      <c r="G37" s="453">
        <v>6</v>
      </c>
      <c r="H37" s="453">
        <v>7</v>
      </c>
      <c r="I37" s="456" t="s">
        <v>444</v>
      </c>
      <c r="J37" s="456" t="s">
        <v>444</v>
      </c>
      <c r="K37" s="456" t="s">
        <v>444</v>
      </c>
      <c r="L37" s="452">
        <v>11</v>
      </c>
      <c r="M37" s="452">
        <v>12</v>
      </c>
      <c r="N37" s="453">
        <v>13</v>
      </c>
      <c r="O37" s="453">
        <v>14</v>
      </c>
      <c r="P37" s="452">
        <v>15</v>
      </c>
      <c r="Q37" s="452">
        <v>16</v>
      </c>
      <c r="R37" s="452">
        <v>17</v>
      </c>
      <c r="S37" s="452">
        <v>18</v>
      </c>
      <c r="T37" s="452">
        <v>19</v>
      </c>
      <c r="U37" s="453">
        <v>20</v>
      </c>
      <c r="V37" s="453">
        <v>21</v>
      </c>
      <c r="W37" s="452">
        <v>22</v>
      </c>
      <c r="X37" s="452">
        <v>23</v>
      </c>
      <c r="Y37" s="452">
        <v>24</v>
      </c>
      <c r="Z37" s="452">
        <v>25</v>
      </c>
      <c r="AA37" s="452">
        <v>26</v>
      </c>
      <c r="AB37" s="453">
        <v>27</v>
      </c>
      <c r="AC37" s="453">
        <v>28</v>
      </c>
      <c r="AD37" s="452">
        <v>29</v>
      </c>
      <c r="AE37" s="452">
        <v>30</v>
      </c>
      <c r="AF37" s="452"/>
      <c r="AG37" s="448"/>
      <c r="AH37">
        <f t="shared" ref="AH37:AH43" si="3">COUNTIF(B37:AF37,"TT")</f>
        <v>6</v>
      </c>
    </row>
    <row r="38" spans="1:34" ht="27">
      <c r="A38" s="450" t="s">
        <v>445</v>
      </c>
      <c r="B38" s="452">
        <v>1</v>
      </c>
      <c r="C38" s="452">
        <v>2</v>
      </c>
      <c r="D38" s="452">
        <v>3</v>
      </c>
      <c r="E38" s="589" t="s">
        <v>444</v>
      </c>
      <c r="F38" s="452">
        <v>5</v>
      </c>
      <c r="G38" s="453">
        <v>6</v>
      </c>
      <c r="H38" s="453">
        <v>7</v>
      </c>
      <c r="I38" s="452">
        <v>8</v>
      </c>
      <c r="J38" s="452">
        <v>9</v>
      </c>
      <c r="K38" s="452">
        <v>10</v>
      </c>
      <c r="L38" s="452">
        <v>11</v>
      </c>
      <c r="M38" s="452">
        <v>12</v>
      </c>
      <c r="N38" s="453">
        <v>13</v>
      </c>
      <c r="O38" s="453">
        <v>14</v>
      </c>
      <c r="P38" s="452">
        <v>15</v>
      </c>
      <c r="Q38" s="452">
        <v>16</v>
      </c>
      <c r="R38" s="452">
        <v>17</v>
      </c>
      <c r="S38" s="452">
        <v>18</v>
      </c>
      <c r="T38" s="452">
        <v>19</v>
      </c>
      <c r="U38" s="453">
        <v>20</v>
      </c>
      <c r="V38" s="453">
        <v>21</v>
      </c>
      <c r="W38" s="452">
        <v>22</v>
      </c>
      <c r="X38" s="452">
        <v>23</v>
      </c>
      <c r="Y38" s="452">
        <v>24</v>
      </c>
      <c r="Z38" s="452">
        <v>25</v>
      </c>
      <c r="AA38" s="452">
        <v>26</v>
      </c>
      <c r="AB38" s="453">
        <v>27</v>
      </c>
      <c r="AC38" s="453">
        <v>28</v>
      </c>
      <c r="AD38" s="452">
        <v>29</v>
      </c>
      <c r="AE38" s="452">
        <v>30</v>
      </c>
      <c r="AF38" s="452"/>
      <c r="AG38" s="448"/>
      <c r="AH38">
        <f t="shared" si="3"/>
        <v>1</v>
      </c>
    </row>
    <row r="39" spans="1:34">
      <c r="A39" s="450" t="s">
        <v>446</v>
      </c>
      <c r="B39" s="452">
        <v>1</v>
      </c>
      <c r="C39" s="452">
        <v>2</v>
      </c>
      <c r="D39" s="452">
        <v>3</v>
      </c>
      <c r="E39" s="452">
        <v>4</v>
      </c>
      <c r="F39" s="452">
        <v>5</v>
      </c>
      <c r="G39" s="453">
        <v>6</v>
      </c>
      <c r="H39" s="453">
        <v>7</v>
      </c>
      <c r="I39" s="452">
        <v>8</v>
      </c>
      <c r="J39" s="452">
        <v>9</v>
      </c>
      <c r="K39" s="452">
        <v>10</v>
      </c>
      <c r="L39" s="452">
        <v>11</v>
      </c>
      <c r="M39" s="452">
        <v>12</v>
      </c>
      <c r="N39" s="453">
        <v>13</v>
      </c>
      <c r="O39" s="453">
        <v>14</v>
      </c>
      <c r="P39" s="452">
        <v>15</v>
      </c>
      <c r="Q39" s="452">
        <v>16</v>
      </c>
      <c r="R39" s="452">
        <v>17</v>
      </c>
      <c r="S39" s="452">
        <v>18</v>
      </c>
      <c r="T39" s="452">
        <v>19</v>
      </c>
      <c r="U39" s="453">
        <v>20</v>
      </c>
      <c r="V39" s="453">
        <v>21</v>
      </c>
      <c r="W39" s="452">
        <v>22</v>
      </c>
      <c r="X39" s="452">
        <v>23</v>
      </c>
      <c r="Y39" s="452">
        <v>24</v>
      </c>
      <c r="Z39" s="452">
        <v>25</v>
      </c>
      <c r="AA39" s="452">
        <v>26</v>
      </c>
      <c r="AB39" s="453">
        <v>27</v>
      </c>
      <c r="AC39" s="453">
        <v>28</v>
      </c>
      <c r="AD39" s="452">
        <v>29</v>
      </c>
      <c r="AE39" s="452">
        <v>30</v>
      </c>
      <c r="AF39" s="452"/>
      <c r="AG39" s="448"/>
      <c r="AH39">
        <f t="shared" si="3"/>
        <v>0</v>
      </c>
    </row>
    <row r="40" spans="1:34" ht="27">
      <c r="A40" s="450" t="s">
        <v>447</v>
      </c>
      <c r="B40" s="452">
        <v>1</v>
      </c>
      <c r="C40" s="452">
        <v>2</v>
      </c>
      <c r="D40" s="452">
        <v>3</v>
      </c>
      <c r="E40" s="452">
        <v>4</v>
      </c>
      <c r="F40" s="452">
        <v>5</v>
      </c>
      <c r="G40" s="453">
        <v>6</v>
      </c>
      <c r="H40" s="453">
        <v>7</v>
      </c>
      <c r="I40" s="452">
        <v>8</v>
      </c>
      <c r="J40" s="452">
        <v>9</v>
      </c>
      <c r="K40" s="452">
        <v>10</v>
      </c>
      <c r="L40" s="452">
        <v>11</v>
      </c>
      <c r="M40" s="452">
        <v>12</v>
      </c>
      <c r="N40" s="453">
        <v>13</v>
      </c>
      <c r="O40" s="453">
        <v>14</v>
      </c>
      <c r="P40" s="452">
        <v>15</v>
      </c>
      <c r="Q40" s="452">
        <v>16</v>
      </c>
      <c r="R40" s="452">
        <v>17</v>
      </c>
      <c r="S40" s="452">
        <v>18</v>
      </c>
      <c r="T40" s="452">
        <v>19</v>
      </c>
      <c r="U40" s="453">
        <v>20</v>
      </c>
      <c r="V40" s="453">
        <v>21</v>
      </c>
      <c r="W40" s="452">
        <v>22</v>
      </c>
      <c r="X40" s="452">
        <v>23</v>
      </c>
      <c r="Y40" s="452">
        <v>24</v>
      </c>
      <c r="Z40" s="452">
        <v>25</v>
      </c>
      <c r="AA40" s="452">
        <v>26</v>
      </c>
      <c r="AB40" s="453">
        <v>27</v>
      </c>
      <c r="AC40" s="453">
        <v>28</v>
      </c>
      <c r="AD40" s="452">
        <v>29</v>
      </c>
      <c r="AE40" s="452">
        <v>30</v>
      </c>
      <c r="AF40" s="452"/>
      <c r="AG40" s="448"/>
      <c r="AH40">
        <f t="shared" si="3"/>
        <v>0</v>
      </c>
    </row>
    <row r="41" spans="1:34">
      <c r="A41" s="450" t="s">
        <v>448</v>
      </c>
      <c r="B41" s="452">
        <v>1</v>
      </c>
      <c r="C41" s="452">
        <v>2</v>
      </c>
      <c r="D41" s="452">
        <v>3</v>
      </c>
      <c r="E41" s="452">
        <v>4</v>
      </c>
      <c r="F41" s="452">
        <v>5</v>
      </c>
      <c r="G41" s="453">
        <v>6</v>
      </c>
      <c r="H41" s="453">
        <v>7</v>
      </c>
      <c r="I41" s="452">
        <v>8</v>
      </c>
      <c r="J41" s="452">
        <v>9</v>
      </c>
      <c r="K41" s="452">
        <v>10</v>
      </c>
      <c r="L41" s="452">
        <v>11</v>
      </c>
      <c r="M41" s="452">
        <v>12</v>
      </c>
      <c r="N41" s="453">
        <v>13</v>
      </c>
      <c r="O41" s="453">
        <v>14</v>
      </c>
      <c r="P41" s="452">
        <v>15</v>
      </c>
      <c r="Q41" s="452">
        <v>16</v>
      </c>
      <c r="R41" s="452">
        <v>17</v>
      </c>
      <c r="S41" s="452">
        <v>18</v>
      </c>
      <c r="T41" s="452">
        <v>19</v>
      </c>
      <c r="U41" s="453">
        <v>20</v>
      </c>
      <c r="V41" s="453">
        <v>21</v>
      </c>
      <c r="W41" s="452">
        <v>22</v>
      </c>
      <c r="X41" s="452">
        <v>23</v>
      </c>
      <c r="Y41" s="452">
        <v>24</v>
      </c>
      <c r="Z41" s="452">
        <v>25</v>
      </c>
      <c r="AA41" s="452">
        <v>26</v>
      </c>
      <c r="AB41" s="453">
        <v>27</v>
      </c>
      <c r="AC41" s="453">
        <v>28</v>
      </c>
      <c r="AD41" s="452">
        <v>29</v>
      </c>
      <c r="AE41" s="452">
        <v>30</v>
      </c>
      <c r="AF41" s="452"/>
      <c r="AG41" s="448"/>
      <c r="AH41">
        <f t="shared" si="3"/>
        <v>0</v>
      </c>
    </row>
    <row r="42" spans="1:34">
      <c r="A42" s="450" t="s">
        <v>98</v>
      </c>
      <c r="B42" s="452">
        <v>1</v>
      </c>
      <c r="C42" s="452">
        <v>2</v>
      </c>
      <c r="D42" s="452">
        <v>3</v>
      </c>
      <c r="E42" s="452">
        <v>4</v>
      </c>
      <c r="F42" s="452">
        <v>5</v>
      </c>
      <c r="G42" s="453">
        <v>6</v>
      </c>
      <c r="H42" s="453">
        <v>7</v>
      </c>
      <c r="I42" s="452">
        <v>8</v>
      </c>
      <c r="J42" s="452">
        <v>9</v>
      </c>
      <c r="K42" s="452">
        <v>10</v>
      </c>
      <c r="L42" s="589" t="s">
        <v>444</v>
      </c>
      <c r="M42" s="452">
        <v>12</v>
      </c>
      <c r="N42" s="453">
        <v>13</v>
      </c>
      <c r="O42" s="453">
        <v>14</v>
      </c>
      <c r="P42" s="452">
        <v>15</v>
      </c>
      <c r="Q42" s="452">
        <v>16</v>
      </c>
      <c r="R42" s="452">
        <v>17</v>
      </c>
      <c r="S42" s="452">
        <v>18</v>
      </c>
      <c r="T42" s="452">
        <v>19</v>
      </c>
      <c r="U42" s="453">
        <v>20</v>
      </c>
      <c r="V42" s="453">
        <v>21</v>
      </c>
      <c r="W42" s="452">
        <v>22</v>
      </c>
      <c r="X42" s="452">
        <v>23</v>
      </c>
      <c r="Y42" s="452">
        <v>24</v>
      </c>
      <c r="Z42" s="452">
        <v>25</v>
      </c>
      <c r="AA42" s="452">
        <v>26</v>
      </c>
      <c r="AB42" s="453">
        <v>27</v>
      </c>
      <c r="AC42" s="453">
        <v>28</v>
      </c>
      <c r="AD42" s="452">
        <v>29</v>
      </c>
      <c r="AE42" s="452">
        <v>30</v>
      </c>
      <c r="AF42" s="452"/>
      <c r="AG42" s="448"/>
      <c r="AH42">
        <f t="shared" si="3"/>
        <v>1</v>
      </c>
    </row>
    <row r="43" spans="1:34" ht="27">
      <c r="A43" s="450" t="s">
        <v>449</v>
      </c>
      <c r="B43" s="452">
        <v>1</v>
      </c>
      <c r="C43" s="452">
        <v>2</v>
      </c>
      <c r="D43" s="452">
        <v>3</v>
      </c>
      <c r="E43" s="452">
        <v>4</v>
      </c>
      <c r="F43" s="452">
        <v>5</v>
      </c>
      <c r="G43" s="453">
        <v>6</v>
      </c>
      <c r="H43" s="453">
        <v>7</v>
      </c>
      <c r="I43" s="452">
        <v>8</v>
      </c>
      <c r="J43" s="452">
        <v>9</v>
      </c>
      <c r="K43" s="452">
        <v>10</v>
      </c>
      <c r="L43" s="452">
        <v>11</v>
      </c>
      <c r="M43" s="452">
        <v>12</v>
      </c>
      <c r="N43" s="453">
        <v>13</v>
      </c>
      <c r="O43" s="453">
        <v>14</v>
      </c>
      <c r="P43" s="452">
        <v>15</v>
      </c>
      <c r="Q43" s="452">
        <v>16</v>
      </c>
      <c r="R43" s="452">
        <v>17</v>
      </c>
      <c r="S43" s="452">
        <v>18</v>
      </c>
      <c r="T43" s="452">
        <v>19</v>
      </c>
      <c r="U43" s="453">
        <v>20</v>
      </c>
      <c r="V43" s="453">
        <v>21</v>
      </c>
      <c r="W43" s="452">
        <v>22</v>
      </c>
      <c r="X43" s="452">
        <v>23</v>
      </c>
      <c r="Y43" s="452">
        <v>24</v>
      </c>
      <c r="Z43" s="452">
        <v>25</v>
      </c>
      <c r="AA43" s="452">
        <v>26</v>
      </c>
      <c r="AB43" s="453">
        <v>27</v>
      </c>
      <c r="AC43" s="453">
        <v>28</v>
      </c>
      <c r="AD43" s="452">
        <v>29</v>
      </c>
      <c r="AE43" s="452">
        <v>30</v>
      </c>
      <c r="AF43" s="452"/>
      <c r="AG43" s="448"/>
      <c r="AH43">
        <f t="shared" si="3"/>
        <v>0</v>
      </c>
    </row>
    <row r="46" spans="1:34">
      <c r="A46" s="595" t="s">
        <v>97</v>
      </c>
      <c r="B46" s="91">
        <f>AH3+AH14+AH25+AH36</f>
        <v>3</v>
      </c>
    </row>
    <row r="47" spans="1:34">
      <c r="A47" s="595" t="s">
        <v>443</v>
      </c>
      <c r="B47" s="91">
        <f t="shared" ref="B47:B53" si="4">AH4+AH15+AH26+AH37</f>
        <v>29</v>
      </c>
    </row>
    <row r="48" spans="1:34" ht="27">
      <c r="A48" s="595" t="s">
        <v>445</v>
      </c>
      <c r="B48" s="91">
        <f t="shared" si="4"/>
        <v>4</v>
      </c>
    </row>
    <row r="49" spans="1:2">
      <c r="A49" s="595" t="s">
        <v>446</v>
      </c>
      <c r="B49" s="91">
        <f t="shared" si="4"/>
        <v>3</v>
      </c>
    </row>
    <row r="50" spans="1:2" ht="27">
      <c r="A50" s="595" t="s">
        <v>447</v>
      </c>
      <c r="B50" s="91">
        <f t="shared" si="4"/>
        <v>3</v>
      </c>
    </row>
    <row r="51" spans="1:2">
      <c r="A51" s="595" t="s">
        <v>448</v>
      </c>
      <c r="B51" s="91">
        <f t="shared" si="4"/>
        <v>3</v>
      </c>
    </row>
    <row r="52" spans="1:2">
      <c r="A52" s="595" t="s">
        <v>98</v>
      </c>
      <c r="B52" s="91">
        <f t="shared" si="4"/>
        <v>3</v>
      </c>
    </row>
    <row r="53" spans="1:2" ht="27">
      <c r="A53" s="595" t="s">
        <v>449</v>
      </c>
      <c r="B53" s="91">
        <f t="shared" si="4"/>
        <v>3</v>
      </c>
    </row>
  </sheetData>
  <mergeCells count="1">
    <mergeCell ref="B1:AG1"/>
  </mergeCells>
  <conditionalFormatting sqref="A14:A21">
    <cfRule type="cellIs" dxfId="98" priority="112" operator="equal">
      <formula>"M"</formula>
    </cfRule>
    <cfRule type="cellIs" dxfId="97" priority="113" operator="equal">
      <formula>"G"</formula>
    </cfRule>
    <cfRule type="cellIs" dxfId="96" priority="114" operator="equal">
      <formula>"V"</formula>
    </cfRule>
  </conditionalFormatting>
  <conditionalFormatting sqref="A46:A53">
    <cfRule type="cellIs" dxfId="95" priority="19" operator="equal">
      <formula>"M"</formula>
    </cfRule>
    <cfRule type="cellIs" dxfId="94" priority="20" operator="equal">
      <formula>"G"</formula>
    </cfRule>
    <cfRule type="cellIs" dxfId="93" priority="21" operator="equal">
      <formula>"V"</formula>
    </cfRule>
  </conditionalFormatting>
  <conditionalFormatting sqref="A36:U43">
    <cfRule type="cellIs" dxfId="92" priority="25" operator="equal">
      <formula>"M"</formula>
    </cfRule>
    <cfRule type="cellIs" dxfId="91" priority="26" operator="equal">
      <formula>"G"</formula>
    </cfRule>
    <cfRule type="cellIs" dxfId="90" priority="27" operator="equal">
      <formula>"V"</formula>
    </cfRule>
  </conditionalFormatting>
  <conditionalFormatting sqref="A3:V3">
    <cfRule type="cellIs" dxfId="89" priority="178" operator="equal">
      <formula>"M"</formula>
    </cfRule>
    <cfRule type="cellIs" dxfId="88" priority="179" operator="equal">
      <formula>"G"</formula>
    </cfRule>
    <cfRule type="cellIs" dxfId="87" priority="180" operator="equal">
      <formula>"V"</formula>
    </cfRule>
  </conditionalFormatting>
  <conditionalFormatting sqref="A4:AD10">
    <cfRule type="cellIs" dxfId="86" priority="1" operator="equal">
      <formula>"M"</formula>
    </cfRule>
    <cfRule type="cellIs" dxfId="85" priority="2" operator="equal">
      <formula>"G"</formula>
    </cfRule>
    <cfRule type="cellIs" dxfId="84" priority="3" operator="equal">
      <formula>"V"</formula>
    </cfRule>
  </conditionalFormatting>
  <conditionalFormatting sqref="A2:AF2">
    <cfRule type="cellIs" dxfId="83" priority="262" operator="equal">
      <formula>"M"</formula>
    </cfRule>
    <cfRule type="cellIs" dxfId="82" priority="263" operator="equal">
      <formula>"G"</formula>
    </cfRule>
    <cfRule type="cellIs" dxfId="81" priority="264" operator="equal">
      <formula>"V"</formula>
    </cfRule>
  </conditionalFormatting>
  <conditionalFormatting sqref="A11:AF11">
    <cfRule type="cellIs" dxfId="80" priority="190" operator="equal">
      <formula>"M"</formula>
    </cfRule>
    <cfRule type="cellIs" dxfId="79" priority="191" operator="equal">
      <formula>"G"</formula>
    </cfRule>
    <cfRule type="cellIs" dxfId="78" priority="192" operator="equal">
      <formula>"V"</formula>
    </cfRule>
  </conditionalFormatting>
  <conditionalFormatting sqref="A13:AF13">
    <cfRule type="cellIs" dxfId="77" priority="247" operator="equal">
      <formula>"M"</formula>
    </cfRule>
    <cfRule type="cellIs" dxfId="76" priority="248" operator="equal">
      <formula>"G"</formula>
    </cfRule>
    <cfRule type="cellIs" dxfId="75" priority="249" operator="equal">
      <formula>"V"</formula>
    </cfRule>
  </conditionalFormatting>
  <conditionalFormatting sqref="A22:AF22">
    <cfRule type="cellIs" dxfId="74" priority="214" operator="equal">
      <formula>"M"</formula>
    </cfRule>
    <cfRule type="cellIs" dxfId="73" priority="215" operator="equal">
      <formula>"G"</formula>
    </cfRule>
    <cfRule type="cellIs" dxfId="72" priority="216" operator="equal">
      <formula>"V"</formula>
    </cfRule>
  </conditionalFormatting>
  <conditionalFormatting sqref="A1:AG1">
    <cfRule type="cellIs" dxfId="71" priority="205" operator="equal">
      <formula>"M"</formula>
    </cfRule>
    <cfRule type="cellIs" dxfId="70" priority="206" operator="equal">
      <formula>"G"</formula>
    </cfRule>
    <cfRule type="cellIs" dxfId="69" priority="207" operator="equal">
      <formula>"V"</formula>
    </cfRule>
  </conditionalFormatting>
  <conditionalFormatting sqref="A24:AG33">
    <cfRule type="cellIs" dxfId="68" priority="34" operator="equal">
      <formula>"M"</formula>
    </cfRule>
    <cfRule type="cellIs" dxfId="67" priority="35" operator="equal">
      <formula>"G"</formula>
    </cfRule>
    <cfRule type="cellIs" dxfId="66" priority="36" operator="equal">
      <formula>"V"</formula>
    </cfRule>
  </conditionalFormatting>
  <conditionalFormatting sqref="A35:AG35">
    <cfRule type="cellIs" dxfId="65" priority="226" operator="equal">
      <formula>"M"</formula>
    </cfRule>
    <cfRule type="cellIs" dxfId="64" priority="227" operator="equal">
      <formula>"G"</formula>
    </cfRule>
    <cfRule type="cellIs" dxfId="63" priority="228" operator="equal">
      <formula>"V"</formula>
    </cfRule>
  </conditionalFormatting>
  <conditionalFormatting sqref="A12:XFD12">
    <cfRule type="cellIs" dxfId="62" priority="202" operator="equal">
      <formula>"M"</formula>
    </cfRule>
    <cfRule type="cellIs" dxfId="61" priority="203" operator="equal">
      <formula>"G"</formula>
    </cfRule>
    <cfRule type="cellIs" dxfId="60" priority="204" operator="equal">
      <formula>"V"</formula>
    </cfRule>
  </conditionalFormatting>
  <conditionalFormatting sqref="A23:XFD23">
    <cfRule type="cellIs" dxfId="59" priority="199" operator="equal">
      <formula>"M"</formula>
    </cfRule>
    <cfRule type="cellIs" dxfId="58" priority="200" operator="equal">
      <formula>"G"</formula>
    </cfRule>
    <cfRule type="cellIs" dxfId="57" priority="201" operator="equal">
      <formula>"V"</formula>
    </cfRule>
  </conditionalFormatting>
  <conditionalFormatting sqref="A34:XFD34">
    <cfRule type="cellIs" dxfId="56" priority="196" operator="equal">
      <formula>"M"</formula>
    </cfRule>
    <cfRule type="cellIs" dxfId="55" priority="197" operator="equal">
      <formula>"G"</formula>
    </cfRule>
    <cfRule type="cellIs" dxfId="54" priority="198" operator="equal">
      <formula>"V"</formula>
    </cfRule>
  </conditionalFormatting>
  <conditionalFormatting sqref="B14:G17">
    <cfRule type="cellIs" dxfId="53" priority="49" operator="equal">
      <formula>"M"</formula>
    </cfRule>
    <cfRule type="cellIs" dxfId="52" priority="50" operator="equal">
      <formula>"G"</formula>
    </cfRule>
    <cfRule type="cellIs" dxfId="51" priority="51" operator="equal">
      <formula>"V"</formula>
    </cfRule>
  </conditionalFormatting>
  <conditionalFormatting sqref="B18:AF21">
    <cfRule type="cellIs" dxfId="50" priority="4" operator="equal">
      <formula>"M"</formula>
    </cfRule>
    <cfRule type="cellIs" dxfId="49" priority="5" operator="equal">
      <formula>"G"</formula>
    </cfRule>
    <cfRule type="cellIs" dxfId="48" priority="6" operator="equal">
      <formula>"V"</formula>
    </cfRule>
  </conditionalFormatting>
  <conditionalFormatting sqref="H14:S16">
    <cfRule type="cellIs" dxfId="47" priority="133" operator="equal">
      <formula>"M"</formula>
    </cfRule>
    <cfRule type="cellIs" dxfId="46" priority="134" operator="equal">
      <formula>"G"</formula>
    </cfRule>
    <cfRule type="cellIs" dxfId="45" priority="135" operator="equal">
      <formula>"V"</formula>
    </cfRule>
  </conditionalFormatting>
  <conditionalFormatting sqref="H17:AF17">
    <cfRule type="cellIs" dxfId="44" priority="7" operator="equal">
      <formula>"M"</formula>
    </cfRule>
    <cfRule type="cellIs" dxfId="43" priority="8" operator="equal">
      <formula>"G"</formula>
    </cfRule>
    <cfRule type="cellIs" dxfId="42" priority="9" operator="equal">
      <formula>"V"</formula>
    </cfRule>
  </conditionalFormatting>
  <conditionalFormatting sqref="T14:U15">
    <cfRule type="cellIs" dxfId="41" priority="211" operator="equal">
      <formula>"M"</formula>
    </cfRule>
    <cfRule type="cellIs" dxfId="40" priority="212" operator="equal">
      <formula>"G"</formula>
    </cfRule>
    <cfRule type="cellIs" dxfId="39" priority="213" operator="equal">
      <formula>"V"</formula>
    </cfRule>
  </conditionalFormatting>
  <conditionalFormatting sqref="T16:AC16">
    <cfRule type="cellIs" dxfId="38" priority="118" operator="equal">
      <formula>"M"</formula>
    </cfRule>
    <cfRule type="cellIs" dxfId="37" priority="119" operator="equal">
      <formula>"G"</formula>
    </cfRule>
    <cfRule type="cellIs" dxfId="36" priority="120" operator="equal">
      <formula>"V"</formula>
    </cfRule>
  </conditionalFormatting>
  <conditionalFormatting sqref="V35:V43">
    <cfRule type="cellIs" dxfId="35" priority="241" operator="equal">
      <formula>"M"</formula>
    </cfRule>
    <cfRule type="cellIs" dxfId="34" priority="242" operator="equal">
      <formula>"G"</formula>
    </cfRule>
    <cfRule type="cellIs" dxfId="33" priority="243" operator="equal">
      <formula>"V"</formula>
    </cfRule>
  </conditionalFormatting>
  <conditionalFormatting sqref="V14:AC14">
    <cfRule type="cellIs" dxfId="32" priority="16" operator="equal">
      <formula>"M"</formula>
    </cfRule>
    <cfRule type="cellIs" dxfId="31" priority="17" operator="equal">
      <formula>"G"</formula>
    </cfRule>
    <cfRule type="cellIs" dxfId="30" priority="18" operator="equal">
      <formula>"V"</formula>
    </cfRule>
  </conditionalFormatting>
  <conditionalFormatting sqref="V15:AE15">
    <cfRule type="cellIs" dxfId="29" priority="124" operator="equal">
      <formula>"M"</formula>
    </cfRule>
    <cfRule type="cellIs" dxfId="28" priority="125" operator="equal">
      <formula>"G"</formula>
    </cfRule>
    <cfRule type="cellIs" dxfId="27" priority="126" operator="equal">
      <formula>"V"</formula>
    </cfRule>
  </conditionalFormatting>
  <conditionalFormatting sqref="W2:W3">
    <cfRule type="cellIs" dxfId="26" priority="268" operator="equal">
      <formula>"M"</formula>
    </cfRule>
    <cfRule type="cellIs" dxfId="25" priority="269" operator="equal">
      <formula>"G"</formula>
    </cfRule>
    <cfRule type="cellIs" dxfId="24" priority="270" operator="equal">
      <formula>"V"</formula>
    </cfRule>
  </conditionalFormatting>
  <conditionalFormatting sqref="W36:AG43">
    <cfRule type="cellIs" dxfId="23" priority="55" operator="equal">
      <formula>"M"</formula>
    </cfRule>
    <cfRule type="cellIs" dxfId="22" priority="56" operator="equal">
      <formula>"G"</formula>
    </cfRule>
    <cfRule type="cellIs" dxfId="21" priority="57" operator="equal">
      <formula>"V"</formula>
    </cfRule>
  </conditionalFormatting>
  <conditionalFormatting sqref="X3:AF3">
    <cfRule type="cellIs" dxfId="20" priority="175" operator="equal">
      <formula>"M"</formula>
    </cfRule>
    <cfRule type="cellIs" dxfId="19" priority="176" operator="equal">
      <formula>"G"</formula>
    </cfRule>
    <cfRule type="cellIs" dxfId="18" priority="177" operator="equal">
      <formula>"V"</formula>
    </cfRule>
  </conditionalFormatting>
  <conditionalFormatting sqref="AD13:AE14 AD15:AD16">
    <cfRule type="cellIs" dxfId="17" priority="250" operator="equal">
      <formula>"M"</formula>
    </cfRule>
    <cfRule type="cellIs" dxfId="16" priority="251" operator="equal">
      <formula>"G"</formula>
    </cfRule>
    <cfRule type="cellIs" dxfId="15" priority="252" operator="equal">
      <formula>"V"</formula>
    </cfRule>
  </conditionalFormatting>
  <conditionalFormatting sqref="AE3:AE10 AF4:AF10">
    <cfRule type="cellIs" dxfId="14" priority="232" operator="equal">
      <formula>"M"</formula>
    </cfRule>
    <cfRule type="cellIs" dxfId="13" priority="233" operator="equal">
      <formula>"G"</formula>
    </cfRule>
    <cfRule type="cellIs" dxfId="12" priority="234" operator="equal">
      <formula>"V"</formula>
    </cfRule>
  </conditionalFormatting>
  <conditionalFormatting sqref="AE16">
    <cfRule type="cellIs" dxfId="11" priority="229" operator="equal">
      <formula>"M"</formula>
    </cfRule>
    <cfRule type="cellIs" dxfId="10" priority="230" operator="equal">
      <formula>"G"</formula>
    </cfRule>
    <cfRule type="cellIs" dxfId="9" priority="231" operator="equal">
      <formula>"V"</formula>
    </cfRule>
  </conditionalFormatting>
  <conditionalFormatting sqref="AF14:AF16">
    <cfRule type="cellIs" dxfId="8" priority="256" operator="equal">
      <formula>"M"</formula>
    </cfRule>
    <cfRule type="cellIs" dxfId="7" priority="257" operator="equal">
      <formula>"G"</formula>
    </cfRule>
    <cfRule type="cellIs" dxfId="6" priority="258" operator="equal">
      <formula>"V"</formula>
    </cfRule>
  </conditionalFormatting>
  <conditionalFormatting sqref="AG2:AG11">
    <cfRule type="cellIs" dxfId="5" priority="193" operator="equal">
      <formula>"M"</formula>
    </cfRule>
    <cfRule type="cellIs" dxfId="4" priority="194" operator="equal">
      <formula>"G"</formula>
    </cfRule>
    <cfRule type="cellIs" dxfId="3" priority="195" operator="equal">
      <formula>"V"</formula>
    </cfRule>
  </conditionalFormatting>
  <conditionalFormatting sqref="AG13:AG22">
    <cfRule type="cellIs" dxfId="2" priority="259" operator="equal">
      <formula>"M"</formula>
    </cfRule>
    <cfRule type="cellIs" dxfId="1" priority="260" operator="equal">
      <formula>"G"</formula>
    </cfRule>
    <cfRule type="cellIs" dxfId="0" priority="261" operator="equal">
      <formula>"V"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29CD-2D4A-41EF-8062-D51A9DB10D9C}">
  <dimension ref="A1:B13"/>
  <sheetViews>
    <sheetView workbookViewId="0">
      <selection activeCell="B21" sqref="B21"/>
    </sheetView>
  </sheetViews>
  <sheetFormatPr defaultColWidth="11.42578125" defaultRowHeight="15"/>
  <cols>
    <col min="1" max="1" width="14.85546875" style="37" customWidth="1"/>
    <col min="2" max="2" width="30.140625" style="37" bestFit="1" customWidth="1"/>
  </cols>
  <sheetData>
    <row r="1" spans="1:2">
      <c r="A1" s="139" t="s">
        <v>450</v>
      </c>
      <c r="B1" s="139" t="s">
        <v>94</v>
      </c>
    </row>
    <row r="2" spans="1:2">
      <c r="A2" s="139" t="s">
        <v>450</v>
      </c>
      <c r="B2" s="139" t="s">
        <v>99</v>
      </c>
    </row>
    <row r="3" spans="1:2">
      <c r="A3" s="139" t="s">
        <v>450</v>
      </c>
      <c r="B3" s="139" t="s">
        <v>166</v>
      </c>
    </row>
    <row r="4" spans="1:2">
      <c r="A4" s="139" t="s">
        <v>450</v>
      </c>
      <c r="B4" s="139" t="s">
        <v>451</v>
      </c>
    </row>
    <row r="5" spans="1:2">
      <c r="A5" s="139" t="s">
        <v>450</v>
      </c>
      <c r="B5" s="139" t="s">
        <v>452</v>
      </c>
    </row>
    <row r="6" spans="1:2">
      <c r="A6" s="139" t="s">
        <v>450</v>
      </c>
      <c r="B6" s="139" t="s">
        <v>453</v>
      </c>
    </row>
    <row r="7" spans="1:2">
      <c r="A7" s="139" t="s">
        <v>450</v>
      </c>
      <c r="B7" s="139" t="s">
        <v>91</v>
      </c>
    </row>
    <row r="8" spans="1:2">
      <c r="A8" s="139" t="s">
        <v>450</v>
      </c>
      <c r="B8" s="139" t="s">
        <v>445</v>
      </c>
    </row>
    <row r="9" spans="1:2">
      <c r="A9" s="139" t="s">
        <v>454</v>
      </c>
      <c r="B9" s="139" t="s">
        <v>455</v>
      </c>
    </row>
    <row r="10" spans="1:2">
      <c r="A10" s="139" t="s">
        <v>454</v>
      </c>
      <c r="B10" s="139" t="s">
        <v>456</v>
      </c>
    </row>
    <row r="11" spans="1:2">
      <c r="A11" s="139" t="s">
        <v>34</v>
      </c>
      <c r="B11" s="139" t="s">
        <v>40</v>
      </c>
    </row>
    <row r="12" spans="1:2">
      <c r="A12" s="139" t="s">
        <v>34</v>
      </c>
      <c r="B12" s="139" t="s">
        <v>126</v>
      </c>
    </row>
    <row r="13" spans="1:2">
      <c r="A13" s="139" t="s">
        <v>34</v>
      </c>
      <c r="B13" s="139" t="s">
        <v>38</v>
      </c>
    </row>
  </sheetData>
  <sortState xmlns:xlrd2="http://schemas.microsoft.com/office/spreadsheetml/2017/richdata2" ref="A1:C13">
    <sortCondition ref="A1:A13"/>
    <sortCondition ref="B1:B13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BA66-C4B5-45E0-8FE0-D033156C01A0}">
  <dimension ref="A1:J596"/>
  <sheetViews>
    <sheetView workbookViewId="0">
      <pane ySplit="1" topLeftCell="A2" activePane="bottomLeft" state="frozen"/>
      <selection pane="bottomLeft" activeCell="D2" sqref="D2"/>
    </sheetView>
  </sheetViews>
  <sheetFormatPr defaultColWidth="11.42578125" defaultRowHeight="15"/>
  <cols>
    <col min="4" max="4" width="36.28515625" customWidth="1"/>
    <col min="5" max="5" width="34.42578125" customWidth="1"/>
    <col min="6" max="6" width="11.85546875" style="99" bestFit="1" customWidth="1"/>
    <col min="7" max="7" width="11.42578125" style="99"/>
    <col min="9" max="9" width="130.85546875" style="96" customWidth="1"/>
    <col min="10" max="10" width="32.85546875" customWidth="1"/>
  </cols>
  <sheetData>
    <row r="1" spans="1:10">
      <c r="A1" s="93" t="s">
        <v>32</v>
      </c>
      <c r="B1" s="93" t="s">
        <v>457</v>
      </c>
      <c r="C1" s="93" t="s">
        <v>457</v>
      </c>
      <c r="D1" s="93" t="s">
        <v>110</v>
      </c>
      <c r="E1" s="93"/>
      <c r="F1" s="98" t="s">
        <v>112</v>
      </c>
      <c r="G1" s="98" t="s">
        <v>458</v>
      </c>
      <c r="H1" s="93" t="s">
        <v>115</v>
      </c>
      <c r="I1" s="97" t="s">
        <v>203</v>
      </c>
      <c r="J1" s="93" t="s">
        <v>459</v>
      </c>
    </row>
    <row r="2" spans="1:10">
      <c r="A2" t="s">
        <v>299</v>
      </c>
      <c r="B2" t="s">
        <v>121</v>
      </c>
      <c r="C2" s="92">
        <v>44805</v>
      </c>
      <c r="D2" t="str">
        <f>IF(ISBLANK(VLOOKUP($C2,'Intervenciones Networking'!$C:$J,3,FALSE)),"",VLOOKUP($C2,'Intervenciones Networking'!$C:$J,3,FALSE))</f>
        <v/>
      </c>
      <c r="E2" t="s">
        <v>450</v>
      </c>
      <c r="F2" s="99" t="str">
        <f>IF(ISBLANK(VLOOKUP($C2,'Intervenciones Networking'!$C:$J,4,FALSE)),"",VLOOKUP($C2,'Intervenciones Networking'!$C:$J,4,FALSE))</f>
        <v/>
      </c>
      <c r="G2" s="99" t="str">
        <f>IF(ISBLANK(VLOOKUP($C2,'Intervenciones Networking'!$C:$J,4,FALSE)),"",VLOOKUP($C2,'Intervenciones Networking'!$C:$J,4,FALSE))</f>
        <v/>
      </c>
      <c r="H2" t="str">
        <f>IF(ISBLANK(VLOOKUP($C2,'Intervenciones Networking'!$C:$J,6,FALSE)),"",VLOOKUP($C2,'Intervenciones Networking'!$C:$J,6,FALSE))</f>
        <v/>
      </c>
      <c r="I2" s="96" t="str">
        <f>IF(ISBLANK(VLOOKUP($C2,'Intervenciones Networking'!$C:$J,4,FALSE)),"",VLOOKUP($C2,'Intervenciones Networking'!$C:$J,4,FALSE))</f>
        <v/>
      </c>
      <c r="J2">
        <f>VLOOKUP($C2,'Intervenciones Networking'!$C:$J,8,FALSE)</f>
        <v>0</v>
      </c>
    </row>
    <row r="3" spans="1:10">
      <c r="A3" t="s">
        <v>299</v>
      </c>
      <c r="B3" t="s">
        <v>121</v>
      </c>
      <c r="C3" s="92">
        <v>44805</v>
      </c>
      <c r="D3" t="s">
        <v>40</v>
      </c>
      <c r="E3" t="s">
        <v>34</v>
      </c>
      <c r="F3"/>
      <c r="G3"/>
    </row>
    <row r="4" spans="1:10">
      <c r="A4" t="s">
        <v>299</v>
      </c>
      <c r="B4" t="s">
        <v>311</v>
      </c>
      <c r="C4" s="92">
        <v>44806</v>
      </c>
      <c r="D4" t="str">
        <f>IF(ISBLANK(VLOOKUP($C4,'Intervenciones Networking'!$C:$J,3,FALSE)),"",VLOOKUP($C4,'Intervenciones Networking'!$C:$J,3,FALSE))</f>
        <v/>
      </c>
      <c r="E4" t="s">
        <v>450</v>
      </c>
      <c r="F4" s="99" t="str">
        <f>IF(ISBLANK(VLOOKUP($C4,'Intervenciones Networking'!$C:$J,4,FALSE)),"",VLOOKUP($C4,'Intervenciones Networking'!$C:$J,4,FALSE))</f>
        <v/>
      </c>
      <c r="G4" s="99" t="str">
        <f>IF(ISBLANK(VLOOKUP($C4,'Intervenciones Networking'!$C:$J,4,FALSE)),"",VLOOKUP($C4,'Intervenciones Networking'!$C:$J,4,FALSE))</f>
        <v/>
      </c>
      <c r="H4" t="str">
        <f>IF(ISBLANK(VLOOKUP($C4,'Intervenciones Networking'!$C:$J,6,FALSE)),"",VLOOKUP($C4,'Intervenciones Networking'!$C:$J,6,FALSE))</f>
        <v/>
      </c>
      <c r="I4" s="96" t="str">
        <f>IF(ISBLANK(VLOOKUP($C4,'Intervenciones Networking'!$C:$J,4,FALSE)),"",VLOOKUP($C4,'Intervenciones Networking'!$C:$J,4,FALSE))</f>
        <v/>
      </c>
      <c r="J4">
        <f>VLOOKUP($C4,'Intervenciones Networking'!$C:$J,8,FALSE)</f>
        <v>0</v>
      </c>
    </row>
    <row r="5" spans="1:10">
      <c r="A5" t="s">
        <v>299</v>
      </c>
      <c r="B5" t="s">
        <v>311</v>
      </c>
      <c r="C5" s="92">
        <v>44806</v>
      </c>
      <c r="D5" t="s">
        <v>38</v>
      </c>
      <c r="E5" t="s">
        <v>34</v>
      </c>
      <c r="F5"/>
      <c r="G5"/>
    </row>
    <row r="6" spans="1:10">
      <c r="A6" t="s">
        <v>299</v>
      </c>
      <c r="B6" t="s">
        <v>123</v>
      </c>
      <c r="C6" s="92">
        <v>44807</v>
      </c>
      <c r="D6" t="str">
        <f>IF(ISBLANK(VLOOKUP($C6,'Intervenciones Networking'!$C:$J,3,FALSE)),"",VLOOKUP($C6,'Intervenciones Networking'!$C:$J,3,FALSE))</f>
        <v/>
      </c>
      <c r="E6" t="s">
        <v>450</v>
      </c>
      <c r="F6" s="99" t="str">
        <f>IF(ISBLANK(VLOOKUP($C6,'Intervenciones Networking'!$C:$J,4,FALSE)),"",VLOOKUP($C6,'Intervenciones Networking'!$C:$J,4,FALSE))</f>
        <v/>
      </c>
      <c r="G6" s="99" t="str">
        <f>IF(ISBLANK(VLOOKUP($C6,'Intervenciones Networking'!$C:$J,4,FALSE)),"",VLOOKUP($C6,'Intervenciones Networking'!$C:$J,4,FALSE))</f>
        <v/>
      </c>
      <c r="H6" t="str">
        <f>IF(ISBLANK(VLOOKUP($C6,'Intervenciones Networking'!$C:$J,6,FALSE)),"",VLOOKUP($C6,'Intervenciones Networking'!$C:$J,6,FALSE))</f>
        <v/>
      </c>
      <c r="I6" s="96" t="str">
        <f>IF(ISBLANK(VLOOKUP($C6,'Intervenciones Networking'!$C:$J,4,FALSE)),"",VLOOKUP($C6,'Intervenciones Networking'!$C:$J,4,FALSE))</f>
        <v/>
      </c>
      <c r="J6">
        <f>VLOOKUP($C6,'Intervenciones Networking'!$C:$J,8,FALSE)</f>
        <v>0</v>
      </c>
    </row>
    <row r="7" spans="1:10">
      <c r="A7" t="s">
        <v>299</v>
      </c>
      <c r="B7" t="s">
        <v>123</v>
      </c>
      <c r="C7" s="92">
        <v>44807</v>
      </c>
      <c r="E7" t="s">
        <v>34</v>
      </c>
      <c r="F7"/>
      <c r="G7"/>
    </row>
    <row r="8" spans="1:10">
      <c r="A8" t="s">
        <v>299</v>
      </c>
      <c r="B8" t="s">
        <v>124</v>
      </c>
      <c r="C8" s="92">
        <v>44808</v>
      </c>
      <c r="D8" t="str">
        <f>IF(ISBLANK(VLOOKUP($C8,'Intervenciones Networking'!$C:$J,3,FALSE)),"",VLOOKUP($C8,'Intervenciones Networking'!$C:$J,3,FALSE))</f>
        <v/>
      </c>
      <c r="E8" t="s">
        <v>450</v>
      </c>
      <c r="F8" s="99" t="str">
        <f>IF(ISBLANK(VLOOKUP($C8,'Intervenciones Networking'!$C:$J,4,FALSE)),"",VLOOKUP($C8,'Intervenciones Networking'!$C:$J,4,FALSE))</f>
        <v/>
      </c>
      <c r="G8" s="99" t="str">
        <f>IF(ISBLANK(VLOOKUP($C8,'Intervenciones Networking'!$C:$J,4,FALSE)),"",VLOOKUP($C8,'Intervenciones Networking'!$C:$J,4,FALSE))</f>
        <v/>
      </c>
      <c r="H8" t="str">
        <f>IF(ISBLANK(VLOOKUP($C8,'Intervenciones Networking'!$C:$J,6,FALSE)),"",VLOOKUP($C8,'Intervenciones Networking'!$C:$J,6,FALSE))</f>
        <v/>
      </c>
      <c r="I8" s="96" t="str">
        <f>IF(ISBLANK(VLOOKUP($C8,'Intervenciones Networking'!$C:$J,7,FALSE)),"",VLOOKUP($C8,'Intervenciones Networking'!$C:$J,7,FALSE))</f>
        <v/>
      </c>
      <c r="J8">
        <f>VLOOKUP($C8,'Intervenciones Networking'!$C:$J,8,FALSE)</f>
        <v>0</v>
      </c>
    </row>
    <row r="9" spans="1:10">
      <c r="A9" t="s">
        <v>299</v>
      </c>
      <c r="B9" t="s">
        <v>124</v>
      </c>
      <c r="C9" s="92">
        <v>44808</v>
      </c>
      <c r="E9" t="s">
        <v>34</v>
      </c>
      <c r="F9"/>
      <c r="G9"/>
    </row>
    <row r="10" spans="1:10">
      <c r="A10" t="s">
        <v>299</v>
      </c>
      <c r="B10" t="s">
        <v>125</v>
      </c>
      <c r="C10" s="92">
        <v>44809</v>
      </c>
      <c r="D10" t="str">
        <f>IF(ISBLANK(VLOOKUP($C10,'Intervenciones Networking'!$C:$J,3,FALSE)),"",VLOOKUP($C10,'Intervenciones Networking'!$C:$J,3,FALSE))</f>
        <v/>
      </c>
      <c r="E10" t="s">
        <v>450</v>
      </c>
      <c r="F10" s="99" t="str">
        <f>IF(ISBLANK(VLOOKUP($C10,'Intervenciones Networking'!$C:$J,4,FALSE)),"",VLOOKUP($C10,'Intervenciones Networking'!$C:$J,4,FALSE))</f>
        <v/>
      </c>
      <c r="G10" s="99" t="str">
        <f>IF(ISBLANK(VLOOKUP($C10,'Intervenciones Networking'!$C:$J,4,FALSE)),"",VLOOKUP($C10,'Intervenciones Networking'!$C:$J,4,FALSE))</f>
        <v/>
      </c>
      <c r="H10" t="str">
        <f>IF(ISBLANK(VLOOKUP($C10,'Intervenciones Networking'!$C:$J,6,FALSE)),"",VLOOKUP($C10,'Intervenciones Networking'!$C:$J,6,FALSE))</f>
        <v/>
      </c>
      <c r="I10" s="96" t="str">
        <f>IF(ISBLANK(VLOOKUP($C10,'Intervenciones Networking'!$C:$J,7,FALSE)),"",VLOOKUP($C10,'Intervenciones Networking'!$C:$J,7,FALSE))</f>
        <v/>
      </c>
      <c r="J10">
        <f>VLOOKUP($C10,'Intervenciones Networking'!$C:$J,8,FALSE)</f>
        <v>0</v>
      </c>
    </row>
    <row r="11" spans="1:10">
      <c r="A11" t="s">
        <v>299</v>
      </c>
      <c r="B11" t="s">
        <v>125</v>
      </c>
      <c r="C11" s="92">
        <v>44809</v>
      </c>
      <c r="E11" t="s">
        <v>34</v>
      </c>
      <c r="F11"/>
      <c r="G11"/>
    </row>
    <row r="12" spans="1:10">
      <c r="A12" t="s">
        <v>299</v>
      </c>
      <c r="B12" t="s">
        <v>460</v>
      </c>
      <c r="C12" s="92">
        <v>44810</v>
      </c>
      <c r="D12" t="str">
        <f>IF(ISBLANK(VLOOKUP($C12,'Intervenciones Networking'!$C:$J,3,FALSE)),"",VLOOKUP($C12,'Intervenciones Networking'!$C:$J,3,FALSE))</f>
        <v/>
      </c>
      <c r="E12" t="s">
        <v>450</v>
      </c>
      <c r="F12" s="99" t="str">
        <f>IF(ISBLANK(VLOOKUP($C12,'Intervenciones Networking'!$C:$J,4,FALSE)),"",VLOOKUP($C12,'Intervenciones Networking'!$C:$J,4,FALSE))</f>
        <v/>
      </c>
      <c r="G12" s="99" t="str">
        <f>IF(ISBLANK(VLOOKUP($C12,'Intervenciones Networking'!$C:$J,4,FALSE)),"",VLOOKUP($C12,'Intervenciones Networking'!$C:$J,4,FALSE))</f>
        <v/>
      </c>
      <c r="H12" t="str">
        <f>IF(ISBLANK(VLOOKUP($C12,'Intervenciones Networking'!$C:$J,6,FALSE)),"",VLOOKUP($C12,'Intervenciones Networking'!$C:$J,6,FALSE))</f>
        <v/>
      </c>
      <c r="I12" s="96" t="str">
        <f>IF(ISBLANK(VLOOKUP($C12,'Intervenciones Networking'!$C:$J,7,FALSE)),"",VLOOKUP($C12,'Intervenciones Networking'!$C:$J,7,FALSE))</f>
        <v/>
      </c>
      <c r="J12">
        <f>VLOOKUP($C12,'Intervenciones Networking'!$C:$J,8,FALSE)</f>
        <v>0</v>
      </c>
    </row>
    <row r="13" spans="1:10">
      <c r="A13" t="s">
        <v>299</v>
      </c>
      <c r="B13" t="s">
        <v>460</v>
      </c>
      <c r="C13" s="92">
        <v>44810</v>
      </c>
      <c r="E13" t="s">
        <v>34</v>
      </c>
      <c r="F13"/>
      <c r="G13"/>
    </row>
    <row r="14" spans="1:10">
      <c r="A14" t="s">
        <v>299</v>
      </c>
      <c r="B14" t="s">
        <v>120</v>
      </c>
      <c r="C14" s="92">
        <v>44811</v>
      </c>
      <c r="D14" t="str">
        <f>IF(ISBLANK(VLOOKUP($C14,'Intervenciones Networking'!$C:$J,3,FALSE)),"",VLOOKUP($C14,'Intervenciones Networking'!$C:$J,3,FALSE))</f>
        <v/>
      </c>
      <c r="E14" t="s">
        <v>450</v>
      </c>
      <c r="F14" s="99" t="str">
        <f>IF(ISBLANK(VLOOKUP($C14,'Intervenciones Networking'!$C:$J,4,FALSE)),"",VLOOKUP($C14,'Intervenciones Networking'!$C:$J,4,FALSE))</f>
        <v/>
      </c>
      <c r="G14" s="99" t="str">
        <f>IF(ISBLANK(VLOOKUP($C14,'Intervenciones Networking'!$C:$J,4,FALSE)),"",VLOOKUP($C14,'Intervenciones Networking'!$C:$J,4,FALSE))</f>
        <v/>
      </c>
      <c r="H14" t="str">
        <f>IF(ISBLANK(VLOOKUP($C14,'Intervenciones Networking'!$C:$J,6,FALSE)),"",VLOOKUP($C14,'Intervenciones Networking'!$C:$J,6,FALSE))</f>
        <v/>
      </c>
      <c r="I14" s="96" t="str">
        <f>IF(ISBLANK(VLOOKUP($C14,'Intervenciones Networking'!$C:$J,7,FALSE)),"",VLOOKUP($C14,'Intervenciones Networking'!$C:$J,7,FALSE))</f>
        <v/>
      </c>
      <c r="J14">
        <f>VLOOKUP($C14,'Intervenciones Networking'!$C:$J,8,FALSE)</f>
        <v>0</v>
      </c>
    </row>
    <row r="15" spans="1:10">
      <c r="A15" t="s">
        <v>299</v>
      </c>
      <c r="B15" t="s">
        <v>120</v>
      </c>
      <c r="C15" s="92">
        <v>44811</v>
      </c>
      <c r="E15" t="s">
        <v>34</v>
      </c>
      <c r="F15"/>
      <c r="G15"/>
    </row>
    <row r="16" spans="1:10">
      <c r="A16" t="s">
        <v>299</v>
      </c>
      <c r="B16" t="s">
        <v>121</v>
      </c>
      <c r="C16" s="92">
        <v>44812</v>
      </c>
      <c r="D16" t="str">
        <f>IF(ISBLANK(VLOOKUP($C16,'Intervenciones Networking'!$C:$J,3,FALSE)),"",VLOOKUP($C16,'Intervenciones Networking'!$C:$J,3,FALSE))</f>
        <v/>
      </c>
      <c r="E16" t="s">
        <v>450</v>
      </c>
      <c r="F16" s="99" t="str">
        <f>IF(ISBLANK(VLOOKUP($C16,'Intervenciones Networking'!$C:$J,4,FALSE)),"",VLOOKUP($C16,'Intervenciones Networking'!$C:$J,4,FALSE))</f>
        <v/>
      </c>
      <c r="G16" s="99" t="str">
        <f>IF(ISBLANK(VLOOKUP($C16,'Intervenciones Networking'!$C:$J,4,FALSE)),"",VLOOKUP($C16,'Intervenciones Networking'!$C:$J,4,FALSE))</f>
        <v/>
      </c>
      <c r="H16" t="str">
        <f>IF(ISBLANK(VLOOKUP($C16,'Intervenciones Networking'!$C:$J,6,FALSE)),"",VLOOKUP($C16,'Intervenciones Networking'!$C:$J,6,FALSE))</f>
        <v/>
      </c>
      <c r="I16" s="96" t="str">
        <f>IF(ISBLANK(VLOOKUP($C16,'Intervenciones Networking'!$C:$J,7,FALSE)),"",VLOOKUP($C16,'Intervenciones Networking'!$C:$J,7,FALSE))</f>
        <v/>
      </c>
      <c r="J16">
        <f>VLOOKUP($C16,'Intervenciones Networking'!$C:$J,8,FALSE)</f>
        <v>0</v>
      </c>
    </row>
    <row r="17" spans="1:10">
      <c r="A17" t="s">
        <v>299</v>
      </c>
      <c r="B17" t="s">
        <v>121</v>
      </c>
      <c r="C17" s="92">
        <v>44812</v>
      </c>
      <c r="E17" t="s">
        <v>34</v>
      </c>
      <c r="F17"/>
      <c r="G17"/>
    </row>
    <row r="18" spans="1:10">
      <c r="A18" t="s">
        <v>299</v>
      </c>
      <c r="B18" t="s">
        <v>311</v>
      </c>
      <c r="C18" s="92">
        <v>44813</v>
      </c>
      <c r="D18" t="str">
        <f>IF(ISBLANK(VLOOKUP($C18,'Intervenciones Networking'!$C:$J,3,FALSE)),"",VLOOKUP($C18,'Intervenciones Networking'!$C:$J,3,FALSE))</f>
        <v/>
      </c>
      <c r="E18" t="s">
        <v>450</v>
      </c>
      <c r="F18" s="99" t="str">
        <f>IF(ISBLANK(VLOOKUP($C18,'Intervenciones Networking'!$C:$J,4,FALSE)),"",VLOOKUP($C18,'Intervenciones Networking'!$C:$J,4,FALSE))</f>
        <v/>
      </c>
      <c r="G18" s="99" t="str">
        <f>IF(ISBLANK(VLOOKUP($C18,'Intervenciones Networking'!$C:$J,4,FALSE)),"",VLOOKUP($C18,'Intervenciones Networking'!$C:$J,4,FALSE))</f>
        <v/>
      </c>
      <c r="H18" t="str">
        <f>IF(ISBLANK(VLOOKUP($C18,'Intervenciones Networking'!$C:$J,6,FALSE)),"",VLOOKUP($C18,'Intervenciones Networking'!$C:$J,6,FALSE))</f>
        <v/>
      </c>
      <c r="I18" s="96" t="str">
        <f>IF(ISBLANK(VLOOKUP($C18,'Intervenciones Networking'!$C:$J,7,FALSE)),"",VLOOKUP($C18,'Intervenciones Networking'!$C:$J,7,FALSE))</f>
        <v/>
      </c>
      <c r="J18">
        <f>VLOOKUP($C18,'Intervenciones Networking'!$C:$J,8,FALSE)</f>
        <v>0</v>
      </c>
    </row>
    <row r="19" spans="1:10">
      <c r="A19" t="s">
        <v>299</v>
      </c>
      <c r="B19" t="s">
        <v>311</v>
      </c>
      <c r="C19" s="92">
        <v>44813</v>
      </c>
      <c r="E19" t="s">
        <v>34</v>
      </c>
      <c r="F19"/>
      <c r="G19"/>
    </row>
    <row r="20" spans="1:10" ht="60">
      <c r="A20" t="s">
        <v>299</v>
      </c>
      <c r="B20" t="s">
        <v>123</v>
      </c>
      <c r="C20" s="92">
        <v>44814</v>
      </c>
      <c r="D20" t="str">
        <f>IF(ISBLANK(VLOOKUP($C20,'Intervenciones Networking'!$C:$J,3,FALSE)),"",VLOOKUP($C20,'Intervenciones Networking'!$C:$J,3,FALSE))</f>
        <v/>
      </c>
      <c r="E20" t="s">
        <v>450</v>
      </c>
      <c r="F20" s="99">
        <f>IF(ISBLANK(VLOOKUP($C20,'Intervenciones Networking'!$C:$J,4,FALSE)),"",VLOOKUP($C20,'Intervenciones Networking'!$C:$J,4,FALSE))</f>
        <v>0.375</v>
      </c>
      <c r="G20" s="99">
        <f>VLOOKUP($C20,'Intervenciones Networking'!$C:$J,5,FALSE)</f>
        <v>0.45833333333333331</v>
      </c>
      <c r="H20" t="str">
        <f>IF(ISBLANK(VLOOKUP($C20,'Intervenciones Networking'!$C:$J,6,FALSE)),"",VLOOKUP($C20,'Intervenciones Networking'!$C:$J,6,FALSE))</f>
        <v/>
      </c>
      <c r="I20" s="96" t="str">
        <f>IF(ISBLANK(VLOOKUP($C20,'Intervenciones Networking'!$C:$J,7,FALSE)),"",VLOOKUP($C20,'Intervenciones Networking'!$C:$J,7,FALSE))</f>
        <v xml:space="preserve">
Cambio Migracion Alhambra SDWAN(Chema- Israel)
Cambio reinicio APs Meraki CGS(Chema-Israel)
Cambio Actualizacion AOS8 Recoletos,Getafe,JV34-36,Salia (Fernado Lourido - Gilberto)</v>
      </c>
      <c r="J20">
        <f>VLOOKUP($C20,'Intervenciones Networking'!$C:$J,8,FALSE)</f>
        <v>0</v>
      </c>
    </row>
    <row r="21" spans="1:10" ht="46.5" customHeight="1">
      <c r="A21" t="s">
        <v>299</v>
      </c>
      <c r="B21" t="s">
        <v>123</v>
      </c>
      <c r="C21" s="92">
        <v>44814</v>
      </c>
      <c r="E21" t="s">
        <v>34</v>
      </c>
      <c r="F21"/>
      <c r="G21"/>
    </row>
    <row r="22" spans="1:10">
      <c r="A22" t="s">
        <v>299</v>
      </c>
      <c r="B22" t="s">
        <v>124</v>
      </c>
      <c r="C22" s="92">
        <v>44815</v>
      </c>
      <c r="D22" t="str">
        <f>IF(ISBLANK(VLOOKUP($C22,'Intervenciones Networking'!$C:$J,3,FALSE)),"",VLOOKUP($C22,'Intervenciones Networking'!$C:$J,3,FALSE))</f>
        <v/>
      </c>
      <c r="E22" t="s">
        <v>450</v>
      </c>
      <c r="F22" s="99">
        <f>IF(ISBLANK(VLOOKUP($C22,'Intervenciones Networking'!$C:$J,4,FALSE)),"",VLOOKUP($C22,'Intervenciones Networking'!$C:$J,4,FALSE))</f>
        <v>0.375</v>
      </c>
      <c r="G22" s="99">
        <f>VLOOKUP($C22,'Intervenciones Networking'!$C:$J,5,FALSE)</f>
        <v>0.45833333333333331</v>
      </c>
      <c r="H22" t="str">
        <f>IF(ISBLANK(VLOOKUP($C22,'Intervenciones Networking'!$C:$J,6,FALSE)),"",VLOOKUP($C22,'Intervenciones Networking'!$C:$J,6,FALSE))</f>
        <v/>
      </c>
      <c r="I22" s="96" t="str">
        <f>IF(ISBLANK(VLOOKUP($C22,'Intervenciones Networking'!$C:$J,7,FALSE)),"",VLOOKUP($C22,'Intervenciones Networking'!$C:$J,7,FALSE))</f>
        <v/>
      </c>
      <c r="J22">
        <f>VLOOKUP($C22,'Intervenciones Networking'!$C:$J,8,FALSE)</f>
        <v>0</v>
      </c>
    </row>
    <row r="23" spans="1:10">
      <c r="A23" t="s">
        <v>299</v>
      </c>
      <c r="B23" t="s">
        <v>124</v>
      </c>
      <c r="C23" s="92">
        <v>44815</v>
      </c>
      <c r="E23" t="s">
        <v>34</v>
      </c>
      <c r="F23"/>
      <c r="G23"/>
    </row>
    <row r="24" spans="1:10">
      <c r="A24" t="s">
        <v>299</v>
      </c>
      <c r="B24" t="s">
        <v>125</v>
      </c>
      <c r="C24" s="92">
        <v>44816</v>
      </c>
      <c r="D24" t="str">
        <f>IF(ISBLANK(VLOOKUP($C24,'Intervenciones Networking'!$C:$J,3,FALSE)),"",VLOOKUP($C24,'Intervenciones Networking'!$C:$J,3,FALSE))</f>
        <v>JAB</v>
      </c>
      <c r="E24" t="s">
        <v>450</v>
      </c>
      <c r="F24" s="99">
        <f>IF(ISBLANK(VLOOKUP($C24,'Intervenciones Networking'!$C:$J,4,FALSE)),"",VLOOKUP($C24,'Intervenciones Networking'!$C:$J,4,FALSE))</f>
        <v>0.375</v>
      </c>
      <c r="G24" s="99">
        <f>VLOOKUP($C24,'Intervenciones Networking'!$C:$J,5,FALSE)</f>
        <v>0.45833333333333331</v>
      </c>
      <c r="H24" t="str">
        <f>IF(ISBLANK(VLOOKUP($C24,'Intervenciones Networking'!$C:$J,6,FALSE)),"",VLOOKUP($C24,'Intervenciones Networking'!$C:$J,6,FALSE))</f>
        <v/>
      </c>
      <c r="I24" s="96" t="str">
        <f>IF(ISBLANK(VLOOKUP($C24,'Intervenciones Networking'!$C:$J,7,FALSE)),"",VLOOKUP($C24,'Intervenciones Networking'!$C:$J,7,FALSE))</f>
        <v>Añadir en Pac file de SGT las redes de Santec</v>
      </c>
      <c r="J24">
        <f>VLOOKUP($C24,'Intervenciones Networking'!$C:$J,8,FALSE)</f>
        <v>0</v>
      </c>
    </row>
    <row r="25" spans="1:10">
      <c r="A25" t="s">
        <v>299</v>
      </c>
      <c r="B25" t="s">
        <v>125</v>
      </c>
      <c r="C25" s="92">
        <v>44816</v>
      </c>
      <c r="E25" t="s">
        <v>34</v>
      </c>
      <c r="F25"/>
      <c r="G25"/>
    </row>
    <row r="26" spans="1:10">
      <c r="A26" t="s">
        <v>299</v>
      </c>
      <c r="B26" t="s">
        <v>460</v>
      </c>
      <c r="C26" s="92">
        <v>44817</v>
      </c>
      <c r="D26" t="str">
        <f>IF(ISBLANK(VLOOKUP($C26,'Intervenciones Networking'!$C:$J,3,FALSE)),"",VLOOKUP($C26,'Intervenciones Networking'!$C:$J,3,FALSE))</f>
        <v/>
      </c>
      <c r="E26" t="s">
        <v>450</v>
      </c>
      <c r="F26" s="99">
        <f>IF(ISBLANK(VLOOKUP($C26,'Intervenciones Networking'!$C:$J,4,FALSE)),"",VLOOKUP($C26,'Intervenciones Networking'!$C:$J,4,FALSE))</f>
        <v>0.375</v>
      </c>
      <c r="G26" s="99">
        <f>VLOOKUP($C26,'Intervenciones Networking'!$C:$J,5,FALSE)</f>
        <v>0.45833333333333331</v>
      </c>
      <c r="H26" t="str">
        <f>IF(ISBLANK(VLOOKUP($C26,'Intervenciones Networking'!$C:$J,6,FALSE)),"",VLOOKUP($C26,'Intervenciones Networking'!$C:$J,6,FALSE))</f>
        <v/>
      </c>
      <c r="I26" s="96" t="str">
        <f>IF(ISBLANK(VLOOKUP($C26,'Intervenciones Networking'!$C:$J,7,FALSE)),"",VLOOKUP($C26,'Intervenciones Networking'!$C:$J,7,FALSE))</f>
        <v/>
      </c>
      <c r="J26">
        <f>VLOOKUP($C26,'Intervenciones Networking'!$C:$J,8,FALSE)</f>
        <v>0</v>
      </c>
    </row>
    <row r="27" spans="1:10">
      <c r="A27" t="s">
        <v>299</v>
      </c>
      <c r="B27" t="s">
        <v>460</v>
      </c>
      <c r="C27" s="92">
        <v>44817</v>
      </c>
      <c r="E27" t="s">
        <v>34</v>
      </c>
      <c r="F27"/>
      <c r="G27"/>
    </row>
    <row r="28" spans="1:10" ht="30">
      <c r="A28" t="s">
        <v>299</v>
      </c>
      <c r="B28" t="s">
        <v>120</v>
      </c>
      <c r="C28" s="92">
        <v>44818</v>
      </c>
      <c r="D28" t="str">
        <f>IF(ISBLANK(VLOOKUP($C28,'Intervenciones Networking'!$C:$J,3,FALSE)),"",VLOOKUP($C28,'Intervenciones Networking'!$C:$J,3,FALSE))</f>
        <v>JAB</v>
      </c>
      <c r="E28" t="s">
        <v>450</v>
      </c>
      <c r="F28" s="99">
        <f>IF(ISBLANK(VLOOKUP($C28,'Intervenciones Networking'!$C:$J,4,FALSE)),"",VLOOKUP($C28,'Intervenciones Networking'!$C:$J,4,FALSE))</f>
        <v>0.375</v>
      </c>
      <c r="G28" s="99">
        <f>VLOOKUP($C28,'Intervenciones Networking'!$C:$J,5,FALSE)</f>
        <v>0.45833333333333331</v>
      </c>
      <c r="H28" t="str">
        <f>IF(ISBLANK(VLOOKUP($C28,'Intervenciones Networking'!$C:$J,6,FALSE)),"",VLOOKUP($C28,'Intervenciones Networking'!$C:$J,6,FALSE))</f>
        <v/>
      </c>
      <c r="I28" s="96" t="str">
        <f>IF(ISBLANK(VLOOKUP($C28,'Intervenciones Networking'!$C:$J,7,FALSE)),"",VLOOKUP($C28,'Intervenciones Networking'!$C:$J,7,FALSE))</f>
        <v xml:space="preserve">
Cambio VRF ISBAN_USER CTC (Chema)</v>
      </c>
      <c r="J28">
        <f>VLOOKUP($C28,'Intervenciones Networking'!$C:$J,8,FALSE)</f>
        <v>0</v>
      </c>
    </row>
    <row r="29" spans="1:10">
      <c r="A29" t="s">
        <v>299</v>
      </c>
      <c r="B29" t="s">
        <v>120</v>
      </c>
      <c r="C29" s="92">
        <v>44818</v>
      </c>
      <c r="E29" t="s">
        <v>34</v>
      </c>
      <c r="F29"/>
      <c r="G29"/>
    </row>
    <row r="30" spans="1:10" ht="30">
      <c r="A30" t="s">
        <v>299</v>
      </c>
      <c r="B30" t="s">
        <v>121</v>
      </c>
      <c r="C30" s="92">
        <v>44819</v>
      </c>
      <c r="D30" t="str">
        <f>IF(ISBLANK(VLOOKUP($C30,'Intervenciones Networking'!$C:$J,3,FALSE)),"",VLOOKUP($C30,'Intervenciones Networking'!$C:$J,3,FALSE))</f>
        <v>JAB</v>
      </c>
      <c r="E30" t="s">
        <v>450</v>
      </c>
      <c r="F30" s="99">
        <f>IF(ISBLANK(VLOOKUP($C30,'Intervenciones Networking'!$C:$J,4,FALSE)),"",VLOOKUP($C30,'Intervenciones Networking'!$C:$J,4,FALSE))</f>
        <v>0.375</v>
      </c>
      <c r="G30" s="99">
        <f>VLOOKUP($C30,'Intervenciones Networking'!$C:$J,5,FALSE)</f>
        <v>0.45833333333333331</v>
      </c>
      <c r="H30" t="str">
        <f>IF(ISBLANK(VLOOKUP($C30,'Intervenciones Networking'!$C:$J,6,FALSE)),"",VLOOKUP($C30,'Intervenciones Networking'!$C:$J,6,FALSE))</f>
        <v/>
      </c>
      <c r="I30" s="96" t="str">
        <f>IF(ISBLANK(VLOOKUP($C30,'Intervenciones Networking'!$C:$J,7,FALSE)),"",VLOOKUP($C30,'Intervenciones Networking'!$C:$J,7,FALSE))</f>
        <v xml:space="preserve">
Actualizacion CETENA1 (16.12.7)</v>
      </c>
      <c r="J30">
        <f>VLOOKUP($C$2,'Intervenciones Networking'!$C:$J,8,FALSE)</f>
        <v>0</v>
      </c>
    </row>
    <row r="31" spans="1:10">
      <c r="A31" t="s">
        <v>299</v>
      </c>
      <c r="B31" t="s">
        <v>121</v>
      </c>
      <c r="C31" s="92">
        <v>44819</v>
      </c>
      <c r="E31" t="s">
        <v>34</v>
      </c>
      <c r="F31"/>
      <c r="G31"/>
    </row>
    <row r="32" spans="1:10">
      <c r="A32" t="s">
        <v>299</v>
      </c>
      <c r="B32" t="s">
        <v>311</v>
      </c>
      <c r="C32" s="92">
        <v>44820</v>
      </c>
      <c r="D32" t="str">
        <f>IF(ISBLANK(VLOOKUP($C32,'Intervenciones Networking'!$C:$J,3,FALSE)),"",VLOOKUP($C32,'Intervenciones Networking'!$C:$J,3,FALSE))</f>
        <v/>
      </c>
      <c r="E32" t="s">
        <v>450</v>
      </c>
      <c r="F32" s="99">
        <f>IF(ISBLANK(VLOOKUP($C32,'Intervenciones Networking'!$C:$J,4,FALSE)),"",VLOOKUP($C32,'Intervenciones Networking'!$C:$J,4,FALSE))</f>
        <v>0.375</v>
      </c>
      <c r="G32" s="99">
        <f>VLOOKUP($C32,'Intervenciones Networking'!$C:$J,5,FALSE)</f>
        <v>0.45833333333333331</v>
      </c>
      <c r="H32" t="str">
        <f>IF(ISBLANK(VLOOKUP($C32,'Intervenciones Networking'!$C:$J,6,FALSE)),"",VLOOKUP($C32,'Intervenciones Networking'!$C:$J,6,FALSE))</f>
        <v/>
      </c>
      <c r="I32" s="96" t="str">
        <f>IF(ISBLANK(VLOOKUP($C32,'Intervenciones Networking'!$C:$J,7,FALSE)),"",VLOOKUP($C32,'Intervenciones Networking'!$C:$J,7,FALSE))</f>
        <v/>
      </c>
      <c r="J32">
        <f>VLOOKUP($C$2,'Intervenciones Networking'!$C:$J,8,FALSE)</f>
        <v>0</v>
      </c>
    </row>
    <row r="33" spans="1:10">
      <c r="A33" t="s">
        <v>299</v>
      </c>
      <c r="B33" t="s">
        <v>311</v>
      </c>
      <c r="C33" s="92">
        <v>44820</v>
      </c>
      <c r="E33" t="s">
        <v>34</v>
      </c>
      <c r="F33"/>
      <c r="G33"/>
    </row>
    <row r="34" spans="1:10">
      <c r="A34" t="s">
        <v>299</v>
      </c>
      <c r="B34" t="s">
        <v>123</v>
      </c>
      <c r="C34" s="92">
        <v>44821</v>
      </c>
      <c r="D34" t="str">
        <f>IF(ISBLANK(VLOOKUP($C34,'Intervenciones Networking'!$C:$J,3,FALSE)),"",VLOOKUP($C34,'Intervenciones Networking'!$C:$J,3,FALSE))</f>
        <v>FLD</v>
      </c>
      <c r="E34" t="s">
        <v>450</v>
      </c>
      <c r="F34" s="99">
        <f>IF(ISBLANK(VLOOKUP($C34,'Intervenciones Networking'!$C:$J,4,FALSE)),"",VLOOKUP($C34,'Intervenciones Networking'!$C:$J,4,FALSE))</f>
        <v>0.375</v>
      </c>
      <c r="G34" s="99">
        <f>VLOOKUP($C34,'Intervenciones Networking'!$C:$J,5,FALSE)</f>
        <v>0.45833333333333331</v>
      </c>
      <c r="H34" t="str">
        <f>IF(ISBLANK(VLOOKUP($C34,'Intervenciones Networking'!$C:$J,6,FALSE)),"",VLOOKUP($C34,'Intervenciones Networking'!$C:$J,6,FALSE))</f>
        <v/>
      </c>
      <c r="I34" s="96" t="str">
        <f>IF(ISBLANK(VLOOKUP($C34,'Intervenciones Networking'!$C:$J,7,FALSE)),"",VLOOKUP($C34,'Intervenciones Networking'!$C:$J,7,FALSE))</f>
        <v>Cambio Actualizacion AOS8 Luca de Tena, Abelias, Master y Backup</v>
      </c>
      <c r="J34">
        <f>VLOOKUP($C$2,'Intervenciones Networking'!$C:$J,8,FALSE)</f>
        <v>0</v>
      </c>
    </row>
    <row r="35" spans="1:10">
      <c r="A35" t="s">
        <v>299</v>
      </c>
      <c r="B35" t="s">
        <v>123</v>
      </c>
      <c r="C35" s="92">
        <v>44821</v>
      </c>
      <c r="E35" t="s">
        <v>34</v>
      </c>
      <c r="F35"/>
      <c r="G35"/>
    </row>
    <row r="36" spans="1:10">
      <c r="A36" t="s">
        <v>299</v>
      </c>
      <c r="B36" t="s">
        <v>124</v>
      </c>
      <c r="C36" s="92">
        <v>44822</v>
      </c>
      <c r="D36" t="str">
        <f>IF(ISBLANK(VLOOKUP($C36,'Intervenciones Networking'!$C:$J,3,FALSE)),"",VLOOKUP($C36,'Intervenciones Networking'!$C:$J,3,FALSE))</f>
        <v/>
      </c>
      <c r="E36" t="s">
        <v>450</v>
      </c>
      <c r="F36" s="99">
        <f>IF(ISBLANK(VLOOKUP($C36,'Intervenciones Networking'!$C:$J,4,FALSE)),"",VLOOKUP($C36,'Intervenciones Networking'!$C:$J,4,FALSE))</f>
        <v>0.375</v>
      </c>
      <c r="G36" s="99">
        <f>VLOOKUP($C36,'Intervenciones Networking'!$C:$J,5,FALSE)</f>
        <v>0.45833333333333331</v>
      </c>
      <c r="H36" t="str">
        <f>IF(ISBLANK(VLOOKUP($C36,'Intervenciones Networking'!$C:$J,6,FALSE)),"",VLOOKUP($C36,'Intervenciones Networking'!$C:$J,6,FALSE))</f>
        <v/>
      </c>
      <c r="I36" s="96" t="str">
        <f>IF(ISBLANK(VLOOKUP($C36,'Intervenciones Networking'!$C:$J,7,FALSE)),"",VLOOKUP($C36,'Intervenciones Networking'!$C:$J,7,FALSE))</f>
        <v/>
      </c>
      <c r="J36">
        <f>VLOOKUP($C$2,'Intervenciones Networking'!$C:$J,8,FALSE)</f>
        <v>0</v>
      </c>
    </row>
    <row r="37" spans="1:10">
      <c r="A37" t="s">
        <v>299</v>
      </c>
      <c r="B37" t="s">
        <v>124</v>
      </c>
      <c r="C37" s="92">
        <v>44822</v>
      </c>
      <c r="E37" t="s">
        <v>34</v>
      </c>
      <c r="F37"/>
      <c r="G37"/>
    </row>
    <row r="38" spans="1:10">
      <c r="A38" t="s">
        <v>299</v>
      </c>
      <c r="B38" t="s">
        <v>125</v>
      </c>
      <c r="C38" s="92">
        <v>44823</v>
      </c>
      <c r="D38" t="str">
        <f>IF(ISBLANK(VLOOKUP($C38,'Intervenciones Networking'!$C:$J,3,FALSE)),"",VLOOKUP($C38,'Intervenciones Networking'!$C:$J,3,FALSE))</f>
        <v>JAB</v>
      </c>
      <c r="E38" t="s">
        <v>450</v>
      </c>
      <c r="F38" s="99">
        <f>IF(ISBLANK(VLOOKUP($C38,'Intervenciones Networking'!$C:$J,4,FALSE)),"",VLOOKUP($C38,'Intervenciones Networking'!$C:$J,4,FALSE))</f>
        <v>0.375</v>
      </c>
      <c r="G38" s="99">
        <f>VLOOKUP($C38,'Intervenciones Networking'!$C:$J,5,FALSE)</f>
        <v>0.45833333333333331</v>
      </c>
      <c r="H38" t="str">
        <f>IF(ISBLANK(VLOOKUP($C38,'Intervenciones Networking'!$C:$J,6,FALSE)),"",VLOOKUP($C38,'Intervenciones Networking'!$C:$J,6,FALSE))</f>
        <v/>
      </c>
      <c r="I38" s="96" t="str">
        <f>IF(ISBLANK(VLOOKUP($C38,'Intervenciones Networking'!$C:$J,7,FALSE)),"",VLOOKUP($C38,'Intervenciones Networking'!$C:$J,7,FALSE))</f>
        <v>Umbrella CTC</v>
      </c>
      <c r="J38">
        <f>VLOOKUP($C$2,'Intervenciones Networking'!$C:$J,8,FALSE)</f>
        <v>0</v>
      </c>
    </row>
    <row r="39" spans="1:10">
      <c r="A39" t="s">
        <v>299</v>
      </c>
      <c r="B39" t="s">
        <v>125</v>
      </c>
      <c r="C39" s="92">
        <v>44823</v>
      </c>
      <c r="E39" t="s">
        <v>34</v>
      </c>
      <c r="F39"/>
      <c r="G39"/>
    </row>
    <row r="40" spans="1:10">
      <c r="A40" t="s">
        <v>299</v>
      </c>
      <c r="B40" t="s">
        <v>460</v>
      </c>
      <c r="C40" s="92">
        <v>44824</v>
      </c>
      <c r="D40" t="str">
        <f>IF(ISBLANK(VLOOKUP($C40,'Intervenciones Networking'!$C:$J,3,FALSE)),"",VLOOKUP($C40,'Intervenciones Networking'!$C:$J,3,FALSE))</f>
        <v/>
      </c>
      <c r="E40" t="s">
        <v>450</v>
      </c>
      <c r="F40" s="99" t="str">
        <f>IF(ISBLANK(VLOOKUP($C40,'Intervenciones Networking'!$C:$J,4,FALSE)),"",VLOOKUP($C40,'Intervenciones Networking'!$C:$J,4,FALSE))</f>
        <v/>
      </c>
      <c r="G40" s="99">
        <f>VLOOKUP($C40,'Intervenciones Networking'!$C:$J,5,FALSE)</f>
        <v>0</v>
      </c>
      <c r="H40" t="str">
        <f>IF(ISBLANK(VLOOKUP($C40,'Intervenciones Networking'!$C:$J,6,FALSE)),"",VLOOKUP($C40,'Intervenciones Networking'!$C:$J,6,FALSE))</f>
        <v/>
      </c>
      <c r="I40" s="96" t="str">
        <f>IF(ISBLANK(VLOOKUP($C40,'Intervenciones Networking'!$C:$J,7,FALSE)),"",VLOOKUP($C40,'Intervenciones Networking'!$C:$J,7,FALSE))</f>
        <v>Renove WLC SC Francia</v>
      </c>
      <c r="J40">
        <f>VLOOKUP($C$2,'Intervenciones Networking'!$C:$J,8,FALSE)</f>
        <v>0</v>
      </c>
    </row>
    <row r="41" spans="1:10">
      <c r="A41" t="s">
        <v>299</v>
      </c>
      <c r="B41" t="s">
        <v>460</v>
      </c>
      <c r="C41" s="92">
        <v>44824</v>
      </c>
      <c r="E41" t="s">
        <v>34</v>
      </c>
      <c r="F41"/>
      <c r="G41"/>
    </row>
    <row r="42" spans="1:10">
      <c r="A42" t="s">
        <v>299</v>
      </c>
      <c r="B42" t="s">
        <v>120</v>
      </c>
      <c r="C42" s="92">
        <v>44825</v>
      </c>
      <c r="D42" t="str">
        <f>IF(ISBLANK(VLOOKUP($C42,'Intervenciones Networking'!$C:$J,3,FALSE)),"",VLOOKUP($C42,'Intervenciones Networking'!$C:$J,3,FALSE))</f>
        <v/>
      </c>
      <c r="E42" t="s">
        <v>450</v>
      </c>
      <c r="F42" s="99" t="str">
        <f>IF(ISBLANK(VLOOKUP($C42,'Intervenciones Networking'!$C:$J,4,FALSE)),"",VLOOKUP($C42,'Intervenciones Networking'!$C:$J,4,FALSE))</f>
        <v/>
      </c>
      <c r="G42" s="99">
        <f>VLOOKUP($C42,'Intervenciones Networking'!$C:$J,5,FALSE)</f>
        <v>0</v>
      </c>
      <c r="H42" t="str">
        <f>IF(ISBLANK(VLOOKUP($C42,'Intervenciones Networking'!$C:$J,6,FALSE)),"",VLOOKUP($C42,'Intervenciones Networking'!$C:$J,6,FALSE))</f>
        <v/>
      </c>
      <c r="I42" s="96" t="str">
        <f>IF(ISBLANK(VLOOKUP($C42,'Intervenciones Networking'!$C:$J,7,FALSE)),"",VLOOKUP($C42,'Intervenciones Networking'!$C:$J,7,FALSE))</f>
        <v>Umbrella Openbank- Resto</v>
      </c>
      <c r="J42">
        <f>VLOOKUP($C$2,'Intervenciones Networking'!$C:$J,8,FALSE)</f>
        <v>0</v>
      </c>
    </row>
    <row r="43" spans="1:10">
      <c r="A43" t="s">
        <v>299</v>
      </c>
      <c r="B43" t="s">
        <v>120</v>
      </c>
      <c r="C43" s="92">
        <v>44825</v>
      </c>
      <c r="E43" t="s">
        <v>34</v>
      </c>
      <c r="F43"/>
      <c r="G43"/>
    </row>
    <row r="44" spans="1:10">
      <c r="A44" t="s">
        <v>299</v>
      </c>
      <c r="B44" t="s">
        <v>121</v>
      </c>
      <c r="C44" s="92">
        <v>44826</v>
      </c>
      <c r="D44" t="str">
        <f>IF(ISBLANK(VLOOKUP($C44,'Intervenciones Networking'!$C:$J,3,FALSE)),"",VLOOKUP($C44,'Intervenciones Networking'!$C:$J,3,FALSE))</f>
        <v>JAB</v>
      </c>
      <c r="E44" t="s">
        <v>450</v>
      </c>
      <c r="F44" s="99" t="str">
        <f>IF(ISBLANK(VLOOKUP($C44,'Intervenciones Networking'!$C:$J,4,FALSE)),"",VLOOKUP($C44,'Intervenciones Networking'!$C:$J,4,FALSE))</f>
        <v/>
      </c>
      <c r="G44" s="99">
        <f>VLOOKUP($C44,'Intervenciones Networking'!$C:$J,5,FALSE)</f>
        <v>0</v>
      </c>
      <c r="H44" t="str">
        <f>IF(ISBLANK(VLOOKUP($C44,'Intervenciones Networking'!$C:$J,6,FALSE)),"",VLOOKUP($C44,'Intervenciones Networking'!$C:$J,6,FALSE))</f>
        <v/>
      </c>
      <c r="I44" s="96" t="str">
        <f>IF(ISBLANK(VLOOKUP($C44,'Intervenciones Networking'!$C:$J,7,FALSE)),"",VLOOKUP($C44,'Intervenciones Networking'!$C:$J,7,FALSE))</f>
        <v>Actualizacion CETENA2 (16.12.7)</v>
      </c>
      <c r="J44">
        <f>VLOOKUP($C$2,'Intervenciones Networking'!$C:$J,8,FALSE)</f>
        <v>0</v>
      </c>
    </row>
    <row r="45" spans="1:10">
      <c r="A45" t="s">
        <v>299</v>
      </c>
      <c r="B45" t="s">
        <v>121</v>
      </c>
      <c r="C45" s="92">
        <v>44826</v>
      </c>
      <c r="E45" t="s">
        <v>34</v>
      </c>
      <c r="F45"/>
      <c r="G45"/>
    </row>
    <row r="46" spans="1:10">
      <c r="A46" t="s">
        <v>299</v>
      </c>
      <c r="B46" t="s">
        <v>311</v>
      </c>
      <c r="C46" s="92">
        <v>44827</v>
      </c>
      <c r="D46" t="str">
        <f>IF(ISBLANK(VLOOKUP($C46,'Intervenciones Networking'!$C:$J,3,FALSE)),"",VLOOKUP($C46,'Intervenciones Networking'!$C:$J,3,FALSE))</f>
        <v/>
      </c>
      <c r="E46" t="s">
        <v>450</v>
      </c>
      <c r="F46" s="99" t="str">
        <f>IF(ISBLANK(VLOOKUP($C46,'Intervenciones Networking'!$C:$J,4,FALSE)),"",VLOOKUP($C46,'Intervenciones Networking'!$C:$J,4,FALSE))</f>
        <v/>
      </c>
      <c r="G46" s="99">
        <f>VLOOKUP($C46,'Intervenciones Networking'!$C:$J,5,FALSE)</f>
        <v>0</v>
      </c>
      <c r="H46" t="str">
        <f>IF(ISBLANK(VLOOKUP($C46,'Intervenciones Networking'!$C:$J,6,FALSE)),"",VLOOKUP($C46,'Intervenciones Networking'!$C:$J,6,FALSE))</f>
        <v/>
      </c>
      <c r="I46" s="96" t="str">
        <f>IF(ISBLANK(VLOOKUP($C46,'Intervenciones Networking'!$C:$J,7,FALSE)),"",VLOOKUP($C46,'Intervenciones Networking'!$C:$J,7,FALSE))</f>
        <v/>
      </c>
      <c r="J46">
        <f>VLOOKUP($C$2,'Intervenciones Networking'!$C:$J,8,FALSE)</f>
        <v>0</v>
      </c>
    </row>
    <row r="47" spans="1:10">
      <c r="A47" t="s">
        <v>299</v>
      </c>
      <c r="B47" t="s">
        <v>311</v>
      </c>
      <c r="C47" s="92">
        <v>44827</v>
      </c>
      <c r="E47" t="s">
        <v>34</v>
      </c>
      <c r="F47"/>
      <c r="G47"/>
    </row>
    <row r="48" spans="1:10" ht="60">
      <c r="A48" t="s">
        <v>299</v>
      </c>
      <c r="B48" t="s">
        <v>123</v>
      </c>
      <c r="C48" s="92">
        <v>44828</v>
      </c>
      <c r="D48" t="str">
        <f>IF(ISBLANK(VLOOKUP($C48,'Intervenciones Networking'!$C:$J,3,FALSE)),"",VLOOKUP($C48,'Intervenciones Networking'!$C:$J,3,FALSE))</f>
        <v>JAB</v>
      </c>
      <c r="E48" t="s">
        <v>450</v>
      </c>
      <c r="F48" s="99" t="str">
        <f>IF(ISBLANK(VLOOKUP($C48,'Intervenciones Networking'!$C:$J,4,FALSE)),"",VLOOKUP($C48,'Intervenciones Networking'!$C:$J,4,FALSE))</f>
        <v/>
      </c>
      <c r="G48" s="99">
        <f>VLOOKUP($C48,'Intervenciones Networking'!$C:$J,5,FALSE)</f>
        <v>0</v>
      </c>
      <c r="H48" t="str">
        <f>IF(ISBLANK(VLOOKUP($C48,'Intervenciones Networking'!$C:$J,6,FALSE)),"",VLOOKUP($C48,'Intervenciones Networking'!$C:$J,6,FALSE))</f>
        <v/>
      </c>
      <c r="I48" s="96" t="str">
        <f>IF(ISBLANK(VLOOKUP($C48,'Intervenciones Networking'!$C:$J,7,FALSE)),"",VLOOKUP($C48,'Intervenciones Networking'!$C:$J,7,FALSE))</f>
        <v xml:space="preserve">
Migración red cableada Edificio Marisma
Actualizacion cisco Fase I Abelias
</v>
      </c>
      <c r="J48">
        <f>VLOOKUP($C$2,'Intervenciones Networking'!$C:$J,8,FALSE)</f>
        <v>0</v>
      </c>
    </row>
    <row r="49" spans="1:10">
      <c r="A49" t="s">
        <v>299</v>
      </c>
      <c r="B49" t="s">
        <v>123</v>
      </c>
      <c r="C49" s="92">
        <v>44828</v>
      </c>
      <c r="E49" t="s">
        <v>34</v>
      </c>
      <c r="F49"/>
      <c r="G49"/>
    </row>
    <row r="50" spans="1:10">
      <c r="A50" t="s">
        <v>299</v>
      </c>
      <c r="B50" t="s">
        <v>124</v>
      </c>
      <c r="C50" s="92">
        <v>44829</v>
      </c>
      <c r="D50" t="str">
        <f>IF(ISBLANK(VLOOKUP($C50,'Intervenciones Networking'!$C:$J,3,FALSE)),"",VLOOKUP($C50,'Intervenciones Networking'!$C:$J,3,FALSE))</f>
        <v/>
      </c>
      <c r="E50" t="s">
        <v>450</v>
      </c>
      <c r="F50" s="99" t="str">
        <f>IF(ISBLANK(VLOOKUP($C50,'Intervenciones Networking'!$C:$J,4,FALSE)),"",VLOOKUP($C50,'Intervenciones Networking'!$C:$J,4,FALSE))</f>
        <v/>
      </c>
      <c r="G50" s="99">
        <f>VLOOKUP($C50,'Intervenciones Networking'!$C:$J,5,FALSE)</f>
        <v>0</v>
      </c>
      <c r="H50" t="str">
        <f>IF(ISBLANK(VLOOKUP($C50,'Intervenciones Networking'!$C:$J,6,FALSE)),"",VLOOKUP($C50,'Intervenciones Networking'!$C:$J,6,FALSE))</f>
        <v/>
      </c>
      <c r="I50" s="96" t="str">
        <f>IF(ISBLANK(VLOOKUP($C50,'Intervenciones Networking'!$C:$J,7,FALSE)),"",VLOOKUP($C50,'Intervenciones Networking'!$C:$J,7,FALSE))</f>
        <v/>
      </c>
      <c r="J50">
        <f>VLOOKUP($C$2,'Intervenciones Networking'!$C:$J,8,FALSE)</f>
        <v>0</v>
      </c>
    </row>
    <row r="51" spans="1:10">
      <c r="A51" t="s">
        <v>299</v>
      </c>
      <c r="B51" t="s">
        <v>124</v>
      </c>
      <c r="C51" s="92">
        <v>44829</v>
      </c>
      <c r="E51" t="s">
        <v>34</v>
      </c>
      <c r="F51"/>
      <c r="G51"/>
    </row>
    <row r="52" spans="1:10">
      <c r="A52" t="s">
        <v>299</v>
      </c>
      <c r="B52" t="s">
        <v>125</v>
      </c>
      <c r="C52" s="92">
        <v>44830</v>
      </c>
      <c r="D52" t="str">
        <f>IF(ISBLANK(VLOOKUP($C52,'Intervenciones Networking'!$C:$J,3,FALSE)),"",VLOOKUP($C52,'Intervenciones Networking'!$C:$J,3,FALSE))</f>
        <v/>
      </c>
      <c r="E52" t="s">
        <v>450</v>
      </c>
      <c r="F52" s="99" t="str">
        <f>IF(ISBLANK(VLOOKUP($C52,'Intervenciones Networking'!$C:$J,4,FALSE)),"",VLOOKUP($C52,'Intervenciones Networking'!$C:$J,4,FALSE))</f>
        <v/>
      </c>
      <c r="G52" s="99">
        <f>VLOOKUP($C52,'Intervenciones Networking'!$C:$J,5,FALSE)</f>
        <v>0</v>
      </c>
      <c r="H52" t="str">
        <f>IF(ISBLANK(VLOOKUP($C52,'Intervenciones Networking'!$C:$J,6,FALSE)),"",VLOOKUP($C52,'Intervenciones Networking'!$C:$J,6,FALSE))</f>
        <v/>
      </c>
      <c r="I52" s="96" t="str">
        <f>IF(ISBLANK(VLOOKUP($C52,'Intervenciones Networking'!$C:$J,7,FALSE)),"",VLOOKUP($C52,'Intervenciones Networking'!$C:$J,7,FALSE))</f>
        <v/>
      </c>
    </row>
    <row r="53" spans="1:10">
      <c r="A53" t="s">
        <v>299</v>
      </c>
      <c r="B53" t="s">
        <v>125</v>
      </c>
      <c r="C53" s="92">
        <v>44830</v>
      </c>
      <c r="E53" t="s">
        <v>34</v>
      </c>
      <c r="F53"/>
      <c r="G53"/>
    </row>
    <row r="54" spans="1:10">
      <c r="A54" t="s">
        <v>299</v>
      </c>
      <c r="B54" t="s">
        <v>460</v>
      </c>
      <c r="C54" s="92">
        <v>44831</v>
      </c>
      <c r="D54" t="str">
        <f>IF(ISBLANK(VLOOKUP($C54,'Intervenciones Networking'!$C:$J,3,FALSE)),"",VLOOKUP($C54,'Intervenciones Networking'!$C:$J,3,FALSE))</f>
        <v/>
      </c>
      <c r="E54" t="s">
        <v>450</v>
      </c>
      <c r="F54" s="99" t="str">
        <f>IF(ISBLANK(VLOOKUP($C54,'Intervenciones Networking'!$C:$J,4,FALSE)),"",VLOOKUP($C54,'Intervenciones Networking'!$C:$J,4,FALSE))</f>
        <v/>
      </c>
      <c r="G54" s="99">
        <f>VLOOKUP($C54,'Intervenciones Networking'!$C:$J,5,FALSE)</f>
        <v>0</v>
      </c>
      <c r="H54" t="str">
        <f>IF(ISBLANK(VLOOKUP($C54,'Intervenciones Networking'!$C:$J,6,FALSE)),"",VLOOKUP($C54,'Intervenciones Networking'!$C:$J,6,FALSE))</f>
        <v/>
      </c>
      <c r="I54" s="96" t="str">
        <f>IF(ISBLANK(VLOOKUP($C54,'Intervenciones Networking'!$C:$J,7,FALSE)),"",VLOOKUP($C54,'Intervenciones Networking'!$C:$J,7,FALSE))</f>
        <v/>
      </c>
    </row>
    <row r="55" spans="1:10">
      <c r="A55" t="s">
        <v>299</v>
      </c>
      <c r="B55" t="s">
        <v>460</v>
      </c>
      <c r="C55" s="92">
        <v>44831</v>
      </c>
      <c r="E55" t="s">
        <v>34</v>
      </c>
      <c r="F55"/>
      <c r="G55"/>
    </row>
    <row r="56" spans="1:10">
      <c r="A56" t="s">
        <v>299</v>
      </c>
      <c r="B56" t="s">
        <v>120</v>
      </c>
      <c r="C56" s="92">
        <v>44832</v>
      </c>
      <c r="D56" t="str">
        <f>IF(ISBLANK(VLOOKUP($C56,'Intervenciones Networking'!$C:$J,3,FALSE)),"",VLOOKUP($C56,'Intervenciones Networking'!$C:$J,3,FALSE))</f>
        <v/>
      </c>
      <c r="E56" t="s">
        <v>450</v>
      </c>
      <c r="F56" s="99" t="str">
        <f>IF(ISBLANK(VLOOKUP($C56,'Intervenciones Networking'!$C:$J,4,FALSE)),"",VLOOKUP($C56,'Intervenciones Networking'!$C:$J,4,FALSE))</f>
        <v/>
      </c>
      <c r="G56" s="99">
        <f>VLOOKUP($C56,'Intervenciones Networking'!$C:$J,5,FALSE)</f>
        <v>0</v>
      </c>
      <c r="H56" t="str">
        <f>IF(ISBLANK(VLOOKUP($C56,'Intervenciones Networking'!$C:$J,6,FALSE)),"",VLOOKUP($C56,'Intervenciones Networking'!$C:$J,6,FALSE))</f>
        <v/>
      </c>
      <c r="I56" s="96" t="str">
        <f>IF(ISBLANK(VLOOKUP($C56,'Intervenciones Networking'!$C:$J,7,FALSE)),"",VLOOKUP($C56,'Intervenciones Networking'!$C:$J,7,FALSE))</f>
        <v/>
      </c>
    </row>
    <row r="57" spans="1:10">
      <c r="A57" t="s">
        <v>299</v>
      </c>
      <c r="B57" t="s">
        <v>120</v>
      </c>
      <c r="C57" s="92">
        <v>44832</v>
      </c>
      <c r="E57" t="s">
        <v>34</v>
      </c>
      <c r="F57"/>
      <c r="G57"/>
    </row>
    <row r="58" spans="1:10">
      <c r="A58" t="s">
        <v>299</v>
      </c>
      <c r="B58" t="s">
        <v>121</v>
      </c>
      <c r="C58" s="92">
        <v>44833</v>
      </c>
      <c r="D58" t="str">
        <f>IF(ISBLANK(VLOOKUP($C58,'Intervenciones Networking'!$C:$J,3,FALSE)),"",VLOOKUP($C58,'Intervenciones Networking'!$C:$J,3,FALSE))</f>
        <v/>
      </c>
      <c r="E58" t="s">
        <v>450</v>
      </c>
      <c r="F58" s="99" t="str">
        <f>IF(ISBLANK(VLOOKUP($C58,'Intervenciones Networking'!$C:$J,4,FALSE)),"",VLOOKUP($C58,'Intervenciones Networking'!$C:$J,4,FALSE))</f>
        <v/>
      </c>
      <c r="G58" s="99">
        <f>VLOOKUP($C58,'Intervenciones Networking'!$C:$J,5,FALSE)</f>
        <v>0</v>
      </c>
      <c r="H58" t="str">
        <f>IF(ISBLANK(VLOOKUP($C58,'Intervenciones Networking'!$C:$J,6,FALSE)),"",VLOOKUP($C58,'Intervenciones Networking'!$C:$J,6,FALSE))</f>
        <v/>
      </c>
      <c r="I58" s="96" t="str">
        <f>IF(ISBLANK(VLOOKUP($C58,'Intervenciones Networking'!$C:$J,7,FALSE)),"",VLOOKUP($C58,'Intervenciones Networking'!$C:$J,7,FALSE))</f>
        <v/>
      </c>
    </row>
    <row r="59" spans="1:10">
      <c r="A59" t="s">
        <v>299</v>
      </c>
      <c r="B59" t="s">
        <v>121</v>
      </c>
      <c r="C59" s="92">
        <v>44833</v>
      </c>
      <c r="E59" t="s">
        <v>34</v>
      </c>
      <c r="F59"/>
      <c r="G59"/>
    </row>
    <row r="60" spans="1:10">
      <c r="A60" t="s">
        <v>299</v>
      </c>
      <c r="B60" t="s">
        <v>311</v>
      </c>
      <c r="C60" s="92">
        <v>44834</v>
      </c>
      <c r="D60" t="str">
        <f>IF(ISBLANK(VLOOKUP($C60,'Intervenciones Networking'!$C:$J,3,FALSE)),"",VLOOKUP($C60,'Intervenciones Networking'!$C:$J,3,FALSE))</f>
        <v/>
      </c>
      <c r="E60" t="s">
        <v>450</v>
      </c>
      <c r="F60" s="99" t="str">
        <f>IF(ISBLANK(VLOOKUP($C60,'Intervenciones Networking'!$C:$J,4,FALSE)),"",VLOOKUP($C60,'Intervenciones Networking'!$C:$J,4,FALSE))</f>
        <v/>
      </c>
      <c r="G60" s="99">
        <f>VLOOKUP($C60,'Intervenciones Networking'!$C:$J,5,FALSE)</f>
        <v>0</v>
      </c>
      <c r="H60" t="str">
        <f>IF(ISBLANK(VLOOKUP($C60,'Intervenciones Networking'!$C:$J,6,FALSE)),"",VLOOKUP($C60,'Intervenciones Networking'!$C:$J,6,FALSE))</f>
        <v/>
      </c>
      <c r="I60" s="96" t="str">
        <f>IF(ISBLANK(VLOOKUP($C60,'Intervenciones Networking'!$C:$J,7,FALSE)),"",VLOOKUP($C60,'Intervenciones Networking'!$C:$J,7,FALSE))</f>
        <v/>
      </c>
    </row>
    <row r="61" spans="1:10">
      <c r="A61" t="s">
        <v>299</v>
      </c>
      <c r="B61" t="s">
        <v>311</v>
      </c>
      <c r="C61" s="92">
        <v>44834</v>
      </c>
      <c r="E61" t="s">
        <v>34</v>
      </c>
      <c r="F61"/>
      <c r="G61"/>
    </row>
    <row r="62" spans="1:10">
      <c r="A62" t="s">
        <v>461</v>
      </c>
      <c r="B62" t="s">
        <v>123</v>
      </c>
      <c r="C62" s="92">
        <v>44835</v>
      </c>
      <c r="D62" t="str">
        <f>IF(ISBLANK(VLOOKUP($C62,'Intervenciones Networking'!$C:$J,3,FALSE)),"",VLOOKUP($C62,'Intervenciones Networking'!$C:$J,3,FALSE))</f>
        <v>Técnico</v>
      </c>
      <c r="E62" t="s">
        <v>450</v>
      </c>
      <c r="F62" s="99" t="str">
        <f>IF(ISBLANK(VLOOKUP($C62,'Intervenciones Networking'!$C:$J,4,FALSE)),"",VLOOKUP($C62,'Intervenciones Networking'!$C:$J,4,FALSE))</f>
        <v>Hora</v>
      </c>
      <c r="G62" s="99">
        <f>VLOOKUP($C62,'Intervenciones Networking'!$C:$J,5,FALSE)</f>
        <v>0</v>
      </c>
      <c r="H62" t="str">
        <f>IF(ISBLANK(VLOOKUP($C62,'Intervenciones Networking'!$C:$J,6,FALSE)),"",VLOOKUP($C62,'Intervenciones Networking'!$C:$J,6,FALSE))</f>
        <v>Referencia</v>
      </c>
      <c r="I62" s="96" t="str">
        <f>IF(ISBLANK(VLOOKUP($C62,'Intervenciones Networking'!$C:$J,7,FALSE)),"",VLOOKUP($C62,'Intervenciones Networking'!$C:$J,7,FALSE))</f>
        <v>Descripción</v>
      </c>
    </row>
    <row r="63" spans="1:10">
      <c r="A63" t="s">
        <v>461</v>
      </c>
      <c r="B63" t="s">
        <v>123</v>
      </c>
      <c r="C63" s="92">
        <v>44835</v>
      </c>
      <c r="E63" t="s">
        <v>34</v>
      </c>
      <c r="F63"/>
      <c r="G63"/>
    </row>
    <row r="64" spans="1:10">
      <c r="A64" t="s">
        <v>461</v>
      </c>
      <c r="B64" t="s">
        <v>124</v>
      </c>
      <c r="C64" s="92">
        <v>44836</v>
      </c>
      <c r="D64" t="e">
        <f>IF(ISBLANK(VLOOKUP($C64,'Intervenciones Networking'!$C:$J,3,FALSE)),"",VLOOKUP($C64,'Intervenciones Networking'!$C:$J,3,FALSE))</f>
        <v>#N/A</v>
      </c>
      <c r="E64" t="s">
        <v>450</v>
      </c>
      <c r="F64" s="99" t="e">
        <f>IF(ISBLANK(VLOOKUP($C64,'Intervenciones Networking'!$C:$J,4,FALSE)),"",VLOOKUP($C64,'Intervenciones Networking'!$C:$J,4,FALSE))</f>
        <v>#N/A</v>
      </c>
      <c r="G64" s="99" t="e">
        <f>VLOOKUP($C64,'Intervenciones Networking'!$C:$J,5,FALSE)</f>
        <v>#N/A</v>
      </c>
      <c r="H64" t="e">
        <f>IF(ISBLANK(VLOOKUP($C64,'Intervenciones Networking'!$C:$J,6,FALSE)),"",VLOOKUP($C64,'Intervenciones Networking'!$C:$J,6,FALSE))</f>
        <v>#N/A</v>
      </c>
      <c r="I64" s="96" t="e">
        <f>IF(ISBLANK(VLOOKUP($C64,'Intervenciones Networking'!$C:$J,7,FALSE)),"",VLOOKUP($C64,'Intervenciones Networking'!$C:$J,7,FALSE))</f>
        <v>#N/A</v>
      </c>
    </row>
    <row r="65" spans="1:9">
      <c r="A65" t="s">
        <v>461</v>
      </c>
      <c r="B65" t="s">
        <v>124</v>
      </c>
      <c r="C65" s="92">
        <v>44836</v>
      </c>
      <c r="E65" t="s">
        <v>34</v>
      </c>
      <c r="F65"/>
      <c r="G65"/>
    </row>
    <row r="66" spans="1:9">
      <c r="A66" t="s">
        <v>461</v>
      </c>
      <c r="B66" t="s">
        <v>125</v>
      </c>
      <c r="C66" s="92">
        <v>44837</v>
      </c>
      <c r="D66" t="e">
        <f>IF(ISBLANK(VLOOKUP($C66,'Intervenciones Networking'!$C:$J,3,FALSE)),"",VLOOKUP($C66,'Intervenciones Networking'!$C:$J,3,FALSE))</f>
        <v>#N/A</v>
      </c>
      <c r="E66" t="s">
        <v>450</v>
      </c>
      <c r="F66" s="99" t="e">
        <f>IF(ISBLANK(VLOOKUP($C66,'Intervenciones Networking'!$C:$J,4,FALSE)),"",VLOOKUP($C66,'Intervenciones Networking'!$C:$J,4,FALSE))</f>
        <v>#N/A</v>
      </c>
      <c r="G66" s="99" t="e">
        <f>VLOOKUP($C66,'Intervenciones Networking'!$C:$J,5,FALSE)</f>
        <v>#N/A</v>
      </c>
      <c r="H66" t="e">
        <f>IF(ISBLANK(VLOOKUP($C66,'Intervenciones Networking'!$C:$J,6,FALSE)),"",VLOOKUP($C66,'Intervenciones Networking'!$C:$J,6,FALSE))</f>
        <v>#N/A</v>
      </c>
      <c r="I66" s="96" t="e">
        <f>IF(ISBLANK(VLOOKUP($C66,'Intervenciones Networking'!$C:$J,7,FALSE)),"",VLOOKUP($C66,'Intervenciones Networking'!$C:$J,7,FALSE))</f>
        <v>#N/A</v>
      </c>
    </row>
    <row r="67" spans="1:9">
      <c r="A67" t="s">
        <v>461</v>
      </c>
      <c r="B67" t="s">
        <v>125</v>
      </c>
      <c r="C67" s="92">
        <v>44837</v>
      </c>
      <c r="E67" t="s">
        <v>34</v>
      </c>
      <c r="F67"/>
      <c r="G67"/>
    </row>
    <row r="68" spans="1:9">
      <c r="A68" t="s">
        <v>461</v>
      </c>
      <c r="B68" t="s">
        <v>460</v>
      </c>
      <c r="C68" s="92">
        <v>44838</v>
      </c>
      <c r="D68" t="e">
        <f>IF(ISBLANK(VLOOKUP($C68,'Intervenciones Networking'!$C:$J,3,FALSE)),"",VLOOKUP($C68,'Intervenciones Networking'!$C:$J,3,FALSE))</f>
        <v>#N/A</v>
      </c>
      <c r="E68" t="s">
        <v>450</v>
      </c>
      <c r="F68" s="99" t="e">
        <f>IF(ISBLANK(VLOOKUP($C68,'Intervenciones Networking'!$C:$J,4,FALSE)),"",VLOOKUP($C68,'Intervenciones Networking'!$C:$J,4,FALSE))</f>
        <v>#N/A</v>
      </c>
      <c r="G68" s="99" t="e">
        <f>VLOOKUP($C68,'Intervenciones Networking'!$C:$J,5,FALSE)</f>
        <v>#N/A</v>
      </c>
      <c r="H68" t="e">
        <f>IF(ISBLANK(VLOOKUP($C68,'Intervenciones Networking'!$C:$J,6,FALSE)),"",VLOOKUP($C68,'Intervenciones Networking'!$C:$J,6,FALSE))</f>
        <v>#N/A</v>
      </c>
      <c r="I68" s="96" t="e">
        <f>IF(ISBLANK(VLOOKUP($C68,'Intervenciones Networking'!$C:$J,7,FALSE)),"",VLOOKUP($C68,'Intervenciones Networking'!$C:$J,7,FALSE))</f>
        <v>#N/A</v>
      </c>
    </row>
    <row r="69" spans="1:9">
      <c r="A69" t="s">
        <v>461</v>
      </c>
      <c r="B69" t="s">
        <v>460</v>
      </c>
      <c r="C69" s="92">
        <v>44838</v>
      </c>
      <c r="E69" t="s">
        <v>34</v>
      </c>
      <c r="F69"/>
      <c r="G69"/>
    </row>
    <row r="70" spans="1:9">
      <c r="A70" t="s">
        <v>461</v>
      </c>
      <c r="B70" t="s">
        <v>120</v>
      </c>
      <c r="C70" s="92">
        <v>44839</v>
      </c>
      <c r="D70" t="e">
        <f>IF(ISBLANK(VLOOKUP($C70,'Intervenciones Networking'!$C:$J,3,FALSE)),"",VLOOKUP($C70,'Intervenciones Networking'!$C:$J,3,FALSE))</f>
        <v>#N/A</v>
      </c>
      <c r="E70" t="s">
        <v>450</v>
      </c>
      <c r="F70" s="99" t="e">
        <f>IF(ISBLANK(VLOOKUP($C70,'Intervenciones Networking'!$C:$J,4,FALSE)),"",VLOOKUP($C70,'Intervenciones Networking'!$C:$J,4,FALSE))</f>
        <v>#N/A</v>
      </c>
      <c r="G70" s="99" t="e">
        <f>VLOOKUP($C70,'Intervenciones Networking'!$C:$J,5,FALSE)</f>
        <v>#N/A</v>
      </c>
      <c r="H70" t="e">
        <f>IF(ISBLANK(VLOOKUP($C70,'Intervenciones Networking'!$C:$J,6,FALSE)),"",VLOOKUP($C70,'Intervenciones Networking'!$C:$J,6,FALSE))</f>
        <v>#N/A</v>
      </c>
      <c r="I70" s="96" t="e">
        <f>IF(ISBLANK(VLOOKUP($C70,'Intervenciones Networking'!$C:$J,7,FALSE)),"",VLOOKUP($C70,'Intervenciones Networking'!$C:$J,7,FALSE))</f>
        <v>#N/A</v>
      </c>
    </row>
    <row r="71" spans="1:9">
      <c r="A71" t="s">
        <v>461</v>
      </c>
      <c r="B71" t="s">
        <v>120</v>
      </c>
      <c r="C71" s="92">
        <v>44839</v>
      </c>
      <c r="E71" t="s">
        <v>34</v>
      </c>
      <c r="F71"/>
      <c r="G71"/>
    </row>
    <row r="72" spans="1:9">
      <c r="A72" t="s">
        <v>461</v>
      </c>
      <c r="B72" t="s">
        <v>121</v>
      </c>
      <c r="C72" s="92">
        <v>44840</v>
      </c>
      <c r="D72" t="e">
        <f>IF(ISBLANK(VLOOKUP($C72,'Intervenciones Networking'!$C:$J,3,FALSE)),"",VLOOKUP($C72,'Intervenciones Networking'!$C:$J,3,FALSE))</f>
        <v>#N/A</v>
      </c>
      <c r="E72" t="s">
        <v>450</v>
      </c>
      <c r="F72" s="99" t="e">
        <f>IF(ISBLANK(VLOOKUP($C72,'Intervenciones Networking'!$C:$J,4,FALSE)),"",VLOOKUP($C72,'Intervenciones Networking'!$C:$J,4,FALSE))</f>
        <v>#N/A</v>
      </c>
      <c r="G72" s="99" t="e">
        <f>VLOOKUP($C72,'Intervenciones Networking'!$C:$J,5,FALSE)</f>
        <v>#N/A</v>
      </c>
      <c r="H72" t="e">
        <f>IF(ISBLANK(VLOOKUP($C72,'Intervenciones Networking'!$C:$J,6,FALSE)),"",VLOOKUP($C72,'Intervenciones Networking'!$C:$J,6,FALSE))</f>
        <v>#N/A</v>
      </c>
      <c r="I72" s="96" t="e">
        <f>IF(ISBLANK(VLOOKUP($C72,'Intervenciones Networking'!$C:$J,7,FALSE)),"",VLOOKUP($C72,'Intervenciones Networking'!$C:$J,7,FALSE))</f>
        <v>#N/A</v>
      </c>
    </row>
    <row r="73" spans="1:9">
      <c r="A73" t="s">
        <v>461</v>
      </c>
      <c r="B73" t="s">
        <v>121</v>
      </c>
      <c r="C73" s="92">
        <v>44840</v>
      </c>
      <c r="E73" t="s">
        <v>34</v>
      </c>
      <c r="F73"/>
      <c r="G73"/>
    </row>
    <row r="74" spans="1:9">
      <c r="A74" t="s">
        <v>461</v>
      </c>
      <c r="B74" t="s">
        <v>311</v>
      </c>
      <c r="C74" s="92">
        <v>44841</v>
      </c>
      <c r="D74" t="e">
        <f>IF(ISBLANK(VLOOKUP($C74,'Intervenciones Networking'!$C:$J,3,FALSE)),"",VLOOKUP($C74,'Intervenciones Networking'!$C:$J,3,FALSE))</f>
        <v>#N/A</v>
      </c>
      <c r="E74" t="s">
        <v>450</v>
      </c>
      <c r="F74" s="99" t="e">
        <f>IF(ISBLANK(VLOOKUP($C74,'Intervenciones Networking'!$C:$J,4,FALSE)),"",VLOOKUP($C74,'Intervenciones Networking'!$C:$J,4,FALSE))</f>
        <v>#N/A</v>
      </c>
      <c r="G74" s="99" t="e">
        <f>VLOOKUP($C74,'Intervenciones Networking'!$C:$J,5,FALSE)</f>
        <v>#N/A</v>
      </c>
      <c r="H74" t="e">
        <f>IF(ISBLANK(VLOOKUP($C74,'Intervenciones Networking'!$C:$J,6,FALSE)),"",VLOOKUP($C74,'Intervenciones Networking'!$C:$J,6,FALSE))</f>
        <v>#N/A</v>
      </c>
      <c r="I74" s="96" t="e">
        <f>IF(ISBLANK(VLOOKUP($C74,'Intervenciones Networking'!$C:$J,7,FALSE)),"",VLOOKUP($C74,'Intervenciones Networking'!$C:$J,7,FALSE))</f>
        <v>#N/A</v>
      </c>
    </row>
    <row r="75" spans="1:9">
      <c r="A75" t="s">
        <v>461</v>
      </c>
      <c r="B75" t="s">
        <v>311</v>
      </c>
      <c r="C75" s="92">
        <v>44841</v>
      </c>
      <c r="E75" t="s">
        <v>34</v>
      </c>
      <c r="F75"/>
      <c r="G75"/>
    </row>
    <row r="76" spans="1:9">
      <c r="A76" t="s">
        <v>461</v>
      </c>
      <c r="B76" t="s">
        <v>123</v>
      </c>
      <c r="C76" s="92">
        <v>44842</v>
      </c>
      <c r="D76" t="e">
        <f>IF(ISBLANK(VLOOKUP($C76,'Intervenciones Networking'!$C:$J,3,FALSE)),"",VLOOKUP($C76,'Intervenciones Networking'!$C:$J,3,FALSE))</f>
        <v>#N/A</v>
      </c>
      <c r="E76" t="s">
        <v>450</v>
      </c>
      <c r="I76" s="96" t="e">
        <f>IF(ISBLANK(VLOOKUP($C76,'Intervenciones Networking'!$C:$J,7,FALSE)),"",VLOOKUP($C76,'Intervenciones Networking'!$C:$J,7,FALSE))</f>
        <v>#N/A</v>
      </c>
    </row>
    <row r="77" spans="1:9">
      <c r="A77" t="s">
        <v>461</v>
      </c>
      <c r="B77" t="s">
        <v>123</v>
      </c>
      <c r="C77" s="92">
        <v>44842</v>
      </c>
      <c r="E77" t="s">
        <v>34</v>
      </c>
      <c r="F77"/>
      <c r="G77"/>
    </row>
    <row r="78" spans="1:9">
      <c r="A78" t="s">
        <v>461</v>
      </c>
      <c r="B78" t="s">
        <v>124</v>
      </c>
      <c r="C78" s="92">
        <v>44843</v>
      </c>
      <c r="D78" t="e">
        <f>IF(ISBLANK(VLOOKUP($C78,'Intervenciones Networking'!$C:$J,3,FALSE)),"",VLOOKUP($C78,'Intervenciones Networking'!$C:$J,3,FALSE))</f>
        <v>#N/A</v>
      </c>
      <c r="E78" t="s">
        <v>450</v>
      </c>
      <c r="I78" s="96" t="e">
        <f>IF(ISBLANK(VLOOKUP($C78,'Intervenciones Networking'!$C:$J,7,FALSE)),"",VLOOKUP($C78,'Intervenciones Networking'!$C:$J,7,FALSE))</f>
        <v>#N/A</v>
      </c>
    </row>
    <row r="79" spans="1:9">
      <c r="A79" t="s">
        <v>461</v>
      </c>
      <c r="B79" t="s">
        <v>124</v>
      </c>
      <c r="C79" s="92">
        <v>44843</v>
      </c>
      <c r="E79" t="s">
        <v>34</v>
      </c>
      <c r="F79"/>
      <c r="G79"/>
    </row>
    <row r="80" spans="1:9">
      <c r="A80" t="s">
        <v>461</v>
      </c>
      <c r="B80" t="s">
        <v>125</v>
      </c>
      <c r="C80" s="92">
        <v>44844</v>
      </c>
      <c r="D80" t="e">
        <f>IF(ISBLANK(VLOOKUP($C80,'Intervenciones Networking'!$C:$J,3,FALSE)),"",VLOOKUP($C80,'Intervenciones Networking'!$C:$J,3,FALSE))</f>
        <v>#N/A</v>
      </c>
      <c r="E80" t="s">
        <v>450</v>
      </c>
      <c r="I80" s="96" t="e">
        <f>IF(ISBLANK(VLOOKUP($C80,'Intervenciones Networking'!$C:$J,7,FALSE)),"",VLOOKUP($C80,'Intervenciones Networking'!$C:$J,7,FALSE))</f>
        <v>#N/A</v>
      </c>
    </row>
    <row r="81" spans="1:9">
      <c r="A81" t="s">
        <v>461</v>
      </c>
      <c r="B81" t="s">
        <v>125</v>
      </c>
      <c r="C81" s="92">
        <v>44844</v>
      </c>
      <c r="E81" t="s">
        <v>34</v>
      </c>
      <c r="F81"/>
      <c r="G81"/>
    </row>
    <row r="82" spans="1:9">
      <c r="A82" t="s">
        <v>461</v>
      </c>
      <c r="B82" t="s">
        <v>460</v>
      </c>
      <c r="C82" s="92">
        <v>44845</v>
      </c>
      <c r="D82" t="e">
        <f>IF(ISBLANK(VLOOKUP($C82,'Intervenciones Networking'!$C:$J,3,FALSE)),"",VLOOKUP($C82,'Intervenciones Networking'!$C:$J,3,FALSE))</f>
        <v>#N/A</v>
      </c>
      <c r="E82" t="s">
        <v>450</v>
      </c>
      <c r="I82" s="96" t="e">
        <f>IF(ISBLANK(VLOOKUP($C82,'Intervenciones Networking'!$C:$J,7,FALSE)),"",VLOOKUP($C82,'Intervenciones Networking'!$C:$J,7,FALSE))</f>
        <v>#N/A</v>
      </c>
    </row>
    <row r="83" spans="1:9">
      <c r="A83" t="s">
        <v>461</v>
      </c>
      <c r="B83" t="s">
        <v>460</v>
      </c>
      <c r="C83" s="92">
        <v>44845</v>
      </c>
      <c r="E83" t="s">
        <v>34</v>
      </c>
      <c r="F83"/>
      <c r="G83"/>
    </row>
    <row r="84" spans="1:9">
      <c r="A84" t="s">
        <v>461</v>
      </c>
      <c r="B84" t="s">
        <v>120</v>
      </c>
      <c r="C84" s="92">
        <v>44846</v>
      </c>
      <c r="D84" t="e">
        <f>IF(ISBLANK(VLOOKUP($C84,'Intervenciones Networking'!$C:$J,3,FALSE)),"",VLOOKUP($C84,'Intervenciones Networking'!$C:$J,3,FALSE))</f>
        <v>#N/A</v>
      </c>
      <c r="E84" t="s">
        <v>450</v>
      </c>
      <c r="I84" s="96" t="e">
        <f>IF(ISBLANK(VLOOKUP($C84,'Intervenciones Networking'!$C:$J,7,FALSE)),"",VLOOKUP($C84,'Intervenciones Networking'!$C:$J,7,FALSE))</f>
        <v>#N/A</v>
      </c>
    </row>
    <row r="85" spans="1:9">
      <c r="A85" t="s">
        <v>461</v>
      </c>
      <c r="B85" t="s">
        <v>120</v>
      </c>
      <c r="C85" s="92">
        <v>44846</v>
      </c>
      <c r="E85" t="s">
        <v>34</v>
      </c>
      <c r="F85"/>
      <c r="G85"/>
    </row>
    <row r="86" spans="1:9">
      <c r="A86" t="s">
        <v>461</v>
      </c>
      <c r="B86" t="s">
        <v>121</v>
      </c>
      <c r="C86" s="92">
        <v>44847</v>
      </c>
      <c r="D86" t="e">
        <f>IF(ISBLANK(VLOOKUP($C86,'Intervenciones Networking'!$C:$J,3,FALSE)),"",VLOOKUP($C86,'Intervenciones Networking'!$C:$J,3,FALSE))</f>
        <v>#N/A</v>
      </c>
      <c r="E86" t="s">
        <v>450</v>
      </c>
      <c r="I86" s="96" t="e">
        <f>IF(ISBLANK(VLOOKUP($C86,'Intervenciones Networking'!$C:$J,7,FALSE)),"",VLOOKUP($C86,'Intervenciones Networking'!$C:$J,7,FALSE))</f>
        <v>#N/A</v>
      </c>
    </row>
    <row r="87" spans="1:9">
      <c r="A87" t="s">
        <v>461</v>
      </c>
      <c r="B87" t="s">
        <v>121</v>
      </c>
      <c r="C87" s="92">
        <v>44847</v>
      </c>
      <c r="E87" t="s">
        <v>34</v>
      </c>
      <c r="F87"/>
      <c r="G87"/>
    </row>
    <row r="88" spans="1:9">
      <c r="A88" t="s">
        <v>461</v>
      </c>
      <c r="B88" t="s">
        <v>311</v>
      </c>
      <c r="C88" s="92">
        <v>44848</v>
      </c>
      <c r="D88" t="e">
        <f>IF(ISBLANK(VLOOKUP($C88,'Intervenciones Networking'!$C:$J,3,FALSE)),"",VLOOKUP($C88,'Intervenciones Networking'!$C:$J,3,FALSE))</f>
        <v>#N/A</v>
      </c>
      <c r="E88" t="s">
        <v>450</v>
      </c>
      <c r="I88" s="96" t="e">
        <f>IF(ISBLANK(VLOOKUP($C88,'Intervenciones Networking'!$C:$J,7,FALSE)),"",VLOOKUP($C88,'Intervenciones Networking'!$C:$J,7,FALSE))</f>
        <v>#N/A</v>
      </c>
    </row>
    <row r="89" spans="1:9">
      <c r="A89" t="s">
        <v>461</v>
      </c>
      <c r="B89" t="s">
        <v>311</v>
      </c>
      <c r="C89" s="92">
        <v>44848</v>
      </c>
      <c r="E89" t="s">
        <v>34</v>
      </c>
      <c r="F89"/>
      <c r="G89"/>
    </row>
    <row r="90" spans="1:9">
      <c r="A90" t="s">
        <v>461</v>
      </c>
      <c r="B90" t="s">
        <v>123</v>
      </c>
      <c r="C90" s="92">
        <v>44849</v>
      </c>
      <c r="D90" t="e">
        <f>IF(ISBLANK(VLOOKUP($C90,'Intervenciones Networking'!$C:$J,3,FALSE)),"",VLOOKUP($C90,'Intervenciones Networking'!$C:$J,3,FALSE))</f>
        <v>#N/A</v>
      </c>
      <c r="E90" t="s">
        <v>450</v>
      </c>
      <c r="I90" s="96" t="e">
        <f>IF(ISBLANK(VLOOKUP($C90,'Intervenciones Networking'!$C:$J,7,FALSE)),"",VLOOKUP($C90,'Intervenciones Networking'!$C:$J,7,FALSE))</f>
        <v>#N/A</v>
      </c>
    </row>
    <row r="91" spans="1:9">
      <c r="A91" t="s">
        <v>461</v>
      </c>
      <c r="B91" t="s">
        <v>123</v>
      </c>
      <c r="C91" s="92">
        <v>44849</v>
      </c>
      <c r="E91" t="s">
        <v>34</v>
      </c>
      <c r="F91"/>
      <c r="G91"/>
    </row>
    <row r="92" spans="1:9">
      <c r="A92" t="s">
        <v>461</v>
      </c>
      <c r="B92" t="s">
        <v>124</v>
      </c>
      <c r="C92" s="92">
        <v>44850</v>
      </c>
      <c r="D92" t="e">
        <f>IF(ISBLANK(VLOOKUP($C92,'Intervenciones Networking'!$C:$J,3,FALSE)),"",VLOOKUP($C92,'Intervenciones Networking'!$C:$J,3,FALSE))</f>
        <v>#N/A</v>
      </c>
      <c r="E92" t="s">
        <v>450</v>
      </c>
      <c r="I92" s="96" t="e">
        <f>IF(ISBLANK(VLOOKUP($C92,'Intervenciones Networking'!$C:$J,7,FALSE)),"",VLOOKUP($C92,'Intervenciones Networking'!$C:$J,7,FALSE))</f>
        <v>#N/A</v>
      </c>
    </row>
    <row r="93" spans="1:9">
      <c r="A93" t="s">
        <v>461</v>
      </c>
      <c r="B93" t="s">
        <v>124</v>
      </c>
      <c r="C93" s="92">
        <v>44850</v>
      </c>
      <c r="E93" t="s">
        <v>34</v>
      </c>
      <c r="F93"/>
      <c r="G93"/>
    </row>
    <row r="94" spans="1:9">
      <c r="A94" t="s">
        <v>461</v>
      </c>
      <c r="B94" t="s">
        <v>125</v>
      </c>
      <c r="C94" s="92">
        <v>44851</v>
      </c>
      <c r="D94" t="e">
        <f>IF(ISBLANK(VLOOKUP($C94,'Intervenciones Networking'!$C:$J,3,FALSE)),"",VLOOKUP($C94,'Intervenciones Networking'!$C:$J,3,FALSE))</f>
        <v>#N/A</v>
      </c>
      <c r="E94" t="s">
        <v>450</v>
      </c>
      <c r="I94" s="96" t="e">
        <f>IF(ISBLANK(VLOOKUP($C94,'Intervenciones Networking'!$C:$J,7,FALSE)),"",VLOOKUP($C94,'Intervenciones Networking'!$C:$J,7,FALSE))</f>
        <v>#N/A</v>
      </c>
    </row>
    <row r="95" spans="1:9">
      <c r="A95" t="s">
        <v>461</v>
      </c>
      <c r="B95" t="s">
        <v>125</v>
      </c>
      <c r="C95" s="92">
        <v>44851</v>
      </c>
      <c r="E95" t="s">
        <v>34</v>
      </c>
      <c r="F95"/>
      <c r="G95"/>
    </row>
    <row r="96" spans="1:9">
      <c r="A96" t="s">
        <v>461</v>
      </c>
      <c r="B96" t="s">
        <v>460</v>
      </c>
      <c r="C96" s="92">
        <v>44852</v>
      </c>
      <c r="D96" t="e">
        <f>IF(ISBLANK(VLOOKUP($C96,'Intervenciones Networking'!$C:$J,3,FALSE)),"",VLOOKUP($C96,'Intervenciones Networking'!$C:$J,3,FALSE))</f>
        <v>#N/A</v>
      </c>
      <c r="E96" t="s">
        <v>450</v>
      </c>
      <c r="I96" s="96" t="e">
        <f>IF(ISBLANK(VLOOKUP($C96,'Intervenciones Networking'!$C:$J,7,FALSE)),"",VLOOKUP($C96,'Intervenciones Networking'!$C:$J,7,FALSE))</f>
        <v>#N/A</v>
      </c>
    </row>
    <row r="97" spans="1:9">
      <c r="A97" t="s">
        <v>461</v>
      </c>
      <c r="B97" t="s">
        <v>460</v>
      </c>
      <c r="C97" s="92">
        <v>44852</v>
      </c>
      <c r="E97" t="s">
        <v>34</v>
      </c>
      <c r="F97"/>
      <c r="G97"/>
    </row>
    <row r="98" spans="1:9">
      <c r="A98" t="s">
        <v>461</v>
      </c>
      <c r="B98" t="s">
        <v>120</v>
      </c>
      <c r="C98" s="92">
        <v>44853</v>
      </c>
      <c r="D98" t="e">
        <f>IF(ISBLANK(VLOOKUP($C98,'Intervenciones Networking'!$C:$J,3,FALSE)),"",VLOOKUP($C98,'Intervenciones Networking'!$C:$J,3,FALSE))</f>
        <v>#N/A</v>
      </c>
      <c r="E98" t="s">
        <v>450</v>
      </c>
      <c r="I98" s="96" t="e">
        <f>IF(ISBLANK(VLOOKUP($C98,'Intervenciones Networking'!$C:$J,7,FALSE)),"",VLOOKUP($C98,'Intervenciones Networking'!$C:$J,7,FALSE))</f>
        <v>#N/A</v>
      </c>
    </row>
    <row r="99" spans="1:9">
      <c r="A99" t="s">
        <v>461</v>
      </c>
      <c r="B99" t="s">
        <v>120</v>
      </c>
      <c r="C99" s="92">
        <v>44853</v>
      </c>
      <c r="E99" t="s">
        <v>34</v>
      </c>
      <c r="F99"/>
      <c r="G99"/>
    </row>
    <row r="100" spans="1:9">
      <c r="A100" t="s">
        <v>461</v>
      </c>
      <c r="B100" t="s">
        <v>121</v>
      </c>
      <c r="C100" s="92">
        <v>44854</v>
      </c>
      <c r="D100" t="e">
        <f>IF(ISBLANK(VLOOKUP($C100,'Intervenciones Networking'!$C:$J,3,FALSE)),"",VLOOKUP($C100,'Intervenciones Networking'!$C:$J,3,FALSE))</f>
        <v>#N/A</v>
      </c>
      <c r="E100" t="s">
        <v>450</v>
      </c>
      <c r="I100" s="96" t="e">
        <f>IF(ISBLANK(VLOOKUP($C100,'Intervenciones Networking'!$C:$J,7,FALSE)),"",VLOOKUP($C100,'Intervenciones Networking'!$C:$J,7,FALSE))</f>
        <v>#N/A</v>
      </c>
    </row>
    <row r="101" spans="1:9">
      <c r="A101" t="s">
        <v>461</v>
      </c>
      <c r="B101" t="s">
        <v>121</v>
      </c>
      <c r="C101" s="92">
        <v>44854</v>
      </c>
      <c r="E101" t="s">
        <v>34</v>
      </c>
      <c r="F101"/>
      <c r="G101"/>
    </row>
    <row r="102" spans="1:9">
      <c r="A102" t="s">
        <v>461</v>
      </c>
      <c r="B102" t="s">
        <v>311</v>
      </c>
      <c r="C102" s="92">
        <v>44855</v>
      </c>
      <c r="D102" t="e">
        <f>IF(ISBLANK(VLOOKUP($C102,'Intervenciones Networking'!$C:$J,3,FALSE)),"",VLOOKUP($C102,'Intervenciones Networking'!$C:$J,3,FALSE))</f>
        <v>#N/A</v>
      </c>
      <c r="E102" t="s">
        <v>450</v>
      </c>
      <c r="I102" s="96" t="e">
        <f>IF(ISBLANK(VLOOKUP($C102,'Intervenciones Networking'!$C:$J,7,FALSE)),"",VLOOKUP($C102,'Intervenciones Networking'!$C:$J,7,FALSE))</f>
        <v>#N/A</v>
      </c>
    </row>
    <row r="103" spans="1:9">
      <c r="A103" t="s">
        <v>461</v>
      </c>
      <c r="B103" t="s">
        <v>311</v>
      </c>
      <c r="C103" s="92">
        <v>44855</v>
      </c>
      <c r="E103" t="s">
        <v>34</v>
      </c>
      <c r="F103"/>
      <c r="G103"/>
    </row>
    <row r="104" spans="1:9">
      <c r="A104" t="s">
        <v>461</v>
      </c>
      <c r="B104" t="s">
        <v>123</v>
      </c>
      <c r="C104" s="92">
        <v>44856</v>
      </c>
      <c r="D104" t="e">
        <f>IF(ISBLANK(VLOOKUP($C104,'Intervenciones Networking'!$C:$J,3,FALSE)),"",VLOOKUP($C104,'Intervenciones Networking'!$C:$J,3,FALSE))</f>
        <v>#N/A</v>
      </c>
      <c r="E104" t="s">
        <v>450</v>
      </c>
      <c r="I104" s="96" t="e">
        <f>IF(ISBLANK(VLOOKUP($C104,'Intervenciones Networking'!$C:$J,7,FALSE)),"",VLOOKUP($C104,'Intervenciones Networking'!$C:$J,7,FALSE))</f>
        <v>#N/A</v>
      </c>
    </row>
    <row r="105" spans="1:9">
      <c r="A105" t="s">
        <v>461</v>
      </c>
      <c r="B105" t="s">
        <v>123</v>
      </c>
      <c r="C105" s="92">
        <v>44856</v>
      </c>
      <c r="E105" t="s">
        <v>34</v>
      </c>
      <c r="F105"/>
      <c r="G105"/>
    </row>
    <row r="106" spans="1:9">
      <c r="A106" t="s">
        <v>461</v>
      </c>
      <c r="B106" t="s">
        <v>124</v>
      </c>
      <c r="C106" s="92">
        <v>44857</v>
      </c>
      <c r="D106" t="e">
        <f>IF(ISBLANK(VLOOKUP($C106,'Intervenciones Networking'!$C:$J,3,FALSE)),"",VLOOKUP($C106,'Intervenciones Networking'!$C:$J,3,FALSE))</f>
        <v>#N/A</v>
      </c>
      <c r="E106" t="s">
        <v>450</v>
      </c>
      <c r="I106" s="96" t="e">
        <f>IF(ISBLANK(VLOOKUP($C106,'Intervenciones Networking'!$C:$J,7,FALSE)),"",VLOOKUP($C106,'Intervenciones Networking'!$C:$J,7,FALSE))</f>
        <v>#N/A</v>
      </c>
    </row>
    <row r="107" spans="1:9">
      <c r="A107" t="s">
        <v>461</v>
      </c>
      <c r="B107" t="s">
        <v>124</v>
      </c>
      <c r="C107" s="92">
        <v>44857</v>
      </c>
      <c r="E107" t="s">
        <v>34</v>
      </c>
      <c r="F107"/>
      <c r="G107"/>
    </row>
    <row r="108" spans="1:9">
      <c r="A108" t="s">
        <v>461</v>
      </c>
      <c r="B108" t="s">
        <v>125</v>
      </c>
      <c r="C108" s="92">
        <v>44858</v>
      </c>
      <c r="D108" t="e">
        <f>IF(ISBLANK(VLOOKUP($C108,'Intervenciones Networking'!$C:$J,3,FALSE)),"",VLOOKUP($C108,'Intervenciones Networking'!$C:$J,3,FALSE))</f>
        <v>#N/A</v>
      </c>
      <c r="E108" t="s">
        <v>450</v>
      </c>
      <c r="I108" s="96" t="e">
        <f>IF(ISBLANK(VLOOKUP($C108,'Intervenciones Networking'!$C:$J,7,FALSE)),"",VLOOKUP($C108,'Intervenciones Networking'!$C:$J,7,FALSE))</f>
        <v>#N/A</v>
      </c>
    </row>
    <row r="109" spans="1:9">
      <c r="A109" t="s">
        <v>461</v>
      </c>
      <c r="B109" t="s">
        <v>125</v>
      </c>
      <c r="C109" s="92">
        <v>44858</v>
      </c>
      <c r="E109" t="s">
        <v>34</v>
      </c>
      <c r="F109"/>
      <c r="G109"/>
    </row>
    <row r="110" spans="1:9">
      <c r="A110" t="s">
        <v>461</v>
      </c>
      <c r="B110" t="s">
        <v>460</v>
      </c>
      <c r="C110" s="92">
        <v>44859</v>
      </c>
      <c r="D110" t="e">
        <f>IF(ISBLANK(VLOOKUP($C110,'Intervenciones Networking'!$C:$J,3,FALSE)),"",VLOOKUP($C110,'Intervenciones Networking'!$C:$J,3,FALSE))</f>
        <v>#N/A</v>
      </c>
      <c r="E110" t="s">
        <v>450</v>
      </c>
      <c r="I110" s="96" t="e">
        <f>IF(ISBLANK(VLOOKUP($C110,'Intervenciones Networking'!$C:$J,7,FALSE)),"",VLOOKUP($C110,'Intervenciones Networking'!$C:$J,7,FALSE))</f>
        <v>#N/A</v>
      </c>
    </row>
    <row r="111" spans="1:9">
      <c r="A111" t="s">
        <v>461</v>
      </c>
      <c r="B111" t="s">
        <v>460</v>
      </c>
      <c r="C111" s="92">
        <v>44859</v>
      </c>
      <c r="E111" t="s">
        <v>34</v>
      </c>
      <c r="F111"/>
      <c r="G111"/>
    </row>
    <row r="112" spans="1:9">
      <c r="A112" t="s">
        <v>461</v>
      </c>
      <c r="B112" t="s">
        <v>120</v>
      </c>
      <c r="C112" s="92">
        <v>44860</v>
      </c>
      <c r="D112" t="e">
        <f>IF(ISBLANK(VLOOKUP($C112,'Intervenciones Networking'!$C:$J,3,FALSE)),"",VLOOKUP($C112,'Intervenciones Networking'!$C:$J,3,FALSE))</f>
        <v>#N/A</v>
      </c>
      <c r="E112" t="s">
        <v>450</v>
      </c>
      <c r="I112" s="96" t="e">
        <f>IF(ISBLANK(VLOOKUP($C112,'Intervenciones Networking'!$C:$J,7,FALSE)),"",VLOOKUP($C112,'Intervenciones Networking'!$C:$J,7,FALSE))</f>
        <v>#N/A</v>
      </c>
    </row>
    <row r="113" spans="1:9">
      <c r="A113" t="s">
        <v>461</v>
      </c>
      <c r="B113" t="s">
        <v>120</v>
      </c>
      <c r="C113" s="92">
        <v>44860</v>
      </c>
      <c r="E113" t="s">
        <v>34</v>
      </c>
      <c r="F113"/>
      <c r="G113"/>
    </row>
    <row r="114" spans="1:9">
      <c r="A114" t="s">
        <v>461</v>
      </c>
      <c r="B114" t="s">
        <v>121</v>
      </c>
      <c r="C114" s="92">
        <v>44861</v>
      </c>
      <c r="D114" t="e">
        <f>IF(ISBLANK(VLOOKUP($C114,'Intervenciones Networking'!$C:$J,3,FALSE)),"",VLOOKUP($C114,'Intervenciones Networking'!$C:$J,3,FALSE))</f>
        <v>#N/A</v>
      </c>
      <c r="E114" t="s">
        <v>450</v>
      </c>
      <c r="I114" s="96" t="e">
        <f>IF(ISBLANK(VLOOKUP($C114,'Intervenciones Networking'!$C:$J,7,FALSE)),"",VLOOKUP($C114,'Intervenciones Networking'!$C:$J,7,FALSE))</f>
        <v>#N/A</v>
      </c>
    </row>
    <row r="115" spans="1:9">
      <c r="A115" t="s">
        <v>461</v>
      </c>
      <c r="B115" t="s">
        <v>121</v>
      </c>
      <c r="C115" s="92">
        <v>44861</v>
      </c>
      <c r="E115" t="s">
        <v>34</v>
      </c>
      <c r="F115"/>
      <c r="G115"/>
    </row>
    <row r="116" spans="1:9">
      <c r="A116" t="s">
        <v>461</v>
      </c>
      <c r="B116" t="s">
        <v>311</v>
      </c>
      <c r="C116" s="92">
        <v>44862</v>
      </c>
      <c r="D116" t="e">
        <f>IF(ISBLANK(VLOOKUP($C116,'Intervenciones Networking'!$C:$J,3,FALSE)),"",VLOOKUP($C116,'Intervenciones Networking'!$C:$J,3,FALSE))</f>
        <v>#N/A</v>
      </c>
      <c r="E116" t="s">
        <v>450</v>
      </c>
      <c r="I116" s="96" t="e">
        <f>IF(ISBLANK(VLOOKUP($C116,'Intervenciones Networking'!$C:$J,7,FALSE)),"",VLOOKUP($C116,'Intervenciones Networking'!$C:$J,7,FALSE))</f>
        <v>#N/A</v>
      </c>
    </row>
    <row r="117" spans="1:9">
      <c r="A117" t="s">
        <v>461</v>
      </c>
      <c r="B117" t="s">
        <v>311</v>
      </c>
      <c r="C117" s="92">
        <v>44862</v>
      </c>
      <c r="E117" t="s">
        <v>34</v>
      </c>
      <c r="F117"/>
      <c r="G117"/>
    </row>
    <row r="118" spans="1:9">
      <c r="A118" t="s">
        <v>461</v>
      </c>
      <c r="B118" t="s">
        <v>123</v>
      </c>
      <c r="C118" s="92">
        <v>44863</v>
      </c>
      <c r="D118" t="e">
        <f>IF(ISBLANK(VLOOKUP($C118,'Intervenciones Networking'!$C:$J,3,FALSE)),"",VLOOKUP($C118,'Intervenciones Networking'!$C:$J,3,FALSE))</f>
        <v>#N/A</v>
      </c>
      <c r="E118" t="s">
        <v>450</v>
      </c>
      <c r="I118" s="96" t="e">
        <f>IF(ISBLANK(VLOOKUP($C118,'Intervenciones Networking'!$C:$J,7,FALSE)),"",VLOOKUP($C118,'Intervenciones Networking'!$C:$J,7,FALSE))</f>
        <v>#N/A</v>
      </c>
    </row>
    <row r="119" spans="1:9">
      <c r="A119" t="s">
        <v>461</v>
      </c>
      <c r="B119" t="s">
        <v>123</v>
      </c>
      <c r="C119" s="92">
        <v>44863</v>
      </c>
      <c r="E119" t="s">
        <v>34</v>
      </c>
      <c r="F119"/>
      <c r="G119"/>
    </row>
    <row r="120" spans="1:9">
      <c r="A120" t="s">
        <v>461</v>
      </c>
      <c r="B120" t="s">
        <v>124</v>
      </c>
      <c r="C120" s="92">
        <v>44864</v>
      </c>
      <c r="D120" t="e">
        <f>IF(ISBLANK(VLOOKUP($C120,'Intervenciones Networking'!$C:$J,3,FALSE)),"",VLOOKUP($C120,'Intervenciones Networking'!$C:$J,3,FALSE))</f>
        <v>#N/A</v>
      </c>
      <c r="E120" t="s">
        <v>450</v>
      </c>
      <c r="I120" s="96" t="e">
        <f>IF(ISBLANK(VLOOKUP($C120,'Intervenciones Networking'!$C:$J,7,FALSE)),"",VLOOKUP($C120,'Intervenciones Networking'!$C:$J,7,FALSE))</f>
        <v>#N/A</v>
      </c>
    </row>
    <row r="121" spans="1:9">
      <c r="A121" t="s">
        <v>461</v>
      </c>
      <c r="B121" t="s">
        <v>124</v>
      </c>
      <c r="C121" s="92">
        <v>44864</v>
      </c>
      <c r="E121" t="s">
        <v>34</v>
      </c>
      <c r="F121"/>
      <c r="G121"/>
    </row>
    <row r="122" spans="1:9">
      <c r="A122" t="s">
        <v>461</v>
      </c>
      <c r="B122" t="s">
        <v>125</v>
      </c>
      <c r="C122" s="92">
        <v>44865</v>
      </c>
      <c r="D122" t="e">
        <f>IF(ISBLANK(VLOOKUP($C122,'Intervenciones Networking'!$C:$J,3,FALSE)),"",VLOOKUP($C122,'Intervenciones Networking'!$C:$J,3,FALSE))</f>
        <v>#N/A</v>
      </c>
      <c r="E122" t="s">
        <v>450</v>
      </c>
      <c r="I122" s="96" t="e">
        <f>IF(ISBLANK(VLOOKUP($C122,'Intervenciones Networking'!$C:$J,7,FALSE)),"",VLOOKUP($C122,'Intervenciones Networking'!$C:$J,7,FALSE))</f>
        <v>#N/A</v>
      </c>
    </row>
    <row r="123" spans="1:9">
      <c r="A123" t="s">
        <v>461</v>
      </c>
      <c r="B123" t="s">
        <v>125</v>
      </c>
      <c r="C123" s="92">
        <v>44865</v>
      </c>
      <c r="E123" t="s">
        <v>34</v>
      </c>
      <c r="F123"/>
      <c r="G123"/>
    </row>
    <row r="124" spans="1:9">
      <c r="A124" t="s">
        <v>462</v>
      </c>
      <c r="B124" t="s">
        <v>460</v>
      </c>
      <c r="C124" s="92">
        <v>44866</v>
      </c>
      <c r="D124" t="str">
        <f>IF(ISBLANK(VLOOKUP($C124,'Intervenciones Networking'!$C:$J,3,FALSE)),"",VLOOKUP($C124,'Intervenciones Networking'!$C:$J,3,FALSE))</f>
        <v>Técnico</v>
      </c>
      <c r="E124" t="s">
        <v>450</v>
      </c>
      <c r="I124" s="96" t="str">
        <f>IF(ISBLANK(VLOOKUP($C124,'Intervenciones Networking'!$C:$J,7,FALSE)),"",VLOOKUP($C124,'Intervenciones Networking'!$C:$J,7,FALSE))</f>
        <v>Descripción</v>
      </c>
    </row>
    <row r="125" spans="1:9">
      <c r="A125" t="s">
        <v>462</v>
      </c>
      <c r="B125" t="s">
        <v>460</v>
      </c>
      <c r="C125" s="92">
        <v>44866</v>
      </c>
      <c r="E125" t="s">
        <v>34</v>
      </c>
      <c r="F125"/>
      <c r="G125"/>
    </row>
    <row r="126" spans="1:9">
      <c r="A126" t="s">
        <v>462</v>
      </c>
      <c r="B126" t="s">
        <v>120</v>
      </c>
      <c r="C126" s="92">
        <v>44867</v>
      </c>
      <c r="D126" t="e">
        <f>IF(ISBLANK(VLOOKUP($C126,'Intervenciones Networking'!$C:$J,3,FALSE)),"",VLOOKUP($C126,'Intervenciones Networking'!$C:$J,3,FALSE))</f>
        <v>#N/A</v>
      </c>
      <c r="E126" t="s">
        <v>450</v>
      </c>
      <c r="I126" s="96" t="e">
        <f>IF(ISBLANK(VLOOKUP($C126,'Intervenciones Networking'!$C:$J,7,FALSE)),"",VLOOKUP($C126,'Intervenciones Networking'!$C:$J,7,FALSE))</f>
        <v>#N/A</v>
      </c>
    </row>
    <row r="127" spans="1:9">
      <c r="A127" t="s">
        <v>462</v>
      </c>
      <c r="B127" t="s">
        <v>120</v>
      </c>
      <c r="C127" s="92">
        <v>44867</v>
      </c>
      <c r="E127" t="s">
        <v>34</v>
      </c>
      <c r="F127"/>
      <c r="G127"/>
    </row>
    <row r="128" spans="1:9">
      <c r="A128" t="s">
        <v>462</v>
      </c>
      <c r="B128" t="s">
        <v>121</v>
      </c>
      <c r="C128" s="92">
        <v>44868</v>
      </c>
      <c r="D128" t="e">
        <f>IF(ISBLANK(VLOOKUP($C128,'Intervenciones Networking'!$C:$J,3,FALSE)),"",VLOOKUP($C128,'Intervenciones Networking'!$C:$J,3,FALSE))</f>
        <v>#N/A</v>
      </c>
      <c r="E128" t="s">
        <v>450</v>
      </c>
      <c r="I128" s="96" t="e">
        <f>IF(ISBLANK(VLOOKUP($C128,'Intervenciones Networking'!$C:$J,7,FALSE)),"",VLOOKUP($C128,'Intervenciones Networking'!$C:$J,7,FALSE))</f>
        <v>#N/A</v>
      </c>
    </row>
    <row r="129" spans="1:9">
      <c r="A129" t="s">
        <v>462</v>
      </c>
      <c r="B129" t="s">
        <v>121</v>
      </c>
      <c r="C129" s="92">
        <v>44868</v>
      </c>
      <c r="E129" t="s">
        <v>34</v>
      </c>
      <c r="F129"/>
      <c r="G129"/>
    </row>
    <row r="130" spans="1:9">
      <c r="A130" t="s">
        <v>462</v>
      </c>
      <c r="B130" t="s">
        <v>311</v>
      </c>
      <c r="C130" s="92">
        <v>44869</v>
      </c>
      <c r="D130" t="e">
        <f>IF(ISBLANK(VLOOKUP($C130,'Intervenciones Networking'!$C:$J,3,FALSE)),"",VLOOKUP($C130,'Intervenciones Networking'!$C:$J,3,FALSE))</f>
        <v>#N/A</v>
      </c>
      <c r="E130" t="s">
        <v>450</v>
      </c>
      <c r="I130" s="96" t="e">
        <f>IF(ISBLANK(VLOOKUP($C130,'Intervenciones Networking'!$C:$J,7,FALSE)),"",VLOOKUP($C130,'Intervenciones Networking'!$C:$J,7,FALSE))</f>
        <v>#N/A</v>
      </c>
    </row>
    <row r="131" spans="1:9">
      <c r="A131" t="s">
        <v>462</v>
      </c>
      <c r="B131" t="s">
        <v>311</v>
      </c>
      <c r="C131" s="92">
        <v>44869</v>
      </c>
      <c r="E131" t="s">
        <v>34</v>
      </c>
      <c r="F131"/>
      <c r="G131"/>
    </row>
    <row r="132" spans="1:9">
      <c r="A132" t="s">
        <v>462</v>
      </c>
      <c r="B132" t="s">
        <v>123</v>
      </c>
      <c r="C132" s="92">
        <v>44870</v>
      </c>
      <c r="D132" t="e">
        <f>IF(ISBLANK(VLOOKUP($C132,'Intervenciones Networking'!$C:$J,3,FALSE)),"",VLOOKUP($C132,'Intervenciones Networking'!$C:$J,3,FALSE))</f>
        <v>#N/A</v>
      </c>
      <c r="E132" t="s">
        <v>450</v>
      </c>
      <c r="I132" s="96" t="e">
        <f>IF(ISBLANK(VLOOKUP($C132,'Intervenciones Networking'!$C:$J,7,FALSE)),"",VLOOKUP($C132,'Intervenciones Networking'!$C:$J,7,FALSE))</f>
        <v>#N/A</v>
      </c>
    </row>
    <row r="133" spans="1:9">
      <c r="A133" t="s">
        <v>462</v>
      </c>
      <c r="B133" t="s">
        <v>123</v>
      </c>
      <c r="C133" s="92">
        <v>44870</v>
      </c>
      <c r="E133" t="s">
        <v>34</v>
      </c>
      <c r="F133"/>
      <c r="G133"/>
    </row>
    <row r="134" spans="1:9">
      <c r="A134" t="s">
        <v>462</v>
      </c>
      <c r="B134" t="s">
        <v>124</v>
      </c>
      <c r="C134" s="92">
        <v>44871</v>
      </c>
      <c r="D134" t="e">
        <f>IF(ISBLANK(VLOOKUP($C134,'Intervenciones Networking'!$C:$J,3,FALSE)),"",VLOOKUP($C134,'Intervenciones Networking'!$C:$J,3,FALSE))</f>
        <v>#N/A</v>
      </c>
      <c r="E134" t="s">
        <v>450</v>
      </c>
      <c r="I134" s="96" t="e">
        <f>IF(ISBLANK(VLOOKUP($C134,'Intervenciones Networking'!$C:$J,7,FALSE)),"",VLOOKUP($C134,'Intervenciones Networking'!$C:$J,7,FALSE))</f>
        <v>#N/A</v>
      </c>
    </row>
    <row r="135" spans="1:9">
      <c r="A135" t="s">
        <v>462</v>
      </c>
      <c r="B135" t="s">
        <v>124</v>
      </c>
      <c r="C135" s="92">
        <v>44871</v>
      </c>
      <c r="E135" t="s">
        <v>34</v>
      </c>
      <c r="F135"/>
      <c r="G135"/>
    </row>
    <row r="136" spans="1:9">
      <c r="A136" t="s">
        <v>462</v>
      </c>
      <c r="B136" t="s">
        <v>125</v>
      </c>
      <c r="C136" s="92">
        <v>44872</v>
      </c>
      <c r="D136" t="e">
        <f>IF(ISBLANK(VLOOKUP($C136,'Intervenciones Networking'!$C:$J,3,FALSE)),"",VLOOKUP($C136,'Intervenciones Networking'!$C:$J,3,FALSE))</f>
        <v>#N/A</v>
      </c>
      <c r="E136" t="s">
        <v>450</v>
      </c>
      <c r="I136" s="96" t="e">
        <f>IF(ISBLANK(VLOOKUP($C136,'Intervenciones Networking'!$C:$J,7,FALSE)),"",VLOOKUP($C136,'Intervenciones Networking'!$C:$J,7,FALSE))</f>
        <v>#N/A</v>
      </c>
    </row>
    <row r="137" spans="1:9">
      <c r="A137" t="s">
        <v>462</v>
      </c>
      <c r="B137" t="s">
        <v>125</v>
      </c>
      <c r="C137" s="92">
        <v>44872</v>
      </c>
      <c r="E137" t="s">
        <v>34</v>
      </c>
      <c r="F137"/>
      <c r="G137"/>
    </row>
    <row r="138" spans="1:9">
      <c r="A138" t="s">
        <v>462</v>
      </c>
      <c r="B138" t="s">
        <v>460</v>
      </c>
      <c r="C138" s="92">
        <v>44873</v>
      </c>
      <c r="D138" t="e">
        <f>IF(ISBLANK(VLOOKUP($C138,'Intervenciones Networking'!$C:$J,3,FALSE)),"",VLOOKUP($C138,'Intervenciones Networking'!$C:$J,3,FALSE))</f>
        <v>#N/A</v>
      </c>
      <c r="E138" t="s">
        <v>450</v>
      </c>
      <c r="I138" s="96" t="e">
        <f>IF(ISBLANK(VLOOKUP($C138,'Intervenciones Networking'!$C:$J,7,FALSE)),"",VLOOKUP($C138,'Intervenciones Networking'!$C:$J,7,FALSE))</f>
        <v>#N/A</v>
      </c>
    </row>
    <row r="139" spans="1:9">
      <c r="A139" t="s">
        <v>462</v>
      </c>
      <c r="B139" t="s">
        <v>460</v>
      </c>
      <c r="C139" s="92">
        <v>44873</v>
      </c>
      <c r="E139" t="s">
        <v>34</v>
      </c>
      <c r="F139"/>
      <c r="G139"/>
    </row>
    <row r="140" spans="1:9">
      <c r="A140" t="s">
        <v>462</v>
      </c>
      <c r="B140" t="s">
        <v>120</v>
      </c>
      <c r="C140" s="92">
        <v>44874</v>
      </c>
      <c r="D140" t="e">
        <f>IF(ISBLANK(VLOOKUP($C140,'Intervenciones Networking'!$C:$J,3,FALSE)),"",VLOOKUP($C140,'Intervenciones Networking'!$C:$J,3,FALSE))</f>
        <v>#N/A</v>
      </c>
      <c r="E140" t="s">
        <v>450</v>
      </c>
      <c r="I140" s="96" t="e">
        <f>IF(ISBLANK(VLOOKUP($C140,'Intervenciones Networking'!$C:$J,7,FALSE)),"",VLOOKUP($C140,'Intervenciones Networking'!$C:$J,7,FALSE))</f>
        <v>#N/A</v>
      </c>
    </row>
    <row r="141" spans="1:9">
      <c r="A141" t="s">
        <v>462</v>
      </c>
      <c r="B141" t="s">
        <v>120</v>
      </c>
      <c r="C141" s="92">
        <v>44874</v>
      </c>
      <c r="E141" t="s">
        <v>34</v>
      </c>
      <c r="F141"/>
      <c r="G141"/>
    </row>
    <row r="142" spans="1:9">
      <c r="A142" t="s">
        <v>462</v>
      </c>
      <c r="B142" t="s">
        <v>121</v>
      </c>
      <c r="C142" s="92">
        <v>44875</v>
      </c>
      <c r="D142" t="e">
        <f>IF(ISBLANK(VLOOKUP($C142,'Intervenciones Networking'!$C:$J,3,FALSE)),"",VLOOKUP($C142,'Intervenciones Networking'!$C:$J,3,FALSE))</f>
        <v>#N/A</v>
      </c>
      <c r="E142" t="s">
        <v>450</v>
      </c>
      <c r="I142" s="96" t="e">
        <f>IF(ISBLANK(VLOOKUP($C142,'Intervenciones Networking'!$C:$J,7,FALSE)),"",VLOOKUP($C142,'Intervenciones Networking'!$C:$J,7,FALSE))</f>
        <v>#N/A</v>
      </c>
    </row>
    <row r="143" spans="1:9">
      <c r="A143" t="s">
        <v>462</v>
      </c>
      <c r="B143" t="s">
        <v>121</v>
      </c>
      <c r="C143" s="92">
        <v>44875</v>
      </c>
      <c r="E143" t="s">
        <v>34</v>
      </c>
      <c r="F143"/>
      <c r="G143"/>
    </row>
    <row r="144" spans="1:9">
      <c r="A144" t="s">
        <v>462</v>
      </c>
      <c r="B144" t="s">
        <v>311</v>
      </c>
      <c r="C144" s="92">
        <v>44876</v>
      </c>
      <c r="D144" t="e">
        <f>IF(ISBLANK(VLOOKUP($C144,'Intervenciones Networking'!$C:$J,3,FALSE)),"",VLOOKUP($C144,'Intervenciones Networking'!$C:$J,3,FALSE))</f>
        <v>#N/A</v>
      </c>
      <c r="E144" t="s">
        <v>450</v>
      </c>
      <c r="I144" s="96" t="e">
        <f>IF(ISBLANK(VLOOKUP($C144,'Intervenciones Networking'!$C:$J,7,FALSE)),"",VLOOKUP($C144,'Intervenciones Networking'!$C:$J,7,FALSE))</f>
        <v>#N/A</v>
      </c>
    </row>
    <row r="145" spans="1:9">
      <c r="A145" t="s">
        <v>462</v>
      </c>
      <c r="B145" t="s">
        <v>311</v>
      </c>
      <c r="C145" s="92">
        <v>44876</v>
      </c>
      <c r="E145" t="s">
        <v>34</v>
      </c>
      <c r="F145"/>
      <c r="G145"/>
    </row>
    <row r="146" spans="1:9">
      <c r="A146" t="s">
        <v>462</v>
      </c>
      <c r="B146" t="s">
        <v>123</v>
      </c>
      <c r="C146" s="92">
        <v>44877</v>
      </c>
      <c r="D146" t="e">
        <f>IF(ISBLANK(VLOOKUP($C146,'Intervenciones Networking'!$C:$J,3,FALSE)),"",VLOOKUP($C146,'Intervenciones Networking'!$C:$J,3,FALSE))</f>
        <v>#N/A</v>
      </c>
      <c r="E146" t="s">
        <v>450</v>
      </c>
      <c r="I146" s="96" t="e">
        <f>IF(ISBLANK(VLOOKUP($C146,'Intervenciones Networking'!$C:$J,7,FALSE)),"",VLOOKUP($C146,'Intervenciones Networking'!$C:$J,7,FALSE))</f>
        <v>#N/A</v>
      </c>
    </row>
    <row r="147" spans="1:9">
      <c r="A147" t="s">
        <v>462</v>
      </c>
      <c r="B147" t="s">
        <v>123</v>
      </c>
      <c r="C147" s="92">
        <v>44877</v>
      </c>
      <c r="E147" t="s">
        <v>34</v>
      </c>
      <c r="F147"/>
      <c r="G147"/>
    </row>
    <row r="148" spans="1:9">
      <c r="A148" t="s">
        <v>462</v>
      </c>
      <c r="B148" t="s">
        <v>124</v>
      </c>
      <c r="C148" s="92">
        <v>44878</v>
      </c>
      <c r="D148" t="e">
        <f>IF(ISBLANK(VLOOKUP($C148,'Intervenciones Networking'!$C:$J,3,FALSE)),"",VLOOKUP($C148,'Intervenciones Networking'!$C:$J,3,FALSE))</f>
        <v>#N/A</v>
      </c>
      <c r="E148" t="s">
        <v>450</v>
      </c>
      <c r="I148" s="96" t="e">
        <f>IF(ISBLANK(VLOOKUP($C148,'Intervenciones Networking'!$C:$J,7,FALSE)),"",VLOOKUP($C148,'Intervenciones Networking'!$C:$J,7,FALSE))</f>
        <v>#N/A</v>
      </c>
    </row>
    <row r="149" spans="1:9">
      <c r="A149" t="s">
        <v>462</v>
      </c>
      <c r="B149" t="s">
        <v>124</v>
      </c>
      <c r="C149" s="92">
        <v>44878</v>
      </c>
      <c r="E149" t="s">
        <v>34</v>
      </c>
      <c r="F149"/>
      <c r="G149"/>
    </row>
    <row r="150" spans="1:9">
      <c r="A150" t="s">
        <v>462</v>
      </c>
      <c r="B150" t="s">
        <v>125</v>
      </c>
      <c r="C150" s="92">
        <v>44879</v>
      </c>
      <c r="D150" t="e">
        <f>IF(ISBLANK(VLOOKUP($C150,'Intervenciones Networking'!$C:$J,3,FALSE)),"",VLOOKUP($C150,'Intervenciones Networking'!$C:$J,3,FALSE))</f>
        <v>#N/A</v>
      </c>
      <c r="E150" t="s">
        <v>450</v>
      </c>
      <c r="I150" s="96" t="e">
        <f>IF(ISBLANK(VLOOKUP($C150,'Intervenciones Networking'!$C:$J,7,FALSE)),"",VLOOKUP($C150,'Intervenciones Networking'!$C:$J,7,FALSE))</f>
        <v>#N/A</v>
      </c>
    </row>
    <row r="151" spans="1:9">
      <c r="A151" t="s">
        <v>462</v>
      </c>
      <c r="B151" t="s">
        <v>125</v>
      </c>
      <c r="C151" s="92">
        <v>44879</v>
      </c>
      <c r="E151" t="s">
        <v>34</v>
      </c>
      <c r="F151"/>
      <c r="G151"/>
    </row>
    <row r="152" spans="1:9">
      <c r="A152" t="s">
        <v>462</v>
      </c>
      <c r="B152" t="s">
        <v>460</v>
      </c>
      <c r="C152" s="92">
        <v>44880</v>
      </c>
      <c r="D152" t="e">
        <f>IF(ISBLANK(VLOOKUP($C152,'Intervenciones Networking'!$C:$J,3,FALSE)),"",VLOOKUP($C152,'Intervenciones Networking'!$C:$J,3,FALSE))</f>
        <v>#N/A</v>
      </c>
      <c r="E152" t="s">
        <v>450</v>
      </c>
      <c r="I152" s="96" t="e">
        <f>IF(ISBLANK(VLOOKUP($C152,'Intervenciones Networking'!$C:$J,7,FALSE)),"",VLOOKUP($C152,'Intervenciones Networking'!$C:$J,7,FALSE))</f>
        <v>#N/A</v>
      </c>
    </row>
    <row r="153" spans="1:9">
      <c r="A153" t="s">
        <v>462</v>
      </c>
      <c r="B153" t="s">
        <v>460</v>
      </c>
      <c r="C153" s="92">
        <v>44880</v>
      </c>
      <c r="E153" t="s">
        <v>34</v>
      </c>
      <c r="F153"/>
      <c r="G153"/>
    </row>
    <row r="154" spans="1:9">
      <c r="A154" t="s">
        <v>462</v>
      </c>
      <c r="B154" t="s">
        <v>120</v>
      </c>
      <c r="C154" s="92">
        <v>44881</v>
      </c>
      <c r="D154" t="e">
        <f>IF(ISBLANK(VLOOKUP($C154,'Intervenciones Networking'!$C:$J,3,FALSE)),"",VLOOKUP($C154,'Intervenciones Networking'!$C:$J,3,FALSE))</f>
        <v>#N/A</v>
      </c>
      <c r="E154" t="s">
        <v>450</v>
      </c>
      <c r="I154" s="96" t="e">
        <f>IF(ISBLANK(VLOOKUP($C154,'Intervenciones Networking'!$C:$J,7,FALSE)),"",VLOOKUP($C154,'Intervenciones Networking'!$C:$J,7,FALSE))</f>
        <v>#N/A</v>
      </c>
    </row>
    <row r="155" spans="1:9">
      <c r="A155" t="s">
        <v>462</v>
      </c>
      <c r="B155" t="s">
        <v>120</v>
      </c>
      <c r="C155" s="92">
        <v>44881</v>
      </c>
      <c r="E155" t="s">
        <v>34</v>
      </c>
      <c r="F155"/>
      <c r="G155"/>
    </row>
    <row r="156" spans="1:9">
      <c r="A156" t="s">
        <v>462</v>
      </c>
      <c r="B156" t="s">
        <v>121</v>
      </c>
      <c r="C156" s="92">
        <v>44882</v>
      </c>
      <c r="D156" t="e">
        <f>IF(ISBLANK(VLOOKUP($C156,'Intervenciones Networking'!$C:$J,3,FALSE)),"",VLOOKUP($C156,'Intervenciones Networking'!$C:$J,3,FALSE))</f>
        <v>#N/A</v>
      </c>
      <c r="E156" t="s">
        <v>450</v>
      </c>
      <c r="I156" s="96" t="e">
        <f>IF(ISBLANK(VLOOKUP($C156,'Intervenciones Networking'!$C:$J,7,FALSE)),"",VLOOKUP($C156,'Intervenciones Networking'!$C:$J,7,FALSE))</f>
        <v>#N/A</v>
      </c>
    </row>
    <row r="157" spans="1:9">
      <c r="A157" t="s">
        <v>462</v>
      </c>
      <c r="B157" t="s">
        <v>121</v>
      </c>
      <c r="C157" s="92">
        <v>44882</v>
      </c>
      <c r="E157" t="s">
        <v>34</v>
      </c>
      <c r="F157"/>
      <c r="G157"/>
    </row>
    <row r="158" spans="1:9">
      <c r="A158" t="s">
        <v>462</v>
      </c>
      <c r="B158" t="s">
        <v>311</v>
      </c>
      <c r="C158" s="92">
        <v>44883</v>
      </c>
      <c r="D158" t="e">
        <f>IF(ISBLANK(VLOOKUP($C158,'Intervenciones Networking'!$C:$J,3,FALSE)),"",VLOOKUP($C158,'Intervenciones Networking'!$C:$J,3,FALSE))</f>
        <v>#N/A</v>
      </c>
      <c r="E158" t="s">
        <v>450</v>
      </c>
      <c r="I158" s="96" t="e">
        <f>IF(ISBLANK(VLOOKUP($C158,'Intervenciones Networking'!$C:$J,7,FALSE)),"",VLOOKUP($C158,'Intervenciones Networking'!$C:$J,7,FALSE))</f>
        <v>#N/A</v>
      </c>
    </row>
    <row r="159" spans="1:9">
      <c r="A159" t="s">
        <v>462</v>
      </c>
      <c r="B159" t="s">
        <v>311</v>
      </c>
      <c r="C159" s="92">
        <v>44883</v>
      </c>
      <c r="E159" t="s">
        <v>34</v>
      </c>
      <c r="F159"/>
      <c r="G159"/>
    </row>
    <row r="160" spans="1:9">
      <c r="A160" t="s">
        <v>462</v>
      </c>
      <c r="B160" t="s">
        <v>123</v>
      </c>
      <c r="C160" s="92">
        <v>44884</v>
      </c>
      <c r="D160" t="e">
        <f>IF(ISBLANK(VLOOKUP($C160,'Intervenciones Networking'!$C:$J,3,FALSE)),"",VLOOKUP($C160,'Intervenciones Networking'!$C:$J,3,FALSE))</f>
        <v>#N/A</v>
      </c>
      <c r="E160" t="s">
        <v>450</v>
      </c>
      <c r="I160" s="96" t="e">
        <f>IF(ISBLANK(VLOOKUP($C160,'Intervenciones Networking'!$C:$J,7,FALSE)),"",VLOOKUP($C160,'Intervenciones Networking'!$C:$J,7,FALSE))</f>
        <v>#N/A</v>
      </c>
    </row>
    <row r="161" spans="1:9">
      <c r="A161" t="s">
        <v>462</v>
      </c>
      <c r="B161" t="s">
        <v>123</v>
      </c>
      <c r="C161" s="92">
        <v>44884</v>
      </c>
      <c r="E161" t="s">
        <v>34</v>
      </c>
      <c r="F161"/>
      <c r="G161"/>
    </row>
    <row r="162" spans="1:9">
      <c r="A162" t="s">
        <v>462</v>
      </c>
      <c r="B162" t="s">
        <v>124</v>
      </c>
      <c r="C162" s="92">
        <v>44885</v>
      </c>
      <c r="D162" t="e">
        <f>IF(ISBLANK(VLOOKUP($C162,'Intervenciones Networking'!$C:$J,3,FALSE)),"",VLOOKUP($C162,'Intervenciones Networking'!$C:$J,3,FALSE))</f>
        <v>#N/A</v>
      </c>
      <c r="E162" t="s">
        <v>450</v>
      </c>
      <c r="I162" s="96" t="e">
        <f>IF(ISBLANK(VLOOKUP($C162,'Intervenciones Networking'!$C:$J,7,FALSE)),"",VLOOKUP($C162,'Intervenciones Networking'!$C:$J,7,FALSE))</f>
        <v>#N/A</v>
      </c>
    </row>
    <row r="163" spans="1:9">
      <c r="A163" t="s">
        <v>462</v>
      </c>
      <c r="B163" t="s">
        <v>124</v>
      </c>
      <c r="C163" s="92">
        <v>44885</v>
      </c>
      <c r="E163" t="s">
        <v>34</v>
      </c>
      <c r="F163"/>
      <c r="G163"/>
    </row>
    <row r="164" spans="1:9">
      <c r="A164" t="s">
        <v>462</v>
      </c>
      <c r="B164" t="s">
        <v>125</v>
      </c>
      <c r="C164" s="92">
        <v>44886</v>
      </c>
      <c r="D164" t="e">
        <f>IF(ISBLANK(VLOOKUP($C164,'Intervenciones Networking'!$C:$J,3,FALSE)),"",VLOOKUP($C164,'Intervenciones Networking'!$C:$J,3,FALSE))</f>
        <v>#N/A</v>
      </c>
      <c r="E164" t="s">
        <v>450</v>
      </c>
      <c r="I164" s="96" t="e">
        <f>IF(ISBLANK(VLOOKUP($C164,'Intervenciones Networking'!$C:$J,7,FALSE)),"",VLOOKUP($C164,'Intervenciones Networking'!$C:$J,7,FALSE))</f>
        <v>#N/A</v>
      </c>
    </row>
    <row r="165" spans="1:9">
      <c r="A165" t="s">
        <v>462</v>
      </c>
      <c r="B165" t="s">
        <v>125</v>
      </c>
      <c r="C165" s="92">
        <v>44886</v>
      </c>
      <c r="E165" t="s">
        <v>34</v>
      </c>
      <c r="F165"/>
      <c r="G165"/>
    </row>
    <row r="166" spans="1:9">
      <c r="A166" t="s">
        <v>462</v>
      </c>
      <c r="B166" t="s">
        <v>460</v>
      </c>
      <c r="C166" s="92">
        <v>44887</v>
      </c>
      <c r="D166" t="e">
        <f>IF(ISBLANK(VLOOKUP($C166,'Intervenciones Networking'!$C:$J,3,FALSE)),"",VLOOKUP($C166,'Intervenciones Networking'!$C:$J,3,FALSE))</f>
        <v>#N/A</v>
      </c>
      <c r="E166" t="s">
        <v>450</v>
      </c>
      <c r="I166" s="96" t="e">
        <f>IF(ISBLANK(VLOOKUP($C166,'Intervenciones Networking'!$C:$J,7,FALSE)),"",VLOOKUP($C166,'Intervenciones Networking'!$C:$J,7,FALSE))</f>
        <v>#N/A</v>
      </c>
    </row>
    <row r="167" spans="1:9">
      <c r="A167" t="s">
        <v>462</v>
      </c>
      <c r="B167" t="s">
        <v>460</v>
      </c>
      <c r="C167" s="92">
        <v>44887</v>
      </c>
      <c r="E167" t="s">
        <v>34</v>
      </c>
      <c r="F167"/>
      <c r="G167"/>
    </row>
    <row r="168" spans="1:9">
      <c r="A168" t="s">
        <v>462</v>
      </c>
      <c r="B168" t="s">
        <v>120</v>
      </c>
      <c r="C168" s="92">
        <v>44888</v>
      </c>
      <c r="D168" t="e">
        <f>IF(ISBLANK(VLOOKUP($C168,'Intervenciones Networking'!$C:$J,3,FALSE)),"",VLOOKUP($C168,'Intervenciones Networking'!$C:$J,3,FALSE))</f>
        <v>#N/A</v>
      </c>
      <c r="E168" t="s">
        <v>450</v>
      </c>
      <c r="I168" s="96" t="e">
        <f>IF(ISBLANK(VLOOKUP($C168,'Intervenciones Networking'!$C:$J,7,FALSE)),"",VLOOKUP($C168,'Intervenciones Networking'!$C:$J,7,FALSE))</f>
        <v>#N/A</v>
      </c>
    </row>
    <row r="169" spans="1:9">
      <c r="A169" t="s">
        <v>462</v>
      </c>
      <c r="B169" t="s">
        <v>120</v>
      </c>
      <c r="C169" s="92">
        <v>44888</v>
      </c>
      <c r="E169" t="s">
        <v>34</v>
      </c>
      <c r="F169"/>
      <c r="G169"/>
    </row>
    <row r="170" spans="1:9">
      <c r="A170" t="s">
        <v>462</v>
      </c>
      <c r="B170" t="s">
        <v>121</v>
      </c>
      <c r="C170" s="92">
        <v>44889</v>
      </c>
      <c r="D170" t="e">
        <f>IF(ISBLANK(VLOOKUP($C170,'Intervenciones Networking'!$C:$J,3,FALSE)),"",VLOOKUP($C170,'Intervenciones Networking'!$C:$J,3,FALSE))</f>
        <v>#N/A</v>
      </c>
      <c r="E170" t="s">
        <v>450</v>
      </c>
      <c r="I170" s="96" t="e">
        <f>IF(ISBLANK(VLOOKUP($C170,'Intervenciones Networking'!$C:$J,7,FALSE)),"",VLOOKUP($C170,'Intervenciones Networking'!$C:$J,7,FALSE))</f>
        <v>#N/A</v>
      </c>
    </row>
    <row r="171" spans="1:9">
      <c r="A171" t="s">
        <v>462</v>
      </c>
      <c r="B171" t="s">
        <v>121</v>
      </c>
      <c r="C171" s="92">
        <v>44889</v>
      </c>
      <c r="E171" t="s">
        <v>34</v>
      </c>
      <c r="F171"/>
      <c r="G171"/>
    </row>
    <row r="172" spans="1:9">
      <c r="A172" t="s">
        <v>462</v>
      </c>
      <c r="B172" t="s">
        <v>311</v>
      </c>
      <c r="C172" s="92">
        <v>44890</v>
      </c>
      <c r="D172" t="e">
        <f>IF(ISBLANK(VLOOKUP($C172,'Intervenciones Networking'!$C:$J,3,FALSE)),"",VLOOKUP($C172,'Intervenciones Networking'!$C:$J,3,FALSE))</f>
        <v>#N/A</v>
      </c>
      <c r="E172" t="s">
        <v>450</v>
      </c>
      <c r="I172" s="96" t="e">
        <f>IF(ISBLANK(VLOOKUP($C172,'Intervenciones Networking'!$C:$J,7,FALSE)),"",VLOOKUP($C172,'Intervenciones Networking'!$C:$J,7,FALSE))</f>
        <v>#N/A</v>
      </c>
    </row>
    <row r="173" spans="1:9">
      <c r="A173" t="s">
        <v>462</v>
      </c>
      <c r="B173" t="s">
        <v>311</v>
      </c>
      <c r="C173" s="92">
        <v>44890</v>
      </c>
      <c r="E173" t="s">
        <v>34</v>
      </c>
      <c r="F173"/>
      <c r="G173"/>
    </row>
    <row r="174" spans="1:9">
      <c r="A174" t="s">
        <v>462</v>
      </c>
      <c r="B174" t="s">
        <v>123</v>
      </c>
      <c r="C174" s="92">
        <v>44891</v>
      </c>
      <c r="D174" t="e">
        <f>IF(ISBLANK(VLOOKUP($C174,'Intervenciones Networking'!$C:$J,3,FALSE)),"",VLOOKUP($C174,'Intervenciones Networking'!$C:$J,3,FALSE))</f>
        <v>#N/A</v>
      </c>
      <c r="E174" t="s">
        <v>450</v>
      </c>
      <c r="I174" s="96" t="e">
        <f>IF(ISBLANK(VLOOKUP($C174,'Intervenciones Networking'!$C:$J,7,FALSE)),"",VLOOKUP($C174,'Intervenciones Networking'!$C:$J,7,FALSE))</f>
        <v>#N/A</v>
      </c>
    </row>
    <row r="175" spans="1:9">
      <c r="A175" t="s">
        <v>462</v>
      </c>
      <c r="B175" t="s">
        <v>123</v>
      </c>
      <c r="C175" s="92">
        <v>44891</v>
      </c>
      <c r="E175" t="s">
        <v>34</v>
      </c>
      <c r="F175"/>
      <c r="G175"/>
    </row>
    <row r="176" spans="1:9">
      <c r="A176" t="s">
        <v>462</v>
      </c>
      <c r="B176" t="s">
        <v>124</v>
      </c>
      <c r="C176" s="92">
        <v>44892</v>
      </c>
      <c r="D176" t="e">
        <f>IF(ISBLANK(VLOOKUP($C176,'Intervenciones Networking'!$C:$J,3,FALSE)),"",VLOOKUP($C176,'Intervenciones Networking'!$C:$J,3,FALSE))</f>
        <v>#N/A</v>
      </c>
      <c r="E176" t="s">
        <v>450</v>
      </c>
      <c r="I176" s="96" t="e">
        <f>IF(ISBLANK(VLOOKUP($C176,'Intervenciones Networking'!$C:$J,7,FALSE)),"",VLOOKUP($C176,'Intervenciones Networking'!$C:$J,7,FALSE))</f>
        <v>#N/A</v>
      </c>
    </row>
    <row r="177" spans="1:9">
      <c r="A177" t="s">
        <v>462</v>
      </c>
      <c r="B177" t="s">
        <v>124</v>
      </c>
      <c r="C177" s="92">
        <v>44892</v>
      </c>
      <c r="E177" t="s">
        <v>34</v>
      </c>
      <c r="F177"/>
      <c r="G177"/>
    </row>
    <row r="178" spans="1:9">
      <c r="A178" t="s">
        <v>462</v>
      </c>
      <c r="B178" t="s">
        <v>125</v>
      </c>
      <c r="C178" s="92">
        <v>44893</v>
      </c>
      <c r="D178" t="e">
        <f>IF(ISBLANK(VLOOKUP($C178,'Intervenciones Networking'!$C:$J,3,FALSE)),"",VLOOKUP($C178,'Intervenciones Networking'!$C:$J,3,FALSE))</f>
        <v>#N/A</v>
      </c>
      <c r="E178" t="s">
        <v>450</v>
      </c>
      <c r="I178" s="96" t="e">
        <f>IF(ISBLANK(VLOOKUP($C178,'Intervenciones Networking'!$C:$J,7,FALSE)),"",VLOOKUP($C178,'Intervenciones Networking'!$C:$J,7,FALSE))</f>
        <v>#N/A</v>
      </c>
    </row>
    <row r="179" spans="1:9">
      <c r="A179" t="s">
        <v>462</v>
      </c>
      <c r="B179" t="s">
        <v>125</v>
      </c>
      <c r="C179" s="92">
        <v>44893</v>
      </c>
      <c r="E179" t="s">
        <v>34</v>
      </c>
      <c r="F179"/>
      <c r="G179"/>
    </row>
    <row r="180" spans="1:9">
      <c r="A180" t="s">
        <v>462</v>
      </c>
      <c r="B180" t="s">
        <v>460</v>
      </c>
      <c r="C180" s="92">
        <v>44894</v>
      </c>
      <c r="D180" t="e">
        <f>IF(ISBLANK(VLOOKUP($C180,'Intervenciones Networking'!$C:$J,3,FALSE)),"",VLOOKUP($C180,'Intervenciones Networking'!$C:$J,3,FALSE))</f>
        <v>#N/A</v>
      </c>
      <c r="E180" t="s">
        <v>450</v>
      </c>
      <c r="I180" s="96" t="e">
        <f>IF(ISBLANK(VLOOKUP($C180,'Intervenciones Networking'!$C:$J,7,FALSE)),"",VLOOKUP($C180,'Intervenciones Networking'!$C:$J,7,FALSE))</f>
        <v>#N/A</v>
      </c>
    </row>
    <row r="181" spans="1:9">
      <c r="A181" t="s">
        <v>462</v>
      </c>
      <c r="B181" t="s">
        <v>460</v>
      </c>
      <c r="C181" s="92">
        <v>44894</v>
      </c>
      <c r="E181" t="s">
        <v>34</v>
      </c>
      <c r="F181"/>
      <c r="G181"/>
    </row>
    <row r="182" spans="1:9">
      <c r="A182" t="s">
        <v>462</v>
      </c>
      <c r="B182" t="s">
        <v>120</v>
      </c>
      <c r="C182" s="92">
        <v>44895</v>
      </c>
      <c r="D182" t="e">
        <f>IF(ISBLANK(VLOOKUP($C182,'Intervenciones Networking'!$C:$J,3,FALSE)),"",VLOOKUP($C182,'Intervenciones Networking'!$C:$J,3,FALSE))</f>
        <v>#N/A</v>
      </c>
      <c r="E182" t="s">
        <v>450</v>
      </c>
      <c r="I182" s="96" t="e">
        <f>IF(ISBLANK(VLOOKUP($C182,'Intervenciones Networking'!$C:$J,7,FALSE)),"",VLOOKUP($C182,'Intervenciones Networking'!$C:$J,7,FALSE))</f>
        <v>#N/A</v>
      </c>
    </row>
    <row r="183" spans="1:9">
      <c r="A183" t="s">
        <v>462</v>
      </c>
      <c r="B183" t="s">
        <v>120</v>
      </c>
      <c r="C183" s="92">
        <v>44895</v>
      </c>
      <c r="E183" t="s">
        <v>34</v>
      </c>
      <c r="F183"/>
      <c r="G183"/>
    </row>
    <row r="184" spans="1:9">
      <c r="A184" t="s">
        <v>92</v>
      </c>
      <c r="B184" t="s">
        <v>121</v>
      </c>
      <c r="C184" s="92">
        <v>44896</v>
      </c>
      <c r="D184" t="str">
        <f>IF(ISBLANK(VLOOKUP($C184,'Intervenciones Networking'!$C:$J,3,FALSE)),"",VLOOKUP($C184,'Intervenciones Networking'!$C:$J,3,FALSE))</f>
        <v>Técnico</v>
      </c>
      <c r="E184" t="s">
        <v>450</v>
      </c>
      <c r="I184" s="96" t="str">
        <f>IF(ISBLANK(VLOOKUP($C184,'Intervenciones Networking'!$C:$J,7,FALSE)),"",VLOOKUP($C184,'Intervenciones Networking'!$C:$J,7,FALSE))</f>
        <v>Descripción</v>
      </c>
    </row>
    <row r="185" spans="1:9">
      <c r="A185" t="s">
        <v>92</v>
      </c>
      <c r="B185" t="s">
        <v>121</v>
      </c>
      <c r="C185" s="92">
        <v>44896</v>
      </c>
      <c r="E185" t="s">
        <v>34</v>
      </c>
      <c r="F185"/>
      <c r="G185"/>
    </row>
    <row r="186" spans="1:9">
      <c r="A186" t="s">
        <v>92</v>
      </c>
      <c r="B186" t="s">
        <v>311</v>
      </c>
      <c r="C186" s="92">
        <v>44897</v>
      </c>
      <c r="D186" t="e">
        <f>IF(ISBLANK(VLOOKUP($C186,'Intervenciones Networking'!$C:$J,3,FALSE)),"",VLOOKUP($C186,'Intervenciones Networking'!$C:$J,3,FALSE))</f>
        <v>#N/A</v>
      </c>
      <c r="E186" t="s">
        <v>450</v>
      </c>
      <c r="I186" s="96" t="e">
        <f>IF(ISBLANK(VLOOKUP($C186,'Intervenciones Networking'!$C:$J,7,FALSE)),"",VLOOKUP($C186,'Intervenciones Networking'!$C:$J,7,FALSE))</f>
        <v>#N/A</v>
      </c>
    </row>
    <row r="187" spans="1:9">
      <c r="A187" t="s">
        <v>92</v>
      </c>
      <c r="B187" t="s">
        <v>311</v>
      </c>
      <c r="C187" s="92">
        <v>44897</v>
      </c>
      <c r="E187" t="s">
        <v>34</v>
      </c>
      <c r="F187"/>
      <c r="G187"/>
    </row>
    <row r="188" spans="1:9">
      <c r="A188" t="s">
        <v>92</v>
      </c>
      <c r="B188" t="s">
        <v>123</v>
      </c>
      <c r="C188" s="92">
        <v>44898</v>
      </c>
      <c r="D188" t="e">
        <f>IF(ISBLANK(VLOOKUP($C188,'Intervenciones Networking'!$C:$J,3,FALSE)),"",VLOOKUP($C188,'Intervenciones Networking'!$C:$J,3,FALSE))</f>
        <v>#N/A</v>
      </c>
      <c r="E188" t="s">
        <v>450</v>
      </c>
      <c r="I188" s="96" t="e">
        <f>IF(ISBLANK(VLOOKUP($C188,'Intervenciones Networking'!$C:$J,7,FALSE)),"",VLOOKUP($C188,'Intervenciones Networking'!$C:$J,7,FALSE))</f>
        <v>#N/A</v>
      </c>
    </row>
    <row r="189" spans="1:9">
      <c r="A189" t="s">
        <v>92</v>
      </c>
      <c r="B189" t="s">
        <v>123</v>
      </c>
      <c r="C189" s="92">
        <v>44898</v>
      </c>
      <c r="E189" t="s">
        <v>34</v>
      </c>
      <c r="F189"/>
      <c r="G189"/>
    </row>
    <row r="190" spans="1:9">
      <c r="A190" t="s">
        <v>92</v>
      </c>
      <c r="B190" t="s">
        <v>124</v>
      </c>
      <c r="C190" s="92">
        <v>44899</v>
      </c>
      <c r="D190" t="e">
        <f>IF(ISBLANK(VLOOKUP($C190,'Intervenciones Networking'!$C:$J,3,FALSE)),"",VLOOKUP($C190,'Intervenciones Networking'!$C:$J,3,FALSE))</f>
        <v>#N/A</v>
      </c>
      <c r="E190" t="s">
        <v>450</v>
      </c>
      <c r="I190" s="96" t="e">
        <f>IF(ISBLANK(VLOOKUP($C190,'Intervenciones Networking'!$C:$J,7,FALSE)),"",VLOOKUP($C190,'Intervenciones Networking'!$C:$J,7,FALSE))</f>
        <v>#N/A</v>
      </c>
    </row>
    <row r="191" spans="1:9">
      <c r="A191" t="s">
        <v>92</v>
      </c>
      <c r="B191" t="s">
        <v>124</v>
      </c>
      <c r="C191" s="92">
        <v>44899</v>
      </c>
      <c r="E191" t="s">
        <v>34</v>
      </c>
      <c r="F191"/>
      <c r="G191"/>
    </row>
    <row r="192" spans="1:9">
      <c r="A192" t="s">
        <v>92</v>
      </c>
      <c r="B192" t="s">
        <v>125</v>
      </c>
      <c r="C192" s="92">
        <v>44900</v>
      </c>
      <c r="D192" t="e">
        <f>IF(ISBLANK(VLOOKUP($C192,'Intervenciones Networking'!$C:$J,3,FALSE)),"",VLOOKUP($C192,'Intervenciones Networking'!$C:$J,3,FALSE))</f>
        <v>#N/A</v>
      </c>
      <c r="E192" t="s">
        <v>450</v>
      </c>
      <c r="I192" s="96" t="e">
        <f>IF(ISBLANK(VLOOKUP($C192,'Intervenciones Networking'!$C:$J,7,FALSE)),"",VLOOKUP($C192,'Intervenciones Networking'!$C:$J,7,FALSE))</f>
        <v>#N/A</v>
      </c>
    </row>
    <row r="193" spans="1:9">
      <c r="A193" t="s">
        <v>92</v>
      </c>
      <c r="B193" t="s">
        <v>125</v>
      </c>
      <c r="C193" s="92">
        <v>44900</v>
      </c>
      <c r="E193" t="s">
        <v>34</v>
      </c>
      <c r="F193"/>
      <c r="G193"/>
    </row>
    <row r="194" spans="1:9">
      <c r="A194" t="s">
        <v>92</v>
      </c>
      <c r="B194" t="s">
        <v>460</v>
      </c>
      <c r="C194" s="92">
        <v>44901</v>
      </c>
      <c r="D194" t="e">
        <f>IF(ISBLANK(VLOOKUP($C194,'Intervenciones Networking'!$C:$J,3,FALSE)),"",VLOOKUP($C194,'Intervenciones Networking'!$C:$J,3,FALSE))</f>
        <v>#N/A</v>
      </c>
      <c r="E194" t="s">
        <v>450</v>
      </c>
      <c r="I194" s="96" t="e">
        <f>IF(ISBLANK(VLOOKUP($C194,'Intervenciones Networking'!$C:$J,7,FALSE)),"",VLOOKUP($C194,'Intervenciones Networking'!$C:$J,7,FALSE))</f>
        <v>#N/A</v>
      </c>
    </row>
    <row r="195" spans="1:9">
      <c r="A195" t="s">
        <v>92</v>
      </c>
      <c r="B195" t="s">
        <v>460</v>
      </c>
      <c r="C195" s="92">
        <v>44901</v>
      </c>
      <c r="E195" t="s">
        <v>34</v>
      </c>
      <c r="F195"/>
      <c r="G195"/>
    </row>
    <row r="196" spans="1:9">
      <c r="A196" t="s">
        <v>92</v>
      </c>
      <c r="B196" t="s">
        <v>120</v>
      </c>
      <c r="C196" s="92">
        <v>44902</v>
      </c>
      <c r="D196" t="e">
        <f>IF(ISBLANK(VLOOKUP($C196,'Intervenciones Networking'!$C:$J,3,FALSE)),"",VLOOKUP($C196,'Intervenciones Networking'!$C:$J,3,FALSE))</f>
        <v>#N/A</v>
      </c>
      <c r="E196" t="s">
        <v>450</v>
      </c>
      <c r="I196" s="96" t="e">
        <f>IF(ISBLANK(VLOOKUP($C196,'Intervenciones Networking'!$C:$J,7,FALSE)),"",VLOOKUP($C196,'Intervenciones Networking'!$C:$J,7,FALSE))</f>
        <v>#N/A</v>
      </c>
    </row>
    <row r="197" spans="1:9">
      <c r="A197" t="s">
        <v>92</v>
      </c>
      <c r="B197" t="s">
        <v>120</v>
      </c>
      <c r="C197" s="92">
        <v>44902</v>
      </c>
      <c r="E197" t="s">
        <v>34</v>
      </c>
      <c r="F197"/>
      <c r="G197"/>
    </row>
    <row r="198" spans="1:9">
      <c r="A198" t="s">
        <v>92</v>
      </c>
      <c r="B198" t="s">
        <v>121</v>
      </c>
      <c r="C198" s="92">
        <v>44903</v>
      </c>
      <c r="D198" t="e">
        <f>IF(ISBLANK(VLOOKUP($C198,'Intervenciones Networking'!$C:$J,3,FALSE)),"",VLOOKUP($C198,'Intervenciones Networking'!$C:$J,3,FALSE))</f>
        <v>#N/A</v>
      </c>
      <c r="E198" t="s">
        <v>450</v>
      </c>
      <c r="I198" s="96" t="e">
        <f>IF(ISBLANK(VLOOKUP($C198,'Intervenciones Networking'!$C:$J,7,FALSE)),"",VLOOKUP($C198,'Intervenciones Networking'!$C:$J,7,FALSE))</f>
        <v>#N/A</v>
      </c>
    </row>
    <row r="199" spans="1:9">
      <c r="A199" t="s">
        <v>92</v>
      </c>
      <c r="B199" t="s">
        <v>121</v>
      </c>
      <c r="C199" s="92">
        <v>44903</v>
      </c>
      <c r="E199" t="s">
        <v>34</v>
      </c>
      <c r="F199"/>
      <c r="G199"/>
    </row>
    <row r="200" spans="1:9">
      <c r="A200" t="s">
        <v>92</v>
      </c>
      <c r="B200" t="s">
        <v>311</v>
      </c>
      <c r="C200" s="92">
        <v>44904</v>
      </c>
      <c r="D200" t="e">
        <f>IF(ISBLANK(VLOOKUP($C200,'Intervenciones Networking'!$C:$J,3,FALSE)),"",VLOOKUP($C200,'Intervenciones Networking'!$C:$J,3,FALSE))</f>
        <v>#N/A</v>
      </c>
      <c r="E200" t="s">
        <v>450</v>
      </c>
      <c r="I200" s="96" t="e">
        <f>IF(ISBLANK(VLOOKUP($C200,'Intervenciones Networking'!$C:$J,7,FALSE)),"",VLOOKUP($C200,'Intervenciones Networking'!$C:$J,7,FALSE))</f>
        <v>#N/A</v>
      </c>
    </row>
    <row r="201" spans="1:9">
      <c r="A201" t="s">
        <v>92</v>
      </c>
      <c r="B201" t="s">
        <v>311</v>
      </c>
      <c r="C201" s="92">
        <v>44904</v>
      </c>
      <c r="E201" t="s">
        <v>34</v>
      </c>
      <c r="F201"/>
      <c r="G201"/>
    </row>
    <row r="202" spans="1:9">
      <c r="A202" t="s">
        <v>92</v>
      </c>
      <c r="B202" t="s">
        <v>123</v>
      </c>
      <c r="C202" s="92">
        <v>44905</v>
      </c>
      <c r="E202" t="s">
        <v>450</v>
      </c>
      <c r="I202" s="96" t="e">
        <f>IF(ISBLANK(VLOOKUP($C202,'Intervenciones Networking'!$C:$J,7,FALSE)),"",VLOOKUP($C202,'Intervenciones Networking'!$C:$J,7,FALSE))</f>
        <v>#N/A</v>
      </c>
    </row>
    <row r="203" spans="1:9">
      <c r="A203" t="s">
        <v>92</v>
      </c>
      <c r="B203" t="s">
        <v>123</v>
      </c>
      <c r="C203" s="92">
        <v>44905</v>
      </c>
      <c r="E203" t="s">
        <v>34</v>
      </c>
      <c r="F203"/>
      <c r="G203"/>
    </row>
    <row r="204" spans="1:9">
      <c r="A204" t="s">
        <v>92</v>
      </c>
      <c r="B204" t="s">
        <v>124</v>
      </c>
      <c r="C204" s="92">
        <v>44906</v>
      </c>
      <c r="E204" t="s">
        <v>450</v>
      </c>
      <c r="I204" s="96" t="e">
        <f>IF(ISBLANK(VLOOKUP($C204,'Intervenciones Networking'!$C:$J,7,FALSE)),"",VLOOKUP($C204,'Intervenciones Networking'!$C:$J,7,FALSE))</f>
        <v>#N/A</v>
      </c>
    </row>
    <row r="205" spans="1:9">
      <c r="A205" t="s">
        <v>92</v>
      </c>
      <c r="B205" t="s">
        <v>124</v>
      </c>
      <c r="C205" s="92">
        <v>44906</v>
      </c>
      <c r="E205" t="s">
        <v>34</v>
      </c>
      <c r="F205"/>
      <c r="G205"/>
    </row>
    <row r="206" spans="1:9">
      <c r="A206" t="s">
        <v>92</v>
      </c>
      <c r="B206" t="s">
        <v>125</v>
      </c>
      <c r="C206" s="92">
        <v>44907</v>
      </c>
      <c r="E206" t="s">
        <v>450</v>
      </c>
      <c r="I206" s="96" t="e">
        <f>IF(ISBLANK(VLOOKUP($C206,'Intervenciones Networking'!$C:$J,7,FALSE)),"",VLOOKUP($C206,'Intervenciones Networking'!$C:$J,7,FALSE))</f>
        <v>#N/A</v>
      </c>
    </row>
    <row r="207" spans="1:9">
      <c r="A207" t="s">
        <v>92</v>
      </c>
      <c r="B207" t="s">
        <v>125</v>
      </c>
      <c r="C207" s="92">
        <v>44907</v>
      </c>
      <c r="E207" t="s">
        <v>34</v>
      </c>
      <c r="F207"/>
      <c r="G207"/>
    </row>
    <row r="208" spans="1:9">
      <c r="A208" t="s">
        <v>92</v>
      </c>
      <c r="B208" t="s">
        <v>460</v>
      </c>
      <c r="C208" s="92">
        <v>44908</v>
      </c>
      <c r="E208" t="s">
        <v>450</v>
      </c>
      <c r="I208" s="96" t="e">
        <f>IF(ISBLANK(VLOOKUP($C208,'Intervenciones Networking'!$C:$J,7,FALSE)),"",VLOOKUP($C208,'Intervenciones Networking'!$C:$J,7,FALSE))</f>
        <v>#N/A</v>
      </c>
    </row>
    <row r="209" spans="1:9">
      <c r="A209" t="s">
        <v>92</v>
      </c>
      <c r="B209" t="s">
        <v>460</v>
      </c>
      <c r="C209" s="92">
        <v>44908</v>
      </c>
      <c r="E209" t="s">
        <v>34</v>
      </c>
      <c r="F209"/>
      <c r="G209"/>
    </row>
    <row r="210" spans="1:9">
      <c r="A210" t="s">
        <v>92</v>
      </c>
      <c r="B210" t="s">
        <v>120</v>
      </c>
      <c r="C210" s="92">
        <v>44909</v>
      </c>
      <c r="E210" t="s">
        <v>450</v>
      </c>
      <c r="I210" s="96" t="e">
        <f>IF(ISBLANK(VLOOKUP($C210,'Intervenciones Networking'!$C:$J,7,FALSE)),"",VLOOKUP($C210,'Intervenciones Networking'!$C:$J,7,FALSE))</f>
        <v>#N/A</v>
      </c>
    </row>
    <row r="211" spans="1:9">
      <c r="A211" t="s">
        <v>92</v>
      </c>
      <c r="B211" t="s">
        <v>120</v>
      </c>
      <c r="C211" s="92">
        <v>44909</v>
      </c>
      <c r="E211" t="s">
        <v>34</v>
      </c>
      <c r="F211"/>
      <c r="G211"/>
    </row>
    <row r="212" spans="1:9">
      <c r="A212" t="s">
        <v>92</v>
      </c>
      <c r="B212" t="s">
        <v>121</v>
      </c>
      <c r="C212" s="92">
        <v>44910</v>
      </c>
      <c r="E212" t="s">
        <v>450</v>
      </c>
      <c r="I212" s="96" t="e">
        <f>IF(ISBLANK(VLOOKUP($C212,'Intervenciones Networking'!$C:$J,7,FALSE)),"",VLOOKUP($C212,'Intervenciones Networking'!$C:$J,7,FALSE))</f>
        <v>#N/A</v>
      </c>
    </row>
    <row r="213" spans="1:9">
      <c r="A213" t="s">
        <v>92</v>
      </c>
      <c r="B213" t="s">
        <v>121</v>
      </c>
      <c r="C213" s="92">
        <v>44910</v>
      </c>
      <c r="E213" t="s">
        <v>34</v>
      </c>
      <c r="F213"/>
      <c r="G213"/>
    </row>
    <row r="214" spans="1:9">
      <c r="A214" t="s">
        <v>92</v>
      </c>
      <c r="B214" t="s">
        <v>311</v>
      </c>
      <c r="C214" s="92">
        <v>44911</v>
      </c>
      <c r="E214" t="s">
        <v>450</v>
      </c>
      <c r="I214" s="96" t="e">
        <f>IF(ISBLANK(VLOOKUP($C214,'Intervenciones Networking'!$C:$J,7,FALSE)),"",VLOOKUP($C214,'Intervenciones Networking'!$C:$J,7,FALSE))</f>
        <v>#N/A</v>
      </c>
    </row>
    <row r="215" spans="1:9">
      <c r="A215" t="s">
        <v>92</v>
      </c>
      <c r="B215" t="s">
        <v>311</v>
      </c>
      <c r="C215" s="92">
        <v>44911</v>
      </c>
      <c r="E215" t="s">
        <v>34</v>
      </c>
      <c r="F215"/>
      <c r="G215"/>
    </row>
    <row r="216" spans="1:9">
      <c r="A216" t="s">
        <v>92</v>
      </c>
      <c r="B216" t="s">
        <v>123</v>
      </c>
      <c r="C216" s="92">
        <v>44912</v>
      </c>
      <c r="E216" t="s">
        <v>450</v>
      </c>
      <c r="I216" s="96" t="e">
        <f>IF(ISBLANK(VLOOKUP($C216,'Intervenciones Networking'!$C:$J,7,FALSE)),"",VLOOKUP($C216,'Intervenciones Networking'!$C:$J,7,FALSE))</f>
        <v>#N/A</v>
      </c>
    </row>
    <row r="217" spans="1:9">
      <c r="A217" t="s">
        <v>92</v>
      </c>
      <c r="B217" t="s">
        <v>123</v>
      </c>
      <c r="C217" s="92">
        <v>44912</v>
      </c>
      <c r="E217" t="s">
        <v>34</v>
      </c>
      <c r="F217"/>
      <c r="G217"/>
    </row>
    <row r="218" spans="1:9">
      <c r="A218" t="s">
        <v>92</v>
      </c>
      <c r="B218" t="s">
        <v>124</v>
      </c>
      <c r="C218" s="92">
        <v>44913</v>
      </c>
      <c r="E218" t="s">
        <v>450</v>
      </c>
      <c r="I218" s="96" t="e">
        <f>IF(ISBLANK(VLOOKUP($C218,'Intervenciones Networking'!$C:$J,7,FALSE)),"",VLOOKUP($C218,'Intervenciones Networking'!$C:$J,7,FALSE))</f>
        <v>#N/A</v>
      </c>
    </row>
    <row r="219" spans="1:9">
      <c r="A219" t="s">
        <v>92</v>
      </c>
      <c r="B219" t="s">
        <v>124</v>
      </c>
      <c r="C219" s="92">
        <v>44913</v>
      </c>
      <c r="E219" t="s">
        <v>34</v>
      </c>
      <c r="F219"/>
      <c r="G219"/>
    </row>
    <row r="220" spans="1:9">
      <c r="A220" t="s">
        <v>92</v>
      </c>
      <c r="B220" t="s">
        <v>125</v>
      </c>
      <c r="C220" s="92">
        <v>44914</v>
      </c>
      <c r="E220" t="s">
        <v>450</v>
      </c>
      <c r="I220" s="96" t="e">
        <f>IF(ISBLANK(VLOOKUP($C220,'Intervenciones Networking'!$C:$J,7,FALSE)),"",VLOOKUP($C220,'Intervenciones Networking'!$C:$J,7,FALSE))</f>
        <v>#N/A</v>
      </c>
    </row>
    <row r="221" spans="1:9">
      <c r="A221" t="s">
        <v>92</v>
      </c>
      <c r="B221" t="s">
        <v>125</v>
      </c>
      <c r="C221" s="92">
        <v>44914</v>
      </c>
      <c r="E221" t="s">
        <v>34</v>
      </c>
      <c r="F221"/>
      <c r="G221"/>
    </row>
    <row r="222" spans="1:9">
      <c r="A222" t="s">
        <v>92</v>
      </c>
      <c r="B222" t="s">
        <v>460</v>
      </c>
      <c r="C222" s="92">
        <v>44915</v>
      </c>
      <c r="E222" t="s">
        <v>450</v>
      </c>
      <c r="I222" s="96" t="e">
        <f>IF(ISBLANK(VLOOKUP($C222,'Intervenciones Networking'!$C:$J,7,FALSE)),"",VLOOKUP($C222,'Intervenciones Networking'!$C:$J,7,FALSE))</f>
        <v>#N/A</v>
      </c>
    </row>
    <row r="223" spans="1:9">
      <c r="A223" t="s">
        <v>92</v>
      </c>
      <c r="B223" t="s">
        <v>460</v>
      </c>
      <c r="C223" s="92">
        <v>44915</v>
      </c>
      <c r="E223" t="s">
        <v>34</v>
      </c>
      <c r="F223"/>
      <c r="G223"/>
    </row>
    <row r="224" spans="1:9">
      <c r="A224" t="s">
        <v>92</v>
      </c>
      <c r="B224" t="s">
        <v>120</v>
      </c>
      <c r="C224" s="92">
        <v>44916</v>
      </c>
      <c r="E224" t="s">
        <v>450</v>
      </c>
      <c r="I224" s="96" t="e">
        <f>IF(ISBLANK(VLOOKUP($C224,'Intervenciones Networking'!$C:$J,7,FALSE)),"",VLOOKUP($C224,'Intervenciones Networking'!$C:$J,7,FALSE))</f>
        <v>#N/A</v>
      </c>
    </row>
    <row r="225" spans="1:9">
      <c r="A225" t="s">
        <v>92</v>
      </c>
      <c r="B225" t="s">
        <v>120</v>
      </c>
      <c r="C225" s="92">
        <v>44916</v>
      </c>
      <c r="E225" t="s">
        <v>34</v>
      </c>
      <c r="F225"/>
      <c r="G225"/>
    </row>
    <row r="226" spans="1:9">
      <c r="A226" t="s">
        <v>92</v>
      </c>
      <c r="B226" t="s">
        <v>121</v>
      </c>
      <c r="C226" s="92">
        <v>44917</v>
      </c>
      <c r="E226" t="s">
        <v>450</v>
      </c>
      <c r="I226" s="96" t="e">
        <f>IF(ISBLANK(VLOOKUP($C226,'Intervenciones Networking'!$C:$J,7,FALSE)),"",VLOOKUP($C226,'Intervenciones Networking'!$C:$J,7,FALSE))</f>
        <v>#N/A</v>
      </c>
    </row>
    <row r="227" spans="1:9">
      <c r="A227" t="s">
        <v>92</v>
      </c>
      <c r="B227" t="s">
        <v>121</v>
      </c>
      <c r="C227" s="92">
        <v>44917</v>
      </c>
      <c r="E227" t="s">
        <v>34</v>
      </c>
      <c r="F227"/>
      <c r="G227"/>
    </row>
    <row r="228" spans="1:9">
      <c r="A228" t="s">
        <v>92</v>
      </c>
      <c r="B228" t="s">
        <v>311</v>
      </c>
      <c r="C228" s="92">
        <v>44918</v>
      </c>
      <c r="E228" t="s">
        <v>450</v>
      </c>
      <c r="I228" s="96" t="e">
        <f>IF(ISBLANK(VLOOKUP($C228,'Intervenciones Networking'!$C:$J,7,FALSE)),"",VLOOKUP($C228,'Intervenciones Networking'!$C:$J,7,FALSE))</f>
        <v>#N/A</v>
      </c>
    </row>
    <row r="229" spans="1:9">
      <c r="A229" t="s">
        <v>92</v>
      </c>
      <c r="B229" t="s">
        <v>311</v>
      </c>
      <c r="C229" s="92">
        <v>44918</v>
      </c>
      <c r="E229" t="s">
        <v>34</v>
      </c>
      <c r="F229"/>
      <c r="G229"/>
    </row>
    <row r="230" spans="1:9">
      <c r="A230" t="s">
        <v>92</v>
      </c>
      <c r="B230" t="s">
        <v>123</v>
      </c>
      <c r="C230" s="92">
        <v>44919</v>
      </c>
      <c r="E230" t="s">
        <v>450</v>
      </c>
      <c r="I230" s="96" t="e">
        <f>IF(ISBLANK(VLOOKUP($C230,'Intervenciones Networking'!$C:$J,7,FALSE)),"",VLOOKUP($C230,'Intervenciones Networking'!$C:$J,7,FALSE))</f>
        <v>#N/A</v>
      </c>
    </row>
    <row r="231" spans="1:9">
      <c r="A231" t="s">
        <v>92</v>
      </c>
      <c r="B231" t="s">
        <v>123</v>
      </c>
      <c r="C231" s="92">
        <v>44919</v>
      </c>
      <c r="E231" t="s">
        <v>34</v>
      </c>
      <c r="F231"/>
      <c r="G231"/>
    </row>
    <row r="232" spans="1:9">
      <c r="A232" t="s">
        <v>92</v>
      </c>
      <c r="B232" t="s">
        <v>124</v>
      </c>
      <c r="C232" s="92">
        <v>44920</v>
      </c>
      <c r="E232" t="s">
        <v>450</v>
      </c>
      <c r="I232" s="96" t="e">
        <f>IF(ISBLANK(VLOOKUP($C232,'Intervenciones Networking'!$C:$J,7,FALSE)),"",VLOOKUP($C232,'Intervenciones Networking'!$C:$J,7,FALSE))</f>
        <v>#N/A</v>
      </c>
    </row>
    <row r="233" spans="1:9">
      <c r="A233" t="s">
        <v>92</v>
      </c>
      <c r="B233" t="s">
        <v>124</v>
      </c>
      <c r="C233" s="92">
        <v>44920</v>
      </c>
      <c r="E233" t="s">
        <v>34</v>
      </c>
      <c r="F233"/>
      <c r="G233"/>
    </row>
    <row r="234" spans="1:9">
      <c r="A234" t="s">
        <v>92</v>
      </c>
      <c r="B234" t="s">
        <v>125</v>
      </c>
      <c r="C234" s="92">
        <v>44921</v>
      </c>
      <c r="E234" t="s">
        <v>450</v>
      </c>
      <c r="I234" s="96" t="e">
        <f>IF(ISBLANK(VLOOKUP($C234,'Intervenciones Networking'!$C:$J,7,FALSE)),"",VLOOKUP($C234,'Intervenciones Networking'!$C:$J,7,FALSE))</f>
        <v>#N/A</v>
      </c>
    </row>
    <row r="235" spans="1:9">
      <c r="A235" t="s">
        <v>92</v>
      </c>
      <c r="B235" t="s">
        <v>125</v>
      </c>
      <c r="C235" s="92">
        <v>44921</v>
      </c>
      <c r="E235" t="s">
        <v>34</v>
      </c>
      <c r="F235"/>
      <c r="G235"/>
    </row>
    <row r="236" spans="1:9">
      <c r="A236" t="s">
        <v>92</v>
      </c>
      <c r="B236" t="s">
        <v>460</v>
      </c>
      <c r="C236" s="92">
        <v>44922</v>
      </c>
      <c r="E236" t="s">
        <v>450</v>
      </c>
      <c r="I236" s="96" t="e">
        <f>IF(ISBLANK(VLOOKUP($C236,'Intervenciones Networking'!$C:$J,7,FALSE)),"",VLOOKUP($C236,'Intervenciones Networking'!$C:$J,7,FALSE))</f>
        <v>#N/A</v>
      </c>
    </row>
    <row r="237" spans="1:9">
      <c r="A237" t="s">
        <v>92</v>
      </c>
      <c r="B237" t="s">
        <v>460</v>
      </c>
      <c r="C237" s="92">
        <v>44922</v>
      </c>
      <c r="E237" t="s">
        <v>34</v>
      </c>
      <c r="F237"/>
      <c r="G237"/>
    </row>
    <row r="238" spans="1:9">
      <c r="A238" t="s">
        <v>92</v>
      </c>
      <c r="B238" t="s">
        <v>120</v>
      </c>
      <c r="C238" s="92">
        <v>44923</v>
      </c>
      <c r="E238" t="s">
        <v>450</v>
      </c>
    </row>
    <row r="239" spans="1:9">
      <c r="A239" t="s">
        <v>92</v>
      </c>
      <c r="B239" t="s">
        <v>120</v>
      </c>
      <c r="C239" s="92">
        <v>44923</v>
      </c>
      <c r="E239" t="s">
        <v>34</v>
      </c>
      <c r="F239"/>
      <c r="G239"/>
    </row>
    <row r="240" spans="1:9">
      <c r="A240" t="s">
        <v>92</v>
      </c>
      <c r="B240" t="s">
        <v>121</v>
      </c>
      <c r="C240" s="92">
        <v>44924</v>
      </c>
      <c r="E240" t="s">
        <v>450</v>
      </c>
    </row>
    <row r="241" spans="1:7">
      <c r="A241" t="s">
        <v>92</v>
      </c>
      <c r="B241" t="s">
        <v>121</v>
      </c>
      <c r="C241" s="92">
        <v>44924</v>
      </c>
      <c r="E241" t="s">
        <v>34</v>
      </c>
      <c r="F241"/>
      <c r="G241"/>
    </row>
    <row r="242" spans="1:7">
      <c r="A242" t="s">
        <v>92</v>
      </c>
      <c r="B242" t="s">
        <v>311</v>
      </c>
      <c r="C242" s="92">
        <v>44925</v>
      </c>
      <c r="E242" t="s">
        <v>450</v>
      </c>
    </row>
    <row r="243" spans="1:7">
      <c r="A243" t="s">
        <v>92</v>
      </c>
      <c r="B243" t="s">
        <v>311</v>
      </c>
      <c r="C243" s="92">
        <v>44925</v>
      </c>
      <c r="E243" t="s">
        <v>34</v>
      </c>
      <c r="F243"/>
      <c r="G243"/>
    </row>
    <row r="244" spans="1:7">
      <c r="A244" t="s">
        <v>92</v>
      </c>
      <c r="B244" t="s">
        <v>123</v>
      </c>
      <c r="C244" s="92">
        <v>44926</v>
      </c>
      <c r="E244" t="s">
        <v>450</v>
      </c>
    </row>
    <row r="245" spans="1:7">
      <c r="A245" t="s">
        <v>92</v>
      </c>
      <c r="B245" t="s">
        <v>123</v>
      </c>
      <c r="C245" s="92">
        <v>44926</v>
      </c>
      <c r="E245" t="s">
        <v>34</v>
      </c>
      <c r="F245"/>
      <c r="G245"/>
    </row>
    <row r="246" spans="1:7">
      <c r="C246" s="92"/>
      <c r="F246"/>
      <c r="G246"/>
    </row>
    <row r="247" spans="1:7">
      <c r="C247" s="92"/>
      <c r="F247"/>
      <c r="G247"/>
    </row>
    <row r="248" spans="1:7">
      <c r="C248" s="92"/>
      <c r="F248"/>
      <c r="G248"/>
    </row>
    <row r="249" spans="1:7">
      <c r="C249" s="92"/>
      <c r="F249"/>
      <c r="G249"/>
    </row>
    <row r="250" spans="1:7">
      <c r="C250" s="92"/>
      <c r="F250"/>
      <c r="G250"/>
    </row>
    <row r="251" spans="1:7">
      <c r="C251" s="92"/>
      <c r="F251"/>
      <c r="G251"/>
    </row>
    <row r="252" spans="1:7">
      <c r="C252" s="92"/>
      <c r="F252"/>
      <c r="G252"/>
    </row>
    <row r="253" spans="1:7">
      <c r="C253" s="92"/>
      <c r="F253"/>
      <c r="G253"/>
    </row>
    <row r="254" spans="1:7">
      <c r="C254" s="92"/>
      <c r="F254"/>
      <c r="G254"/>
    </row>
    <row r="255" spans="1:7">
      <c r="C255" s="92"/>
      <c r="F255"/>
      <c r="G255"/>
    </row>
    <row r="256" spans="1:7">
      <c r="C256" s="92"/>
      <c r="F256"/>
      <c r="G256"/>
    </row>
    <row r="257" spans="3:7">
      <c r="C257" s="92"/>
      <c r="F257"/>
      <c r="G257"/>
    </row>
    <row r="258" spans="3:7">
      <c r="C258" s="92"/>
      <c r="F258"/>
      <c r="G258"/>
    </row>
    <row r="259" spans="3:7">
      <c r="C259" s="92"/>
      <c r="F259"/>
      <c r="G259"/>
    </row>
    <row r="260" spans="3:7">
      <c r="C260" s="92"/>
      <c r="F260"/>
      <c r="G260"/>
    </row>
    <row r="261" spans="3:7">
      <c r="C261" s="92"/>
      <c r="F261"/>
      <c r="G261"/>
    </row>
    <row r="262" spans="3:7">
      <c r="C262" s="92"/>
      <c r="F262"/>
      <c r="G262"/>
    </row>
    <row r="263" spans="3:7">
      <c r="C263" s="92"/>
      <c r="F263"/>
      <c r="G263"/>
    </row>
    <row r="264" spans="3:7">
      <c r="C264" s="92"/>
      <c r="F264"/>
      <c r="G264"/>
    </row>
    <row r="265" spans="3:7">
      <c r="C265" s="92"/>
      <c r="F265"/>
      <c r="G265"/>
    </row>
    <row r="266" spans="3:7">
      <c r="C266" s="92"/>
      <c r="F266"/>
      <c r="G266"/>
    </row>
    <row r="267" spans="3:7">
      <c r="C267" s="92"/>
      <c r="F267"/>
      <c r="G267"/>
    </row>
    <row r="268" spans="3:7">
      <c r="C268" s="92"/>
      <c r="F268"/>
      <c r="G268"/>
    </row>
    <row r="269" spans="3:7">
      <c r="C269" s="92"/>
      <c r="F269"/>
      <c r="G269"/>
    </row>
    <row r="270" spans="3:7">
      <c r="C270" s="92"/>
      <c r="F270"/>
      <c r="G270"/>
    </row>
    <row r="271" spans="3:7">
      <c r="C271" s="92"/>
      <c r="F271"/>
      <c r="G271"/>
    </row>
    <row r="272" spans="3:7">
      <c r="C272" s="92"/>
      <c r="F272"/>
      <c r="G272"/>
    </row>
    <row r="273" spans="3:7">
      <c r="C273" s="92"/>
      <c r="F273"/>
      <c r="G273"/>
    </row>
    <row r="274" spans="3:7">
      <c r="C274" s="92"/>
      <c r="F274"/>
      <c r="G274"/>
    </row>
    <row r="275" spans="3:7">
      <c r="C275" s="92"/>
      <c r="F275"/>
      <c r="G275"/>
    </row>
    <row r="276" spans="3:7">
      <c r="C276" s="92"/>
      <c r="F276"/>
      <c r="G276"/>
    </row>
    <row r="277" spans="3:7">
      <c r="C277" s="92"/>
      <c r="F277"/>
      <c r="G277"/>
    </row>
    <row r="278" spans="3:7">
      <c r="C278" s="92"/>
      <c r="F278"/>
      <c r="G278"/>
    </row>
    <row r="279" spans="3:7">
      <c r="C279" s="92"/>
      <c r="F279"/>
      <c r="G279"/>
    </row>
    <row r="280" spans="3:7">
      <c r="C280" s="92"/>
      <c r="F280"/>
      <c r="G280"/>
    </row>
    <row r="281" spans="3:7">
      <c r="C281" s="92"/>
      <c r="F281"/>
      <c r="G281"/>
    </row>
    <row r="282" spans="3:7">
      <c r="C282" s="92"/>
      <c r="F282"/>
      <c r="G282"/>
    </row>
    <row r="283" spans="3:7">
      <c r="C283" s="92"/>
      <c r="F283"/>
      <c r="G283"/>
    </row>
    <row r="284" spans="3:7">
      <c r="C284" s="92"/>
      <c r="F284"/>
      <c r="G284"/>
    </row>
    <row r="285" spans="3:7">
      <c r="C285" s="92"/>
      <c r="F285"/>
      <c r="G285"/>
    </row>
    <row r="286" spans="3:7">
      <c r="C286" s="92"/>
      <c r="F286"/>
      <c r="G286"/>
    </row>
    <row r="287" spans="3:7">
      <c r="C287" s="92"/>
      <c r="F287"/>
      <c r="G287"/>
    </row>
    <row r="288" spans="3:7">
      <c r="C288" s="92"/>
      <c r="F288"/>
      <c r="G288"/>
    </row>
    <row r="289" spans="3:7">
      <c r="C289" s="92"/>
      <c r="F289"/>
      <c r="G289"/>
    </row>
    <row r="290" spans="3:7">
      <c r="C290" s="92"/>
      <c r="F290"/>
      <c r="G290"/>
    </row>
    <row r="291" spans="3:7">
      <c r="C291" s="92"/>
      <c r="F291"/>
      <c r="G291"/>
    </row>
    <row r="292" spans="3:7">
      <c r="C292" s="92"/>
      <c r="F292"/>
      <c r="G292"/>
    </row>
    <row r="293" spans="3:7">
      <c r="C293" s="92"/>
      <c r="F293"/>
      <c r="G293"/>
    </row>
    <row r="294" spans="3:7">
      <c r="C294" s="92"/>
      <c r="F294"/>
      <c r="G294"/>
    </row>
    <row r="295" spans="3:7">
      <c r="C295" s="92"/>
      <c r="F295"/>
      <c r="G295"/>
    </row>
    <row r="296" spans="3:7">
      <c r="C296" s="92"/>
      <c r="F296"/>
      <c r="G296"/>
    </row>
    <row r="297" spans="3:7">
      <c r="C297" s="92"/>
      <c r="F297"/>
      <c r="G297"/>
    </row>
    <row r="298" spans="3:7">
      <c r="C298" s="92"/>
      <c r="F298"/>
      <c r="G298"/>
    </row>
    <row r="299" spans="3:7">
      <c r="C299" s="92"/>
      <c r="F299"/>
      <c r="G299"/>
    </row>
    <row r="300" spans="3:7">
      <c r="C300" s="92"/>
      <c r="F300"/>
      <c r="G300"/>
    </row>
    <row r="301" spans="3:7">
      <c r="C301" s="92"/>
      <c r="F301"/>
      <c r="G301"/>
    </row>
    <row r="302" spans="3:7">
      <c r="C302" s="92"/>
      <c r="F302"/>
      <c r="G302"/>
    </row>
    <row r="303" spans="3:7">
      <c r="C303" s="92"/>
      <c r="F303"/>
      <c r="G303"/>
    </row>
    <row r="304" spans="3:7">
      <c r="C304" s="92"/>
      <c r="F304"/>
      <c r="G304"/>
    </row>
    <row r="305" spans="3:7">
      <c r="C305" s="92"/>
      <c r="F305"/>
      <c r="G305"/>
    </row>
    <row r="306" spans="3:7">
      <c r="C306" s="92"/>
      <c r="F306"/>
      <c r="G306"/>
    </row>
    <row r="307" spans="3:7">
      <c r="C307" s="92"/>
      <c r="F307"/>
      <c r="G307"/>
    </row>
    <row r="308" spans="3:7">
      <c r="C308" s="92"/>
      <c r="F308"/>
      <c r="G308"/>
    </row>
    <row r="309" spans="3:7">
      <c r="C309" s="92"/>
      <c r="F309"/>
      <c r="G309"/>
    </row>
    <row r="310" spans="3:7">
      <c r="C310" s="92"/>
      <c r="F310"/>
      <c r="G310"/>
    </row>
    <row r="311" spans="3:7">
      <c r="C311" s="92"/>
      <c r="F311"/>
      <c r="G311"/>
    </row>
    <row r="312" spans="3:7">
      <c r="C312" s="92"/>
      <c r="F312"/>
      <c r="G312"/>
    </row>
    <row r="313" spans="3:7">
      <c r="C313" s="92"/>
      <c r="F313"/>
      <c r="G313"/>
    </row>
    <row r="314" spans="3:7">
      <c r="C314" s="92"/>
      <c r="F314"/>
      <c r="G314"/>
    </row>
    <row r="315" spans="3:7">
      <c r="C315" s="92"/>
      <c r="F315"/>
      <c r="G315"/>
    </row>
    <row r="316" spans="3:7">
      <c r="C316" s="92"/>
      <c r="F316"/>
      <c r="G316"/>
    </row>
    <row r="317" spans="3:7">
      <c r="C317" s="92"/>
      <c r="F317"/>
      <c r="G317"/>
    </row>
    <row r="318" spans="3:7">
      <c r="C318" s="92"/>
      <c r="F318"/>
      <c r="G318"/>
    </row>
    <row r="319" spans="3:7">
      <c r="C319" s="92"/>
      <c r="F319"/>
      <c r="G319"/>
    </row>
    <row r="320" spans="3:7">
      <c r="C320" s="92"/>
      <c r="F320"/>
      <c r="G320"/>
    </row>
    <row r="321" spans="3:7">
      <c r="C321" s="92"/>
      <c r="F321"/>
      <c r="G321"/>
    </row>
    <row r="322" spans="3:7">
      <c r="C322" s="92"/>
      <c r="F322"/>
      <c r="G322"/>
    </row>
    <row r="323" spans="3:7">
      <c r="C323" s="92"/>
      <c r="F323"/>
      <c r="G323"/>
    </row>
    <row r="324" spans="3:7">
      <c r="C324" s="92"/>
      <c r="F324"/>
      <c r="G324"/>
    </row>
    <row r="325" spans="3:7">
      <c r="C325" s="92"/>
      <c r="F325"/>
      <c r="G325"/>
    </row>
    <row r="326" spans="3:7">
      <c r="C326" s="92"/>
      <c r="F326"/>
      <c r="G326"/>
    </row>
    <row r="327" spans="3:7">
      <c r="C327" s="92"/>
      <c r="F327"/>
      <c r="G327"/>
    </row>
    <row r="328" spans="3:7">
      <c r="C328" s="92"/>
      <c r="F328"/>
      <c r="G328"/>
    </row>
    <row r="329" spans="3:7">
      <c r="C329" s="92"/>
      <c r="F329"/>
      <c r="G329"/>
    </row>
    <row r="330" spans="3:7">
      <c r="C330" s="92"/>
      <c r="F330"/>
      <c r="G330"/>
    </row>
    <row r="331" spans="3:7">
      <c r="C331" s="92"/>
      <c r="F331"/>
      <c r="G331"/>
    </row>
    <row r="332" spans="3:7">
      <c r="C332" s="92"/>
      <c r="F332"/>
      <c r="G332"/>
    </row>
    <row r="333" spans="3:7">
      <c r="C333" s="92"/>
      <c r="F333"/>
      <c r="G333"/>
    </row>
    <row r="334" spans="3:7">
      <c r="C334" s="92"/>
      <c r="F334"/>
      <c r="G334"/>
    </row>
    <row r="335" spans="3:7">
      <c r="C335" s="92"/>
      <c r="F335"/>
      <c r="G335"/>
    </row>
    <row r="336" spans="3:7">
      <c r="C336" s="92"/>
      <c r="F336"/>
      <c r="G336"/>
    </row>
    <row r="337" spans="3:7">
      <c r="C337" s="92"/>
      <c r="F337"/>
      <c r="G337"/>
    </row>
    <row r="338" spans="3:7">
      <c r="C338" s="92"/>
      <c r="F338"/>
      <c r="G338"/>
    </row>
    <row r="339" spans="3:7">
      <c r="C339" s="92"/>
      <c r="F339"/>
      <c r="G339"/>
    </row>
    <row r="340" spans="3:7">
      <c r="C340" s="92"/>
      <c r="F340"/>
      <c r="G340"/>
    </row>
    <row r="341" spans="3:7">
      <c r="C341" s="92"/>
      <c r="F341"/>
      <c r="G341"/>
    </row>
    <row r="342" spans="3:7">
      <c r="C342" s="92"/>
      <c r="F342"/>
      <c r="G342"/>
    </row>
    <row r="343" spans="3:7">
      <c r="C343" s="92"/>
      <c r="F343"/>
      <c r="G343"/>
    </row>
    <row r="344" spans="3:7">
      <c r="C344" s="92"/>
      <c r="F344"/>
      <c r="G344"/>
    </row>
    <row r="345" spans="3:7">
      <c r="C345" s="92"/>
      <c r="F345"/>
      <c r="G345"/>
    </row>
    <row r="346" spans="3:7">
      <c r="C346" s="92"/>
      <c r="F346"/>
      <c r="G346"/>
    </row>
    <row r="347" spans="3:7">
      <c r="C347" s="92"/>
      <c r="F347"/>
      <c r="G347"/>
    </row>
    <row r="348" spans="3:7">
      <c r="C348" s="92"/>
      <c r="F348"/>
      <c r="G348"/>
    </row>
    <row r="349" spans="3:7">
      <c r="C349" s="92"/>
      <c r="F349"/>
      <c r="G349"/>
    </row>
    <row r="350" spans="3:7">
      <c r="C350" s="92"/>
      <c r="F350"/>
      <c r="G350"/>
    </row>
    <row r="351" spans="3:7">
      <c r="C351" s="92"/>
      <c r="F351"/>
      <c r="G351"/>
    </row>
    <row r="352" spans="3:7">
      <c r="C352" s="92"/>
      <c r="F352"/>
      <c r="G352"/>
    </row>
    <row r="353" spans="3:7">
      <c r="C353" s="92"/>
      <c r="F353"/>
      <c r="G353"/>
    </row>
    <row r="354" spans="3:7">
      <c r="C354" s="92"/>
      <c r="F354"/>
      <c r="G354"/>
    </row>
    <row r="355" spans="3:7">
      <c r="C355" s="92"/>
      <c r="F355"/>
      <c r="G355"/>
    </row>
    <row r="356" spans="3:7">
      <c r="C356" s="92"/>
      <c r="F356"/>
      <c r="G356"/>
    </row>
    <row r="357" spans="3:7">
      <c r="C357" s="92"/>
      <c r="F357"/>
      <c r="G357"/>
    </row>
    <row r="358" spans="3:7">
      <c r="C358" s="92"/>
      <c r="F358"/>
      <c r="G358"/>
    </row>
    <row r="359" spans="3:7">
      <c r="C359" s="92"/>
      <c r="F359"/>
      <c r="G359"/>
    </row>
    <row r="360" spans="3:7">
      <c r="C360" s="92"/>
      <c r="F360"/>
      <c r="G360"/>
    </row>
    <row r="361" spans="3:7">
      <c r="C361" s="92"/>
      <c r="F361"/>
      <c r="G361"/>
    </row>
    <row r="362" spans="3:7">
      <c r="C362" s="92"/>
      <c r="F362"/>
      <c r="G362"/>
    </row>
    <row r="363" spans="3:7">
      <c r="C363" s="92"/>
      <c r="F363"/>
      <c r="G363"/>
    </row>
    <row r="364" spans="3:7">
      <c r="C364" s="92"/>
      <c r="F364"/>
      <c r="G364"/>
    </row>
    <row r="365" spans="3:7">
      <c r="C365" s="92"/>
      <c r="F365"/>
      <c r="G365"/>
    </row>
    <row r="366" spans="3:7">
      <c r="C366" s="92"/>
      <c r="F366"/>
      <c r="G366"/>
    </row>
    <row r="367" spans="3:7">
      <c r="C367" s="92"/>
      <c r="F367"/>
      <c r="G367"/>
    </row>
    <row r="368" spans="3:7">
      <c r="C368" s="92"/>
      <c r="F368"/>
      <c r="G368"/>
    </row>
    <row r="369" spans="3:7">
      <c r="C369" s="92"/>
      <c r="F369"/>
      <c r="G369"/>
    </row>
    <row r="370" spans="3:7">
      <c r="C370" s="92"/>
      <c r="F370"/>
      <c r="G370"/>
    </row>
    <row r="371" spans="3:7">
      <c r="C371" s="92"/>
      <c r="F371"/>
      <c r="G371"/>
    </row>
    <row r="372" spans="3:7">
      <c r="C372" s="92"/>
      <c r="F372"/>
      <c r="G372"/>
    </row>
    <row r="373" spans="3:7">
      <c r="C373" s="92"/>
      <c r="F373"/>
      <c r="G373"/>
    </row>
    <row r="374" spans="3:7">
      <c r="C374" s="92"/>
      <c r="F374"/>
      <c r="G374"/>
    </row>
    <row r="375" spans="3:7">
      <c r="C375" s="92"/>
      <c r="F375"/>
      <c r="G375"/>
    </row>
    <row r="376" spans="3:7">
      <c r="C376" s="92"/>
      <c r="F376"/>
      <c r="G376"/>
    </row>
    <row r="377" spans="3:7">
      <c r="C377" s="92"/>
      <c r="F377"/>
      <c r="G377"/>
    </row>
    <row r="378" spans="3:7">
      <c r="C378" s="92"/>
      <c r="F378"/>
      <c r="G378"/>
    </row>
    <row r="379" spans="3:7">
      <c r="C379" s="92"/>
      <c r="F379"/>
      <c r="G379"/>
    </row>
    <row r="380" spans="3:7">
      <c r="C380" s="92"/>
      <c r="F380"/>
      <c r="G380"/>
    </row>
    <row r="381" spans="3:7">
      <c r="C381" s="92"/>
      <c r="F381"/>
      <c r="G381"/>
    </row>
    <row r="382" spans="3:7">
      <c r="C382" s="92"/>
      <c r="F382"/>
      <c r="G382"/>
    </row>
    <row r="383" spans="3:7">
      <c r="C383" s="92"/>
      <c r="F383"/>
      <c r="G383"/>
    </row>
    <row r="384" spans="3:7">
      <c r="C384" s="92"/>
      <c r="F384"/>
      <c r="G384"/>
    </row>
    <row r="385" spans="3:7">
      <c r="C385" s="92"/>
      <c r="F385"/>
      <c r="G385"/>
    </row>
    <row r="386" spans="3:7">
      <c r="C386" s="92"/>
      <c r="F386"/>
      <c r="G386"/>
    </row>
    <row r="387" spans="3:7">
      <c r="C387" s="92"/>
      <c r="F387"/>
      <c r="G387"/>
    </row>
    <row r="388" spans="3:7">
      <c r="C388" s="92"/>
      <c r="F388"/>
      <c r="G388"/>
    </row>
    <row r="389" spans="3:7">
      <c r="C389" s="92"/>
      <c r="F389"/>
      <c r="G389"/>
    </row>
    <row r="390" spans="3:7">
      <c r="C390" s="92"/>
      <c r="F390"/>
      <c r="G390"/>
    </row>
    <row r="391" spans="3:7">
      <c r="C391" s="92"/>
      <c r="F391"/>
      <c r="G391"/>
    </row>
    <row r="392" spans="3:7">
      <c r="C392" s="92"/>
      <c r="F392"/>
      <c r="G392"/>
    </row>
    <row r="393" spans="3:7">
      <c r="C393" s="92"/>
      <c r="F393"/>
      <c r="G393"/>
    </row>
    <row r="394" spans="3:7">
      <c r="C394" s="92"/>
      <c r="F394"/>
      <c r="G394"/>
    </row>
    <row r="395" spans="3:7">
      <c r="C395" s="92"/>
      <c r="F395"/>
      <c r="G395"/>
    </row>
    <row r="396" spans="3:7">
      <c r="C396" s="92"/>
      <c r="F396"/>
      <c r="G396"/>
    </row>
    <row r="397" spans="3:7">
      <c r="C397" s="92"/>
      <c r="F397"/>
      <c r="G397"/>
    </row>
    <row r="398" spans="3:7">
      <c r="C398" s="92"/>
      <c r="F398"/>
      <c r="G398"/>
    </row>
    <row r="399" spans="3:7">
      <c r="C399" s="92"/>
      <c r="F399"/>
      <c r="G399"/>
    </row>
    <row r="400" spans="3:7">
      <c r="C400" s="92"/>
      <c r="F400"/>
      <c r="G400"/>
    </row>
    <row r="401" spans="3:7">
      <c r="C401" s="92"/>
      <c r="F401"/>
      <c r="G401"/>
    </row>
    <row r="402" spans="3:7">
      <c r="C402" s="92"/>
      <c r="F402"/>
      <c r="G402"/>
    </row>
    <row r="403" spans="3:7">
      <c r="C403" s="92"/>
      <c r="F403"/>
      <c r="G403"/>
    </row>
    <row r="404" spans="3:7">
      <c r="C404" s="92"/>
      <c r="F404"/>
      <c r="G404"/>
    </row>
    <row r="405" spans="3:7">
      <c r="C405" s="92"/>
      <c r="F405"/>
      <c r="G405"/>
    </row>
    <row r="406" spans="3:7">
      <c r="C406" s="92"/>
      <c r="F406"/>
      <c r="G406"/>
    </row>
    <row r="407" spans="3:7">
      <c r="C407" s="92"/>
      <c r="F407"/>
      <c r="G407"/>
    </row>
    <row r="408" spans="3:7">
      <c r="C408" s="92"/>
      <c r="F408"/>
      <c r="G408"/>
    </row>
    <row r="409" spans="3:7">
      <c r="C409" s="92"/>
      <c r="F409"/>
      <c r="G409"/>
    </row>
    <row r="410" spans="3:7">
      <c r="C410" s="92"/>
      <c r="F410"/>
      <c r="G410"/>
    </row>
    <row r="411" spans="3:7">
      <c r="C411" s="92"/>
      <c r="F411"/>
      <c r="G411"/>
    </row>
    <row r="412" spans="3:7">
      <c r="C412" s="92"/>
      <c r="F412"/>
      <c r="G412"/>
    </row>
    <row r="413" spans="3:7">
      <c r="C413" s="92"/>
      <c r="F413"/>
      <c r="G413"/>
    </row>
    <row r="414" spans="3:7">
      <c r="C414" s="92"/>
      <c r="F414"/>
      <c r="G414"/>
    </row>
    <row r="415" spans="3:7">
      <c r="C415" s="92"/>
      <c r="F415"/>
      <c r="G415"/>
    </row>
    <row r="416" spans="3:7">
      <c r="C416" s="92"/>
      <c r="F416"/>
      <c r="G416"/>
    </row>
    <row r="417" spans="3:7">
      <c r="C417" s="92"/>
      <c r="F417"/>
      <c r="G417"/>
    </row>
    <row r="418" spans="3:7">
      <c r="C418" s="92"/>
      <c r="F418"/>
      <c r="G418"/>
    </row>
    <row r="419" spans="3:7">
      <c r="C419" s="92"/>
      <c r="F419"/>
      <c r="G419"/>
    </row>
    <row r="420" spans="3:7">
      <c r="C420" s="92"/>
      <c r="F420"/>
      <c r="G420"/>
    </row>
    <row r="421" spans="3:7">
      <c r="C421" s="92"/>
      <c r="F421"/>
      <c r="G421"/>
    </row>
    <row r="422" spans="3:7">
      <c r="C422" s="92"/>
      <c r="F422"/>
      <c r="G422"/>
    </row>
    <row r="423" spans="3:7">
      <c r="C423" s="92"/>
      <c r="F423"/>
      <c r="G423"/>
    </row>
    <row r="424" spans="3:7">
      <c r="C424" s="92"/>
      <c r="F424"/>
      <c r="G424"/>
    </row>
    <row r="425" spans="3:7">
      <c r="C425" s="92"/>
      <c r="F425"/>
      <c r="G425"/>
    </row>
    <row r="426" spans="3:7">
      <c r="C426" s="92"/>
      <c r="F426"/>
      <c r="G426"/>
    </row>
    <row r="427" spans="3:7">
      <c r="C427" s="92"/>
      <c r="F427"/>
      <c r="G427"/>
    </row>
    <row r="428" spans="3:7">
      <c r="C428" s="92"/>
      <c r="F428"/>
      <c r="G428"/>
    </row>
    <row r="429" spans="3:7">
      <c r="C429" s="92"/>
      <c r="F429"/>
      <c r="G429"/>
    </row>
    <row r="430" spans="3:7">
      <c r="C430" s="92"/>
      <c r="F430"/>
      <c r="G430"/>
    </row>
    <row r="431" spans="3:7">
      <c r="C431" s="92"/>
      <c r="F431"/>
      <c r="G431"/>
    </row>
    <row r="432" spans="3:7">
      <c r="C432" s="92"/>
      <c r="F432"/>
      <c r="G432"/>
    </row>
    <row r="433" spans="3:7">
      <c r="C433" s="92"/>
      <c r="F433"/>
      <c r="G433"/>
    </row>
    <row r="434" spans="3:7">
      <c r="C434" s="92"/>
      <c r="F434"/>
      <c r="G434"/>
    </row>
    <row r="435" spans="3:7">
      <c r="C435" s="92"/>
      <c r="F435"/>
      <c r="G435"/>
    </row>
    <row r="436" spans="3:7">
      <c r="C436" s="92"/>
      <c r="F436"/>
      <c r="G436"/>
    </row>
    <row r="437" spans="3:7">
      <c r="C437" s="92"/>
      <c r="F437"/>
      <c r="G437"/>
    </row>
    <row r="438" spans="3:7">
      <c r="C438" s="92"/>
      <c r="F438"/>
      <c r="G438"/>
    </row>
    <row r="439" spans="3:7">
      <c r="C439" s="92"/>
      <c r="F439"/>
      <c r="G439"/>
    </row>
    <row r="440" spans="3:7">
      <c r="C440" s="92"/>
      <c r="F440"/>
      <c r="G440"/>
    </row>
    <row r="441" spans="3:7">
      <c r="C441" s="92"/>
      <c r="F441"/>
      <c r="G441"/>
    </row>
    <row r="442" spans="3:7">
      <c r="C442" s="92"/>
      <c r="F442"/>
      <c r="G442"/>
    </row>
    <row r="443" spans="3:7">
      <c r="C443" s="92"/>
      <c r="F443"/>
      <c r="G443"/>
    </row>
    <row r="444" spans="3:7">
      <c r="C444" s="92"/>
      <c r="F444"/>
      <c r="G444"/>
    </row>
    <row r="445" spans="3:7">
      <c r="C445" s="92"/>
      <c r="F445"/>
      <c r="G445"/>
    </row>
    <row r="446" spans="3:7">
      <c r="C446" s="92"/>
      <c r="F446"/>
      <c r="G446"/>
    </row>
    <row r="447" spans="3:7">
      <c r="C447" s="92"/>
      <c r="F447"/>
      <c r="G447"/>
    </row>
    <row r="448" spans="3:7">
      <c r="C448" s="92"/>
      <c r="F448"/>
      <c r="G448"/>
    </row>
    <row r="449" spans="3:7">
      <c r="C449" s="92"/>
      <c r="F449"/>
      <c r="G449"/>
    </row>
    <row r="450" spans="3:7">
      <c r="C450" s="92"/>
      <c r="F450"/>
      <c r="G450"/>
    </row>
    <row r="451" spans="3:7">
      <c r="C451" s="92"/>
      <c r="F451"/>
      <c r="G451"/>
    </row>
    <row r="452" spans="3:7">
      <c r="C452" s="92"/>
      <c r="F452"/>
      <c r="G452"/>
    </row>
    <row r="453" spans="3:7">
      <c r="C453" s="92"/>
      <c r="F453"/>
      <c r="G453"/>
    </row>
    <row r="454" spans="3:7">
      <c r="C454" s="92"/>
      <c r="F454"/>
      <c r="G454"/>
    </row>
    <row r="455" spans="3:7">
      <c r="C455" s="92"/>
      <c r="F455"/>
      <c r="G455"/>
    </row>
    <row r="456" spans="3:7">
      <c r="C456" s="92"/>
      <c r="F456"/>
      <c r="G456"/>
    </row>
    <row r="457" spans="3:7">
      <c r="C457" s="92"/>
      <c r="F457"/>
      <c r="G457"/>
    </row>
    <row r="458" spans="3:7">
      <c r="C458" s="92"/>
      <c r="F458"/>
      <c r="G458"/>
    </row>
    <row r="459" spans="3:7">
      <c r="C459" s="92"/>
      <c r="F459"/>
      <c r="G459"/>
    </row>
    <row r="460" spans="3:7">
      <c r="C460" s="92"/>
      <c r="F460"/>
      <c r="G460"/>
    </row>
    <row r="461" spans="3:7">
      <c r="C461" s="92"/>
      <c r="F461"/>
      <c r="G461"/>
    </row>
    <row r="462" spans="3:7">
      <c r="C462" s="92"/>
      <c r="F462"/>
      <c r="G462"/>
    </row>
    <row r="463" spans="3:7">
      <c r="C463" s="92"/>
      <c r="F463"/>
      <c r="G463"/>
    </row>
    <row r="464" spans="3:7">
      <c r="C464" s="92"/>
      <c r="F464"/>
      <c r="G464"/>
    </row>
    <row r="465" spans="1:7">
      <c r="C465" s="92"/>
      <c r="F465"/>
      <c r="G465"/>
    </row>
    <row r="466" spans="1:7">
      <c r="C466" s="92"/>
      <c r="F466"/>
      <c r="G466"/>
    </row>
    <row r="467" spans="1:7">
      <c r="C467" s="92"/>
      <c r="F467"/>
      <c r="G467"/>
    </row>
    <row r="468" spans="1:7">
      <c r="C468" s="92"/>
      <c r="F468"/>
      <c r="G468"/>
    </row>
    <row r="469" spans="1:7">
      <c r="C469" s="92"/>
      <c r="F469"/>
      <c r="G469"/>
    </row>
    <row r="470" spans="1:7">
      <c r="C470" s="92"/>
      <c r="F470"/>
      <c r="G470"/>
    </row>
    <row r="471" spans="1:7">
      <c r="C471" s="92"/>
      <c r="F471"/>
      <c r="G471"/>
    </row>
    <row r="472" spans="1:7">
      <c r="C472" s="92"/>
      <c r="F472"/>
      <c r="G472"/>
    </row>
    <row r="473" spans="1:7">
      <c r="C473" s="92"/>
      <c r="F473"/>
      <c r="G473"/>
    </row>
    <row r="474" spans="1:7">
      <c r="C474" s="92"/>
      <c r="F474"/>
      <c r="G474"/>
    </row>
    <row r="475" spans="1:7">
      <c r="A475" t="s">
        <v>299</v>
      </c>
      <c r="B475" t="s">
        <v>121</v>
      </c>
      <c r="C475" s="92">
        <v>44805</v>
      </c>
      <c r="E475" t="s">
        <v>463</v>
      </c>
      <c r="F475"/>
      <c r="G475"/>
    </row>
    <row r="476" spans="1:7">
      <c r="A476" t="s">
        <v>299</v>
      </c>
      <c r="B476" t="s">
        <v>311</v>
      </c>
      <c r="C476" s="92">
        <v>44806</v>
      </c>
      <c r="E476" t="s">
        <v>463</v>
      </c>
      <c r="F476"/>
      <c r="G476"/>
    </row>
    <row r="477" spans="1:7">
      <c r="A477" t="s">
        <v>299</v>
      </c>
      <c r="B477" t="s">
        <v>123</v>
      </c>
      <c r="C477" s="92">
        <v>44807</v>
      </c>
      <c r="E477" t="s">
        <v>463</v>
      </c>
      <c r="F477"/>
      <c r="G477"/>
    </row>
    <row r="478" spans="1:7">
      <c r="A478" t="s">
        <v>299</v>
      </c>
      <c r="B478" t="s">
        <v>124</v>
      </c>
      <c r="C478" s="92">
        <v>44808</v>
      </c>
      <c r="E478" t="s">
        <v>463</v>
      </c>
      <c r="F478"/>
      <c r="G478"/>
    </row>
    <row r="479" spans="1:7">
      <c r="A479" t="s">
        <v>299</v>
      </c>
      <c r="B479" t="s">
        <v>125</v>
      </c>
      <c r="C479" s="92">
        <v>44809</v>
      </c>
      <c r="E479" t="s">
        <v>463</v>
      </c>
      <c r="F479"/>
      <c r="G479"/>
    </row>
    <row r="480" spans="1:7">
      <c r="A480" t="s">
        <v>299</v>
      </c>
      <c r="B480" t="s">
        <v>460</v>
      </c>
      <c r="C480" s="92">
        <v>44810</v>
      </c>
      <c r="E480" t="s">
        <v>463</v>
      </c>
      <c r="F480"/>
      <c r="G480"/>
    </row>
    <row r="481" spans="1:7">
      <c r="A481" t="s">
        <v>299</v>
      </c>
      <c r="B481" t="s">
        <v>120</v>
      </c>
      <c r="C481" s="92">
        <v>44811</v>
      </c>
      <c r="E481" t="s">
        <v>463</v>
      </c>
      <c r="F481"/>
      <c r="G481"/>
    </row>
    <row r="482" spans="1:7">
      <c r="A482" t="s">
        <v>299</v>
      </c>
      <c r="B482" t="s">
        <v>121</v>
      </c>
      <c r="C482" s="92">
        <v>44812</v>
      </c>
      <c r="E482" t="s">
        <v>463</v>
      </c>
      <c r="F482"/>
      <c r="G482"/>
    </row>
    <row r="483" spans="1:7">
      <c r="A483" t="s">
        <v>299</v>
      </c>
      <c r="B483" t="s">
        <v>311</v>
      </c>
      <c r="C483" s="92">
        <v>44813</v>
      </c>
      <c r="E483" t="s">
        <v>463</v>
      </c>
      <c r="F483"/>
      <c r="G483"/>
    </row>
    <row r="484" spans="1:7" ht="46.5" customHeight="1">
      <c r="A484" t="s">
        <v>299</v>
      </c>
      <c r="B484" t="s">
        <v>123</v>
      </c>
      <c r="C484" s="92">
        <v>44814</v>
      </c>
      <c r="E484" t="s">
        <v>463</v>
      </c>
      <c r="F484"/>
      <c r="G484"/>
    </row>
    <row r="485" spans="1:7">
      <c r="A485" t="s">
        <v>299</v>
      </c>
      <c r="B485" t="s">
        <v>124</v>
      </c>
      <c r="C485" s="92">
        <v>44815</v>
      </c>
      <c r="E485" t="s">
        <v>463</v>
      </c>
      <c r="F485"/>
      <c r="G485"/>
    </row>
    <row r="486" spans="1:7">
      <c r="A486" t="s">
        <v>299</v>
      </c>
      <c r="B486" t="s">
        <v>125</v>
      </c>
      <c r="C486" s="92">
        <v>44816</v>
      </c>
      <c r="E486" t="s">
        <v>463</v>
      </c>
      <c r="F486"/>
      <c r="G486"/>
    </row>
    <row r="487" spans="1:7">
      <c r="A487" t="s">
        <v>299</v>
      </c>
      <c r="B487" t="s">
        <v>460</v>
      </c>
      <c r="C487" s="92">
        <v>44817</v>
      </c>
      <c r="E487" t="s">
        <v>463</v>
      </c>
      <c r="F487"/>
      <c r="G487"/>
    </row>
    <row r="488" spans="1:7">
      <c r="A488" t="s">
        <v>299</v>
      </c>
      <c r="B488" t="s">
        <v>120</v>
      </c>
      <c r="C488" s="92">
        <v>44818</v>
      </c>
      <c r="E488" t="s">
        <v>463</v>
      </c>
      <c r="F488"/>
      <c r="G488"/>
    </row>
    <row r="489" spans="1:7">
      <c r="A489" t="s">
        <v>299</v>
      </c>
      <c r="B489" t="s">
        <v>121</v>
      </c>
      <c r="C489" s="92">
        <v>44819</v>
      </c>
      <c r="E489" t="s">
        <v>463</v>
      </c>
      <c r="F489"/>
      <c r="G489"/>
    </row>
    <row r="490" spans="1:7">
      <c r="A490" t="s">
        <v>299</v>
      </c>
      <c r="B490" t="s">
        <v>311</v>
      </c>
      <c r="C490" s="92">
        <v>44820</v>
      </c>
      <c r="E490" t="s">
        <v>463</v>
      </c>
      <c r="F490"/>
      <c r="G490"/>
    </row>
    <row r="491" spans="1:7">
      <c r="A491" t="s">
        <v>299</v>
      </c>
      <c r="B491" t="s">
        <v>123</v>
      </c>
      <c r="C491" s="92">
        <v>44821</v>
      </c>
      <c r="E491" t="s">
        <v>463</v>
      </c>
      <c r="F491"/>
      <c r="G491"/>
    </row>
    <row r="492" spans="1:7">
      <c r="A492" t="s">
        <v>299</v>
      </c>
      <c r="B492" t="s">
        <v>124</v>
      </c>
      <c r="C492" s="92">
        <v>44822</v>
      </c>
      <c r="E492" t="s">
        <v>463</v>
      </c>
      <c r="F492"/>
      <c r="G492"/>
    </row>
    <row r="493" spans="1:7">
      <c r="A493" t="s">
        <v>299</v>
      </c>
      <c r="B493" t="s">
        <v>125</v>
      </c>
      <c r="C493" s="92">
        <v>44823</v>
      </c>
      <c r="E493" t="s">
        <v>463</v>
      </c>
      <c r="F493"/>
      <c r="G493"/>
    </row>
    <row r="494" spans="1:7">
      <c r="A494" t="s">
        <v>299</v>
      </c>
      <c r="B494" t="s">
        <v>460</v>
      </c>
      <c r="C494" s="92">
        <v>44824</v>
      </c>
      <c r="E494" t="s">
        <v>463</v>
      </c>
      <c r="F494"/>
      <c r="G494"/>
    </row>
    <row r="495" spans="1:7">
      <c r="A495" t="s">
        <v>299</v>
      </c>
      <c r="B495" t="s">
        <v>120</v>
      </c>
      <c r="C495" s="92">
        <v>44825</v>
      </c>
      <c r="E495" t="s">
        <v>463</v>
      </c>
      <c r="F495"/>
      <c r="G495"/>
    </row>
    <row r="496" spans="1:7">
      <c r="A496" t="s">
        <v>299</v>
      </c>
      <c r="B496" t="s">
        <v>121</v>
      </c>
      <c r="C496" s="92">
        <v>44826</v>
      </c>
      <c r="E496" t="s">
        <v>463</v>
      </c>
      <c r="F496"/>
      <c r="G496"/>
    </row>
    <row r="497" spans="1:7">
      <c r="A497" t="s">
        <v>299</v>
      </c>
      <c r="B497" t="s">
        <v>311</v>
      </c>
      <c r="C497" s="92">
        <v>44827</v>
      </c>
      <c r="E497" t="s">
        <v>463</v>
      </c>
      <c r="F497"/>
      <c r="G497"/>
    </row>
    <row r="498" spans="1:7">
      <c r="A498" t="s">
        <v>299</v>
      </c>
      <c r="B498" t="s">
        <v>123</v>
      </c>
      <c r="C498" s="92">
        <v>44828</v>
      </c>
      <c r="E498" t="s">
        <v>463</v>
      </c>
      <c r="F498"/>
      <c r="G498"/>
    </row>
    <row r="499" spans="1:7">
      <c r="A499" t="s">
        <v>299</v>
      </c>
      <c r="B499" t="s">
        <v>124</v>
      </c>
      <c r="C499" s="92">
        <v>44829</v>
      </c>
      <c r="E499" t="s">
        <v>463</v>
      </c>
      <c r="F499"/>
      <c r="G499"/>
    </row>
    <row r="500" spans="1:7">
      <c r="A500" t="s">
        <v>299</v>
      </c>
      <c r="B500" t="s">
        <v>125</v>
      </c>
      <c r="C500" s="92">
        <v>44830</v>
      </c>
      <c r="E500" t="s">
        <v>463</v>
      </c>
      <c r="F500"/>
      <c r="G500"/>
    </row>
    <row r="501" spans="1:7">
      <c r="A501" t="s">
        <v>299</v>
      </c>
      <c r="B501" t="s">
        <v>460</v>
      </c>
      <c r="C501" s="92">
        <v>44831</v>
      </c>
      <c r="E501" t="s">
        <v>463</v>
      </c>
      <c r="F501"/>
      <c r="G501"/>
    </row>
    <row r="502" spans="1:7">
      <c r="A502" t="s">
        <v>299</v>
      </c>
      <c r="B502" t="s">
        <v>120</v>
      </c>
      <c r="C502" s="92">
        <v>44832</v>
      </c>
      <c r="E502" t="s">
        <v>463</v>
      </c>
      <c r="F502"/>
      <c r="G502"/>
    </row>
    <row r="503" spans="1:7">
      <c r="A503" t="s">
        <v>299</v>
      </c>
      <c r="B503" t="s">
        <v>121</v>
      </c>
      <c r="C503" s="92">
        <v>44833</v>
      </c>
      <c r="E503" t="s">
        <v>463</v>
      </c>
      <c r="F503"/>
      <c r="G503"/>
    </row>
    <row r="504" spans="1:7">
      <c r="A504" t="s">
        <v>299</v>
      </c>
      <c r="B504" t="s">
        <v>311</v>
      </c>
      <c r="C504" s="92">
        <v>44834</v>
      </c>
      <c r="E504" t="s">
        <v>463</v>
      </c>
      <c r="F504"/>
      <c r="G504"/>
    </row>
    <row r="505" spans="1:7">
      <c r="A505" t="s">
        <v>461</v>
      </c>
      <c r="B505" t="s">
        <v>123</v>
      </c>
      <c r="C505" s="92">
        <v>44835</v>
      </c>
      <c r="E505" t="s">
        <v>463</v>
      </c>
      <c r="F505"/>
      <c r="G505"/>
    </row>
    <row r="506" spans="1:7">
      <c r="A506" t="s">
        <v>461</v>
      </c>
      <c r="B506" t="s">
        <v>124</v>
      </c>
      <c r="C506" s="92">
        <v>44836</v>
      </c>
      <c r="E506" t="s">
        <v>463</v>
      </c>
      <c r="F506"/>
      <c r="G506"/>
    </row>
    <row r="507" spans="1:7">
      <c r="A507" t="s">
        <v>461</v>
      </c>
      <c r="B507" t="s">
        <v>125</v>
      </c>
      <c r="C507" s="92">
        <v>44837</v>
      </c>
      <c r="E507" t="s">
        <v>463</v>
      </c>
      <c r="F507"/>
      <c r="G507"/>
    </row>
    <row r="508" spans="1:7">
      <c r="A508" t="s">
        <v>461</v>
      </c>
      <c r="B508" t="s">
        <v>460</v>
      </c>
      <c r="C508" s="92">
        <v>44838</v>
      </c>
      <c r="E508" t="s">
        <v>463</v>
      </c>
      <c r="F508"/>
      <c r="G508"/>
    </row>
    <row r="509" spans="1:7">
      <c r="A509" t="s">
        <v>461</v>
      </c>
      <c r="B509" t="s">
        <v>120</v>
      </c>
      <c r="C509" s="92">
        <v>44839</v>
      </c>
      <c r="E509" t="s">
        <v>463</v>
      </c>
      <c r="F509"/>
      <c r="G509"/>
    </row>
    <row r="510" spans="1:7">
      <c r="A510" t="s">
        <v>461</v>
      </c>
      <c r="B510" t="s">
        <v>121</v>
      </c>
      <c r="C510" s="92">
        <v>44840</v>
      </c>
      <c r="E510" t="s">
        <v>463</v>
      </c>
      <c r="F510"/>
      <c r="G510"/>
    </row>
    <row r="511" spans="1:7">
      <c r="A511" t="s">
        <v>461</v>
      </c>
      <c r="B511" t="s">
        <v>311</v>
      </c>
      <c r="C511" s="92">
        <v>44841</v>
      </c>
      <c r="E511" t="s">
        <v>463</v>
      </c>
      <c r="F511"/>
      <c r="G511"/>
    </row>
    <row r="512" spans="1:7">
      <c r="A512" t="s">
        <v>461</v>
      </c>
      <c r="B512" t="s">
        <v>123</v>
      </c>
      <c r="C512" s="92">
        <v>44842</v>
      </c>
      <c r="E512" t="s">
        <v>463</v>
      </c>
      <c r="F512"/>
      <c r="G512"/>
    </row>
    <row r="513" spans="1:7">
      <c r="A513" t="s">
        <v>461</v>
      </c>
      <c r="B513" t="s">
        <v>124</v>
      </c>
      <c r="C513" s="92">
        <v>44843</v>
      </c>
      <c r="E513" t="s">
        <v>463</v>
      </c>
      <c r="F513"/>
      <c r="G513"/>
    </row>
    <row r="514" spans="1:7">
      <c r="A514" t="s">
        <v>461</v>
      </c>
      <c r="B514" t="s">
        <v>125</v>
      </c>
      <c r="C514" s="92">
        <v>44844</v>
      </c>
      <c r="E514" t="s">
        <v>463</v>
      </c>
      <c r="F514"/>
      <c r="G514"/>
    </row>
    <row r="515" spans="1:7">
      <c r="A515" t="s">
        <v>461</v>
      </c>
      <c r="B515" t="s">
        <v>460</v>
      </c>
      <c r="C515" s="92">
        <v>44845</v>
      </c>
      <c r="E515" t="s">
        <v>463</v>
      </c>
      <c r="F515"/>
      <c r="G515"/>
    </row>
    <row r="516" spans="1:7">
      <c r="A516" t="s">
        <v>461</v>
      </c>
      <c r="B516" t="s">
        <v>120</v>
      </c>
      <c r="C516" s="92">
        <v>44846</v>
      </c>
      <c r="E516" t="s">
        <v>463</v>
      </c>
      <c r="F516"/>
      <c r="G516"/>
    </row>
    <row r="517" spans="1:7">
      <c r="A517" t="s">
        <v>461</v>
      </c>
      <c r="B517" t="s">
        <v>121</v>
      </c>
      <c r="C517" s="92">
        <v>44847</v>
      </c>
      <c r="E517" t="s">
        <v>463</v>
      </c>
      <c r="F517"/>
      <c r="G517"/>
    </row>
    <row r="518" spans="1:7">
      <c r="A518" t="s">
        <v>461</v>
      </c>
      <c r="B518" t="s">
        <v>311</v>
      </c>
      <c r="C518" s="92">
        <v>44848</v>
      </c>
      <c r="E518" t="s">
        <v>463</v>
      </c>
      <c r="F518"/>
      <c r="G518"/>
    </row>
    <row r="519" spans="1:7">
      <c r="A519" t="s">
        <v>461</v>
      </c>
      <c r="B519" t="s">
        <v>123</v>
      </c>
      <c r="C519" s="92">
        <v>44849</v>
      </c>
      <c r="E519" t="s">
        <v>463</v>
      </c>
      <c r="F519"/>
      <c r="G519"/>
    </row>
    <row r="520" spans="1:7">
      <c r="A520" t="s">
        <v>461</v>
      </c>
      <c r="B520" t="s">
        <v>124</v>
      </c>
      <c r="C520" s="92">
        <v>44850</v>
      </c>
      <c r="E520" t="s">
        <v>463</v>
      </c>
      <c r="F520"/>
      <c r="G520"/>
    </row>
    <row r="521" spans="1:7">
      <c r="A521" t="s">
        <v>461</v>
      </c>
      <c r="B521" t="s">
        <v>125</v>
      </c>
      <c r="C521" s="92">
        <v>44851</v>
      </c>
      <c r="E521" t="s">
        <v>463</v>
      </c>
      <c r="F521"/>
      <c r="G521"/>
    </row>
    <row r="522" spans="1:7">
      <c r="A522" t="s">
        <v>461</v>
      </c>
      <c r="B522" t="s">
        <v>460</v>
      </c>
      <c r="C522" s="92">
        <v>44852</v>
      </c>
      <c r="E522" t="s">
        <v>463</v>
      </c>
      <c r="F522"/>
      <c r="G522"/>
    </row>
    <row r="523" spans="1:7">
      <c r="A523" t="s">
        <v>461</v>
      </c>
      <c r="B523" t="s">
        <v>120</v>
      </c>
      <c r="C523" s="92">
        <v>44853</v>
      </c>
      <c r="E523" t="s">
        <v>463</v>
      </c>
      <c r="F523"/>
      <c r="G523"/>
    </row>
    <row r="524" spans="1:7">
      <c r="A524" t="s">
        <v>461</v>
      </c>
      <c r="B524" t="s">
        <v>121</v>
      </c>
      <c r="C524" s="92">
        <v>44854</v>
      </c>
      <c r="E524" t="s">
        <v>463</v>
      </c>
      <c r="F524"/>
      <c r="G524"/>
    </row>
    <row r="525" spans="1:7">
      <c r="A525" t="s">
        <v>461</v>
      </c>
      <c r="B525" t="s">
        <v>311</v>
      </c>
      <c r="C525" s="92">
        <v>44855</v>
      </c>
      <c r="E525" t="s">
        <v>463</v>
      </c>
      <c r="F525"/>
      <c r="G525"/>
    </row>
    <row r="526" spans="1:7">
      <c r="A526" t="s">
        <v>461</v>
      </c>
      <c r="B526" t="s">
        <v>123</v>
      </c>
      <c r="C526" s="92">
        <v>44856</v>
      </c>
      <c r="E526" t="s">
        <v>463</v>
      </c>
      <c r="F526"/>
      <c r="G526"/>
    </row>
    <row r="527" spans="1:7">
      <c r="A527" t="s">
        <v>461</v>
      </c>
      <c r="B527" t="s">
        <v>124</v>
      </c>
      <c r="C527" s="92">
        <v>44857</v>
      </c>
      <c r="E527" t="s">
        <v>463</v>
      </c>
      <c r="F527"/>
      <c r="G527"/>
    </row>
    <row r="528" spans="1:7">
      <c r="A528" t="s">
        <v>461</v>
      </c>
      <c r="B528" t="s">
        <v>125</v>
      </c>
      <c r="C528" s="92">
        <v>44858</v>
      </c>
      <c r="E528" t="s">
        <v>463</v>
      </c>
      <c r="F528"/>
      <c r="G528"/>
    </row>
    <row r="529" spans="1:7">
      <c r="A529" t="s">
        <v>461</v>
      </c>
      <c r="B529" t="s">
        <v>460</v>
      </c>
      <c r="C529" s="92">
        <v>44859</v>
      </c>
      <c r="E529" t="s">
        <v>463</v>
      </c>
      <c r="F529"/>
      <c r="G529"/>
    </row>
    <row r="530" spans="1:7">
      <c r="A530" t="s">
        <v>461</v>
      </c>
      <c r="B530" t="s">
        <v>120</v>
      </c>
      <c r="C530" s="92">
        <v>44860</v>
      </c>
      <c r="E530" t="s">
        <v>463</v>
      </c>
      <c r="F530"/>
      <c r="G530"/>
    </row>
    <row r="531" spans="1:7">
      <c r="A531" t="s">
        <v>461</v>
      </c>
      <c r="B531" t="s">
        <v>121</v>
      </c>
      <c r="C531" s="92">
        <v>44861</v>
      </c>
      <c r="E531" t="s">
        <v>463</v>
      </c>
      <c r="F531"/>
      <c r="G531"/>
    </row>
    <row r="532" spans="1:7">
      <c r="A532" t="s">
        <v>461</v>
      </c>
      <c r="B532" t="s">
        <v>311</v>
      </c>
      <c r="C532" s="92">
        <v>44862</v>
      </c>
      <c r="E532" t="s">
        <v>463</v>
      </c>
      <c r="F532"/>
      <c r="G532"/>
    </row>
    <row r="533" spans="1:7">
      <c r="A533" t="s">
        <v>461</v>
      </c>
      <c r="B533" t="s">
        <v>123</v>
      </c>
      <c r="C533" s="92">
        <v>44863</v>
      </c>
      <c r="E533" t="s">
        <v>463</v>
      </c>
      <c r="F533"/>
      <c r="G533"/>
    </row>
    <row r="534" spans="1:7">
      <c r="A534" t="s">
        <v>461</v>
      </c>
      <c r="B534" t="s">
        <v>124</v>
      </c>
      <c r="C534" s="92">
        <v>44864</v>
      </c>
      <c r="E534" t="s">
        <v>463</v>
      </c>
      <c r="F534"/>
      <c r="G534"/>
    </row>
    <row r="535" spans="1:7">
      <c r="A535" t="s">
        <v>461</v>
      </c>
      <c r="B535" t="s">
        <v>125</v>
      </c>
      <c r="C535" s="92">
        <v>44865</v>
      </c>
      <c r="E535" t="s">
        <v>463</v>
      </c>
      <c r="F535"/>
      <c r="G535"/>
    </row>
    <row r="536" spans="1:7">
      <c r="A536" t="s">
        <v>462</v>
      </c>
      <c r="B536" t="s">
        <v>460</v>
      </c>
      <c r="C536" s="92">
        <v>44866</v>
      </c>
      <c r="E536" t="s">
        <v>463</v>
      </c>
      <c r="F536"/>
      <c r="G536"/>
    </row>
    <row r="537" spans="1:7">
      <c r="A537" t="s">
        <v>462</v>
      </c>
      <c r="B537" t="s">
        <v>120</v>
      </c>
      <c r="C537" s="92">
        <v>44867</v>
      </c>
      <c r="E537" t="s">
        <v>463</v>
      </c>
      <c r="F537"/>
      <c r="G537"/>
    </row>
    <row r="538" spans="1:7">
      <c r="A538" t="s">
        <v>462</v>
      </c>
      <c r="B538" t="s">
        <v>121</v>
      </c>
      <c r="C538" s="92">
        <v>44868</v>
      </c>
      <c r="E538" t="s">
        <v>463</v>
      </c>
      <c r="F538"/>
      <c r="G538"/>
    </row>
    <row r="539" spans="1:7">
      <c r="A539" t="s">
        <v>462</v>
      </c>
      <c r="B539" t="s">
        <v>311</v>
      </c>
      <c r="C539" s="92">
        <v>44869</v>
      </c>
      <c r="E539" t="s">
        <v>463</v>
      </c>
      <c r="F539"/>
      <c r="G539"/>
    </row>
    <row r="540" spans="1:7">
      <c r="A540" t="s">
        <v>462</v>
      </c>
      <c r="B540" t="s">
        <v>123</v>
      </c>
      <c r="C540" s="92">
        <v>44870</v>
      </c>
      <c r="E540" t="s">
        <v>463</v>
      </c>
      <c r="F540"/>
      <c r="G540"/>
    </row>
    <row r="541" spans="1:7">
      <c r="A541" t="s">
        <v>462</v>
      </c>
      <c r="B541" t="s">
        <v>124</v>
      </c>
      <c r="C541" s="92">
        <v>44871</v>
      </c>
      <c r="E541" t="s">
        <v>463</v>
      </c>
      <c r="F541"/>
      <c r="G541"/>
    </row>
    <row r="542" spans="1:7">
      <c r="A542" t="s">
        <v>462</v>
      </c>
      <c r="B542" t="s">
        <v>125</v>
      </c>
      <c r="C542" s="92">
        <v>44872</v>
      </c>
      <c r="E542" t="s">
        <v>463</v>
      </c>
      <c r="F542"/>
      <c r="G542"/>
    </row>
    <row r="543" spans="1:7">
      <c r="A543" t="s">
        <v>462</v>
      </c>
      <c r="B543" t="s">
        <v>460</v>
      </c>
      <c r="C543" s="92">
        <v>44873</v>
      </c>
      <c r="E543" t="s">
        <v>463</v>
      </c>
      <c r="F543"/>
      <c r="G543"/>
    </row>
    <row r="544" spans="1:7">
      <c r="A544" t="s">
        <v>462</v>
      </c>
      <c r="B544" t="s">
        <v>120</v>
      </c>
      <c r="C544" s="92">
        <v>44874</v>
      </c>
      <c r="E544" t="s">
        <v>463</v>
      </c>
      <c r="F544"/>
      <c r="G544"/>
    </row>
    <row r="545" spans="1:7">
      <c r="A545" t="s">
        <v>462</v>
      </c>
      <c r="B545" t="s">
        <v>121</v>
      </c>
      <c r="C545" s="92">
        <v>44875</v>
      </c>
      <c r="E545" t="s">
        <v>463</v>
      </c>
      <c r="F545"/>
      <c r="G545"/>
    </row>
    <row r="546" spans="1:7">
      <c r="A546" t="s">
        <v>462</v>
      </c>
      <c r="B546" t="s">
        <v>311</v>
      </c>
      <c r="C546" s="92">
        <v>44876</v>
      </c>
      <c r="E546" t="s">
        <v>463</v>
      </c>
      <c r="F546"/>
      <c r="G546"/>
    </row>
    <row r="547" spans="1:7">
      <c r="A547" t="s">
        <v>462</v>
      </c>
      <c r="B547" t="s">
        <v>123</v>
      </c>
      <c r="C547" s="92">
        <v>44877</v>
      </c>
      <c r="E547" t="s">
        <v>463</v>
      </c>
      <c r="F547"/>
      <c r="G547"/>
    </row>
    <row r="548" spans="1:7">
      <c r="A548" t="s">
        <v>462</v>
      </c>
      <c r="B548" t="s">
        <v>124</v>
      </c>
      <c r="C548" s="92">
        <v>44878</v>
      </c>
      <c r="E548" t="s">
        <v>463</v>
      </c>
      <c r="F548"/>
      <c r="G548"/>
    </row>
    <row r="549" spans="1:7">
      <c r="A549" t="s">
        <v>462</v>
      </c>
      <c r="B549" t="s">
        <v>125</v>
      </c>
      <c r="C549" s="92">
        <v>44879</v>
      </c>
      <c r="E549" t="s">
        <v>463</v>
      </c>
      <c r="F549"/>
      <c r="G549"/>
    </row>
    <row r="550" spans="1:7">
      <c r="A550" t="s">
        <v>462</v>
      </c>
      <c r="B550" t="s">
        <v>460</v>
      </c>
      <c r="C550" s="92">
        <v>44880</v>
      </c>
      <c r="E550" t="s">
        <v>463</v>
      </c>
      <c r="F550"/>
      <c r="G550"/>
    </row>
    <row r="551" spans="1:7">
      <c r="A551" t="s">
        <v>462</v>
      </c>
      <c r="B551" t="s">
        <v>120</v>
      </c>
      <c r="C551" s="92">
        <v>44881</v>
      </c>
      <c r="E551" t="s">
        <v>463</v>
      </c>
      <c r="F551"/>
      <c r="G551"/>
    </row>
    <row r="552" spans="1:7">
      <c r="A552" t="s">
        <v>462</v>
      </c>
      <c r="B552" t="s">
        <v>121</v>
      </c>
      <c r="C552" s="92">
        <v>44882</v>
      </c>
      <c r="E552" t="s">
        <v>463</v>
      </c>
      <c r="F552"/>
      <c r="G552"/>
    </row>
    <row r="553" spans="1:7">
      <c r="A553" t="s">
        <v>462</v>
      </c>
      <c r="B553" t="s">
        <v>311</v>
      </c>
      <c r="C553" s="92">
        <v>44883</v>
      </c>
      <c r="E553" t="s">
        <v>463</v>
      </c>
      <c r="F553"/>
      <c r="G553"/>
    </row>
    <row r="554" spans="1:7">
      <c r="A554" t="s">
        <v>462</v>
      </c>
      <c r="B554" t="s">
        <v>123</v>
      </c>
      <c r="C554" s="92">
        <v>44884</v>
      </c>
      <c r="E554" t="s">
        <v>463</v>
      </c>
      <c r="F554"/>
      <c r="G554"/>
    </row>
    <row r="555" spans="1:7">
      <c r="A555" t="s">
        <v>462</v>
      </c>
      <c r="B555" t="s">
        <v>124</v>
      </c>
      <c r="C555" s="92">
        <v>44885</v>
      </c>
      <c r="E555" t="s">
        <v>463</v>
      </c>
      <c r="F555"/>
      <c r="G555"/>
    </row>
    <row r="556" spans="1:7">
      <c r="A556" t="s">
        <v>462</v>
      </c>
      <c r="B556" t="s">
        <v>125</v>
      </c>
      <c r="C556" s="92">
        <v>44886</v>
      </c>
      <c r="E556" t="s">
        <v>463</v>
      </c>
      <c r="F556"/>
      <c r="G556"/>
    </row>
    <row r="557" spans="1:7">
      <c r="A557" t="s">
        <v>462</v>
      </c>
      <c r="B557" t="s">
        <v>460</v>
      </c>
      <c r="C557" s="92">
        <v>44887</v>
      </c>
      <c r="E557" t="s">
        <v>463</v>
      </c>
      <c r="F557"/>
      <c r="G557"/>
    </row>
    <row r="558" spans="1:7">
      <c r="A558" t="s">
        <v>462</v>
      </c>
      <c r="B558" t="s">
        <v>120</v>
      </c>
      <c r="C558" s="92">
        <v>44888</v>
      </c>
      <c r="E558" t="s">
        <v>463</v>
      </c>
      <c r="F558"/>
      <c r="G558"/>
    </row>
    <row r="559" spans="1:7">
      <c r="A559" t="s">
        <v>462</v>
      </c>
      <c r="B559" t="s">
        <v>121</v>
      </c>
      <c r="C559" s="92">
        <v>44889</v>
      </c>
      <c r="E559" t="s">
        <v>463</v>
      </c>
      <c r="F559"/>
      <c r="G559"/>
    </row>
    <row r="560" spans="1:7">
      <c r="A560" t="s">
        <v>462</v>
      </c>
      <c r="B560" t="s">
        <v>311</v>
      </c>
      <c r="C560" s="92">
        <v>44890</v>
      </c>
      <c r="E560" t="s">
        <v>463</v>
      </c>
      <c r="F560"/>
      <c r="G560"/>
    </row>
    <row r="561" spans="1:7">
      <c r="A561" t="s">
        <v>462</v>
      </c>
      <c r="B561" t="s">
        <v>123</v>
      </c>
      <c r="C561" s="92">
        <v>44891</v>
      </c>
      <c r="E561" t="s">
        <v>463</v>
      </c>
      <c r="F561"/>
      <c r="G561"/>
    </row>
    <row r="562" spans="1:7">
      <c r="A562" t="s">
        <v>462</v>
      </c>
      <c r="B562" t="s">
        <v>124</v>
      </c>
      <c r="C562" s="92">
        <v>44892</v>
      </c>
      <c r="E562" t="s">
        <v>463</v>
      </c>
      <c r="F562"/>
      <c r="G562"/>
    </row>
    <row r="563" spans="1:7">
      <c r="A563" t="s">
        <v>462</v>
      </c>
      <c r="B563" t="s">
        <v>125</v>
      </c>
      <c r="C563" s="92">
        <v>44893</v>
      </c>
      <c r="E563" t="s">
        <v>463</v>
      </c>
      <c r="F563"/>
      <c r="G563"/>
    </row>
    <row r="564" spans="1:7">
      <c r="A564" t="s">
        <v>462</v>
      </c>
      <c r="B564" t="s">
        <v>460</v>
      </c>
      <c r="C564" s="92">
        <v>44894</v>
      </c>
      <c r="E564" t="s">
        <v>463</v>
      </c>
      <c r="F564"/>
      <c r="G564"/>
    </row>
    <row r="565" spans="1:7">
      <c r="A565" t="s">
        <v>462</v>
      </c>
      <c r="B565" t="s">
        <v>120</v>
      </c>
      <c r="C565" s="92">
        <v>44895</v>
      </c>
      <c r="E565" t="s">
        <v>463</v>
      </c>
      <c r="F565"/>
      <c r="G565"/>
    </row>
    <row r="566" spans="1:7">
      <c r="A566" t="s">
        <v>92</v>
      </c>
      <c r="B566" t="s">
        <v>121</v>
      </c>
      <c r="C566" s="92">
        <v>44896</v>
      </c>
      <c r="E566" t="s">
        <v>463</v>
      </c>
      <c r="F566"/>
      <c r="G566"/>
    </row>
    <row r="567" spans="1:7">
      <c r="A567" t="s">
        <v>92</v>
      </c>
      <c r="B567" t="s">
        <v>311</v>
      </c>
      <c r="C567" s="92">
        <v>44897</v>
      </c>
      <c r="E567" t="s">
        <v>463</v>
      </c>
      <c r="F567"/>
      <c r="G567"/>
    </row>
    <row r="568" spans="1:7">
      <c r="A568" t="s">
        <v>92</v>
      </c>
      <c r="B568" t="s">
        <v>123</v>
      </c>
      <c r="C568" s="92">
        <v>44898</v>
      </c>
      <c r="E568" t="s">
        <v>463</v>
      </c>
      <c r="F568"/>
      <c r="G568"/>
    </row>
    <row r="569" spans="1:7">
      <c r="A569" t="s">
        <v>92</v>
      </c>
      <c r="B569" t="s">
        <v>124</v>
      </c>
      <c r="C569" s="92">
        <v>44899</v>
      </c>
      <c r="E569" t="s">
        <v>463</v>
      </c>
      <c r="F569"/>
      <c r="G569"/>
    </row>
    <row r="570" spans="1:7">
      <c r="A570" t="s">
        <v>92</v>
      </c>
      <c r="B570" t="s">
        <v>125</v>
      </c>
      <c r="C570" s="92">
        <v>44900</v>
      </c>
      <c r="E570" t="s">
        <v>463</v>
      </c>
      <c r="F570"/>
      <c r="G570"/>
    </row>
    <row r="571" spans="1:7">
      <c r="A571" t="s">
        <v>92</v>
      </c>
      <c r="B571" t="s">
        <v>460</v>
      </c>
      <c r="C571" s="92">
        <v>44901</v>
      </c>
      <c r="E571" t="s">
        <v>463</v>
      </c>
      <c r="F571"/>
      <c r="G571"/>
    </row>
    <row r="572" spans="1:7">
      <c r="A572" t="s">
        <v>92</v>
      </c>
      <c r="B572" t="s">
        <v>120</v>
      </c>
      <c r="C572" s="92">
        <v>44902</v>
      </c>
      <c r="E572" t="s">
        <v>463</v>
      </c>
      <c r="F572"/>
      <c r="G572"/>
    </row>
    <row r="573" spans="1:7">
      <c r="A573" t="s">
        <v>92</v>
      </c>
      <c r="B573" t="s">
        <v>121</v>
      </c>
      <c r="C573" s="92">
        <v>44903</v>
      </c>
      <c r="E573" t="s">
        <v>463</v>
      </c>
      <c r="F573"/>
      <c r="G573"/>
    </row>
    <row r="574" spans="1:7">
      <c r="A574" t="s">
        <v>92</v>
      </c>
      <c r="B574" t="s">
        <v>311</v>
      </c>
      <c r="C574" s="92">
        <v>44904</v>
      </c>
      <c r="E574" t="s">
        <v>463</v>
      </c>
      <c r="F574"/>
      <c r="G574"/>
    </row>
    <row r="575" spans="1:7">
      <c r="A575" t="s">
        <v>92</v>
      </c>
      <c r="B575" t="s">
        <v>123</v>
      </c>
      <c r="C575" s="92">
        <v>44905</v>
      </c>
      <c r="E575" t="s">
        <v>463</v>
      </c>
      <c r="F575"/>
      <c r="G575"/>
    </row>
    <row r="576" spans="1:7">
      <c r="A576" t="s">
        <v>92</v>
      </c>
      <c r="B576" t="s">
        <v>124</v>
      </c>
      <c r="C576" s="92">
        <v>44906</v>
      </c>
      <c r="E576" t="s">
        <v>463</v>
      </c>
      <c r="F576"/>
      <c r="G576"/>
    </row>
    <row r="577" spans="1:7">
      <c r="A577" t="s">
        <v>92</v>
      </c>
      <c r="B577" t="s">
        <v>125</v>
      </c>
      <c r="C577" s="92">
        <v>44907</v>
      </c>
      <c r="E577" t="s">
        <v>463</v>
      </c>
      <c r="F577"/>
      <c r="G577"/>
    </row>
    <row r="578" spans="1:7">
      <c r="A578" t="s">
        <v>92</v>
      </c>
      <c r="B578" t="s">
        <v>460</v>
      </c>
      <c r="C578" s="92">
        <v>44908</v>
      </c>
      <c r="E578" t="s">
        <v>463</v>
      </c>
      <c r="F578"/>
      <c r="G578"/>
    </row>
    <row r="579" spans="1:7">
      <c r="A579" t="s">
        <v>92</v>
      </c>
      <c r="B579" t="s">
        <v>120</v>
      </c>
      <c r="C579" s="92">
        <v>44909</v>
      </c>
      <c r="E579" t="s">
        <v>463</v>
      </c>
      <c r="F579"/>
      <c r="G579"/>
    </row>
    <row r="580" spans="1:7">
      <c r="A580" t="s">
        <v>92</v>
      </c>
      <c r="B580" t="s">
        <v>121</v>
      </c>
      <c r="C580" s="92">
        <v>44910</v>
      </c>
      <c r="E580" t="s">
        <v>463</v>
      </c>
      <c r="F580"/>
      <c r="G580"/>
    </row>
    <row r="581" spans="1:7">
      <c r="A581" t="s">
        <v>92</v>
      </c>
      <c r="B581" t="s">
        <v>311</v>
      </c>
      <c r="C581" s="92">
        <v>44911</v>
      </c>
      <c r="E581" t="s">
        <v>463</v>
      </c>
      <c r="F581"/>
      <c r="G581"/>
    </row>
    <row r="582" spans="1:7">
      <c r="A582" t="s">
        <v>92</v>
      </c>
      <c r="B582" t="s">
        <v>123</v>
      </c>
      <c r="C582" s="92">
        <v>44912</v>
      </c>
      <c r="E582" t="s">
        <v>463</v>
      </c>
      <c r="F582"/>
      <c r="G582"/>
    </row>
    <row r="583" spans="1:7">
      <c r="A583" t="s">
        <v>92</v>
      </c>
      <c r="B583" t="s">
        <v>124</v>
      </c>
      <c r="C583" s="92">
        <v>44913</v>
      </c>
      <c r="E583" t="s">
        <v>463</v>
      </c>
      <c r="F583"/>
      <c r="G583"/>
    </row>
    <row r="584" spans="1:7">
      <c r="A584" t="s">
        <v>92</v>
      </c>
      <c r="B584" t="s">
        <v>125</v>
      </c>
      <c r="C584" s="92">
        <v>44914</v>
      </c>
      <c r="E584" t="s">
        <v>463</v>
      </c>
      <c r="F584"/>
      <c r="G584"/>
    </row>
    <row r="585" spans="1:7">
      <c r="A585" t="s">
        <v>92</v>
      </c>
      <c r="B585" t="s">
        <v>460</v>
      </c>
      <c r="C585" s="92">
        <v>44915</v>
      </c>
      <c r="E585" t="s">
        <v>463</v>
      </c>
      <c r="F585"/>
      <c r="G585"/>
    </row>
    <row r="586" spans="1:7">
      <c r="A586" t="s">
        <v>92</v>
      </c>
      <c r="B586" t="s">
        <v>120</v>
      </c>
      <c r="C586" s="92">
        <v>44916</v>
      </c>
      <c r="E586" t="s">
        <v>463</v>
      </c>
      <c r="F586"/>
      <c r="G586"/>
    </row>
    <row r="587" spans="1:7">
      <c r="A587" t="s">
        <v>92</v>
      </c>
      <c r="B587" t="s">
        <v>121</v>
      </c>
      <c r="C587" s="92">
        <v>44917</v>
      </c>
      <c r="E587" t="s">
        <v>463</v>
      </c>
      <c r="F587"/>
      <c r="G587"/>
    </row>
    <row r="588" spans="1:7">
      <c r="A588" t="s">
        <v>92</v>
      </c>
      <c r="B588" t="s">
        <v>311</v>
      </c>
      <c r="C588" s="92">
        <v>44918</v>
      </c>
      <c r="E588" t="s">
        <v>463</v>
      </c>
      <c r="F588"/>
      <c r="G588"/>
    </row>
    <row r="589" spans="1:7">
      <c r="A589" t="s">
        <v>92</v>
      </c>
      <c r="B589" t="s">
        <v>123</v>
      </c>
      <c r="C589" s="92">
        <v>44919</v>
      </c>
      <c r="E589" t="s">
        <v>463</v>
      </c>
      <c r="F589"/>
      <c r="G589"/>
    </row>
    <row r="590" spans="1:7">
      <c r="A590" t="s">
        <v>92</v>
      </c>
      <c r="B590" t="s">
        <v>124</v>
      </c>
      <c r="C590" s="92">
        <v>44920</v>
      </c>
      <c r="E590" t="s">
        <v>463</v>
      </c>
      <c r="F590"/>
      <c r="G590"/>
    </row>
    <row r="591" spans="1:7">
      <c r="A591" t="s">
        <v>92</v>
      </c>
      <c r="B591" t="s">
        <v>125</v>
      </c>
      <c r="C591" s="92">
        <v>44921</v>
      </c>
      <c r="E591" t="s">
        <v>463</v>
      </c>
      <c r="F591"/>
      <c r="G591"/>
    </row>
    <row r="592" spans="1:7">
      <c r="A592" t="s">
        <v>92</v>
      </c>
      <c r="B592" t="s">
        <v>460</v>
      </c>
      <c r="C592" s="92">
        <v>44922</v>
      </c>
      <c r="E592" t="s">
        <v>463</v>
      </c>
      <c r="F592"/>
      <c r="G592"/>
    </row>
    <row r="593" spans="1:7">
      <c r="A593" t="s">
        <v>92</v>
      </c>
      <c r="B593" t="s">
        <v>120</v>
      </c>
      <c r="C593" s="92">
        <v>44923</v>
      </c>
      <c r="E593" t="s">
        <v>463</v>
      </c>
      <c r="F593"/>
      <c r="G593"/>
    </row>
    <row r="594" spans="1:7">
      <c r="A594" t="s">
        <v>92</v>
      </c>
      <c r="B594" t="s">
        <v>121</v>
      </c>
      <c r="C594" s="92">
        <v>44924</v>
      </c>
      <c r="E594" t="s">
        <v>463</v>
      </c>
      <c r="F594"/>
      <c r="G594"/>
    </row>
    <row r="595" spans="1:7">
      <c r="A595" t="s">
        <v>92</v>
      </c>
      <c r="B595" t="s">
        <v>311</v>
      </c>
      <c r="C595" s="92">
        <v>44925</v>
      </c>
      <c r="E595" t="s">
        <v>463</v>
      </c>
      <c r="F595"/>
      <c r="G595"/>
    </row>
    <row r="596" spans="1:7">
      <c r="A596" t="s">
        <v>92</v>
      </c>
      <c r="B596" t="s">
        <v>123</v>
      </c>
      <c r="C596" s="92">
        <v>44926</v>
      </c>
      <c r="E596" t="s">
        <v>463</v>
      </c>
      <c r="F596"/>
      <c r="G596"/>
    </row>
  </sheetData>
  <autoFilter ref="A1:J596" xr:uid="{85F67F74-E1D0-49F9-A35E-30A70CB66A93}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F97E-82F9-44D4-9A9F-7899641D6B00}">
  <dimension ref="A1:A7"/>
  <sheetViews>
    <sheetView workbookViewId="0">
      <selection sqref="A1:A7"/>
    </sheetView>
  </sheetViews>
  <sheetFormatPr defaultColWidth="9.140625" defaultRowHeight="15"/>
  <cols>
    <col min="1" max="1" width="47.42578125" bestFit="1" customWidth="1"/>
  </cols>
  <sheetData>
    <row r="1" spans="1:1">
      <c r="A1" s="79" t="s">
        <v>464</v>
      </c>
    </row>
    <row r="2" spans="1:1">
      <c r="A2" t="s">
        <v>465</v>
      </c>
    </row>
    <row r="3" spans="1:1">
      <c r="A3" t="s">
        <v>466</v>
      </c>
    </row>
    <row r="4" spans="1:1">
      <c r="A4" t="s">
        <v>467</v>
      </c>
    </row>
    <row r="5" spans="1:1">
      <c r="A5" t="s">
        <v>468</v>
      </c>
    </row>
    <row r="6" spans="1:1">
      <c r="A6" t="s">
        <v>469</v>
      </c>
    </row>
    <row r="7" spans="1:1">
      <c r="A7" t="s">
        <v>470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8F1F-4A98-41F1-9E5B-A4C13F7E33F2}">
  <dimension ref="A2:J21"/>
  <sheetViews>
    <sheetView topLeftCell="D1" workbookViewId="0">
      <selection activeCell="J16" sqref="J16"/>
    </sheetView>
  </sheetViews>
  <sheetFormatPr defaultColWidth="11.42578125" defaultRowHeight="15" customHeight="1"/>
  <cols>
    <col min="1" max="1" width="19.28515625" style="140" customWidth="1"/>
    <col min="2" max="2" width="23.140625" style="140" customWidth="1"/>
    <col min="3" max="3" width="18.42578125" style="37" hidden="1" customWidth="1"/>
    <col min="4" max="4" width="23.28515625" style="37" customWidth="1"/>
    <col min="5" max="6" width="17.7109375" style="37" customWidth="1"/>
    <col min="7" max="7" width="16.28515625" style="37" customWidth="1"/>
    <col min="8" max="8" width="58.28515625" style="37" customWidth="1"/>
    <col min="9" max="9" width="22.7109375" style="37" bestFit="1" customWidth="1"/>
    <col min="10" max="10" width="27.140625" style="37" customWidth="1"/>
    <col min="11" max="16384" width="11.42578125" style="37"/>
  </cols>
  <sheetData>
    <row r="2" spans="1:10" ht="15" customHeight="1">
      <c r="B2" s="140" t="s">
        <v>471</v>
      </c>
      <c r="D2" s="37">
        <v>912571211</v>
      </c>
    </row>
    <row r="4" spans="1:10">
      <c r="A4" s="147" t="s">
        <v>174</v>
      </c>
      <c r="B4" s="147" t="s">
        <v>312</v>
      </c>
      <c r="C4" s="148" t="s">
        <v>472</v>
      </c>
      <c r="D4" s="148" t="s">
        <v>473</v>
      </c>
      <c r="E4" s="148" t="s">
        <v>313</v>
      </c>
      <c r="F4" s="148" t="s">
        <v>472</v>
      </c>
      <c r="G4" s="148" t="s">
        <v>474</v>
      </c>
      <c r="H4" s="148" t="s">
        <v>314</v>
      </c>
      <c r="I4" s="148" t="s">
        <v>475</v>
      </c>
      <c r="J4" s="148" t="s">
        <v>175</v>
      </c>
    </row>
    <row r="5" spans="1:10">
      <c r="A5" s="150" t="s">
        <v>476</v>
      </c>
      <c r="B5" s="150" t="s">
        <v>477</v>
      </c>
      <c r="C5" s="151" t="s">
        <v>478</v>
      </c>
      <c r="D5" s="152" t="s">
        <v>479</v>
      </c>
      <c r="E5" s="153">
        <v>626489069</v>
      </c>
      <c r="F5" s="153"/>
      <c r="G5" s="154"/>
      <c r="H5" s="155" t="s">
        <v>480</v>
      </c>
      <c r="I5" s="151" t="s">
        <v>481</v>
      </c>
      <c r="J5" s="37" t="s">
        <v>482</v>
      </c>
    </row>
    <row r="6" spans="1:10">
      <c r="A6" s="150" t="s">
        <v>483</v>
      </c>
      <c r="B6" s="150" t="s">
        <v>484</v>
      </c>
      <c r="C6" s="151" t="s">
        <v>485</v>
      </c>
      <c r="D6" s="152" t="s">
        <v>486</v>
      </c>
      <c r="E6" s="153">
        <v>695685960</v>
      </c>
      <c r="F6" s="153"/>
      <c r="G6" s="154"/>
      <c r="H6" s="155" t="s">
        <v>487</v>
      </c>
      <c r="I6" s="151" t="s">
        <v>488</v>
      </c>
      <c r="J6" s="37" t="s">
        <v>450</v>
      </c>
    </row>
    <row r="7" spans="1:10">
      <c r="A7" s="150" t="s">
        <v>489</v>
      </c>
      <c r="B7" s="150" t="s">
        <v>490</v>
      </c>
      <c r="C7" s="151" t="s">
        <v>491</v>
      </c>
      <c r="D7" s="152" t="s">
        <v>492</v>
      </c>
      <c r="E7" s="153">
        <v>615900795</v>
      </c>
      <c r="F7" s="153"/>
      <c r="G7" s="154"/>
      <c r="H7" s="155" t="s">
        <v>493</v>
      </c>
      <c r="I7" s="151" t="s">
        <v>494</v>
      </c>
      <c r="J7" s="75" t="s">
        <v>450</v>
      </c>
    </row>
    <row r="8" spans="1:10">
      <c r="A8" s="150" t="s">
        <v>495</v>
      </c>
      <c r="B8" s="150" t="s">
        <v>496</v>
      </c>
      <c r="C8" s="151" t="s">
        <v>497</v>
      </c>
      <c r="D8" s="152" t="s">
        <v>498</v>
      </c>
      <c r="E8" s="153">
        <v>675540995</v>
      </c>
      <c r="F8" s="153"/>
      <c r="G8" s="154">
        <v>118635</v>
      </c>
      <c r="H8" s="155" t="s">
        <v>499</v>
      </c>
      <c r="I8" s="151" t="s">
        <v>500</v>
      </c>
      <c r="J8" s="75" t="s">
        <v>450</v>
      </c>
    </row>
    <row r="9" spans="1:10">
      <c r="A9" s="150" t="s">
        <v>501</v>
      </c>
      <c r="B9" s="150" t="s">
        <v>502</v>
      </c>
      <c r="C9" s="151" t="s">
        <v>503</v>
      </c>
      <c r="D9" s="152" t="s">
        <v>504</v>
      </c>
      <c r="E9" s="153">
        <v>684433775</v>
      </c>
      <c r="F9" s="153"/>
      <c r="G9" s="154">
        <v>5148312</v>
      </c>
      <c r="H9" s="156" t="s">
        <v>505</v>
      </c>
      <c r="I9" s="151" t="s">
        <v>506</v>
      </c>
      <c r="J9" s="75" t="s">
        <v>450</v>
      </c>
    </row>
    <row r="10" spans="1:10">
      <c r="A10" s="150" t="s">
        <v>507</v>
      </c>
      <c r="B10" s="150" t="s">
        <v>508</v>
      </c>
      <c r="C10" s="151" t="s">
        <v>509</v>
      </c>
      <c r="D10" s="152" t="s">
        <v>510</v>
      </c>
      <c r="E10" s="153">
        <v>639419695</v>
      </c>
      <c r="F10" s="153"/>
      <c r="G10" s="154">
        <v>122435</v>
      </c>
      <c r="H10" s="155" t="s">
        <v>511</v>
      </c>
      <c r="I10" s="151" t="s">
        <v>512</v>
      </c>
      <c r="J10" s="75" t="s">
        <v>450</v>
      </c>
    </row>
    <row r="11" spans="1:10">
      <c r="A11" s="150" t="s">
        <v>513</v>
      </c>
      <c r="B11" s="150" t="s">
        <v>514</v>
      </c>
      <c r="C11" s="151" t="s">
        <v>515</v>
      </c>
      <c r="D11" s="152" t="s">
        <v>516</v>
      </c>
      <c r="E11" s="153">
        <v>648687752</v>
      </c>
      <c r="F11" s="153"/>
      <c r="G11" s="154">
        <v>122431</v>
      </c>
      <c r="H11" s="155" t="s">
        <v>517</v>
      </c>
      <c r="I11" s="151" t="s">
        <v>518</v>
      </c>
      <c r="J11" s="37" t="s">
        <v>135</v>
      </c>
    </row>
    <row r="12" spans="1:10">
      <c r="A12" s="150" t="s">
        <v>519</v>
      </c>
      <c r="B12" s="150" t="s">
        <v>520</v>
      </c>
      <c r="C12" s="151" t="s">
        <v>521</v>
      </c>
      <c r="D12" s="152" t="s">
        <v>522</v>
      </c>
      <c r="E12" s="153">
        <v>650920166</v>
      </c>
      <c r="F12" s="153"/>
      <c r="G12" s="154">
        <v>122427</v>
      </c>
      <c r="H12" s="155" t="s">
        <v>523</v>
      </c>
      <c r="I12" s="151" t="s">
        <v>524</v>
      </c>
      <c r="J12" s="37" t="s">
        <v>525</v>
      </c>
    </row>
    <row r="13" spans="1:10">
      <c r="A13" s="150" t="s">
        <v>526</v>
      </c>
      <c r="B13" s="150" t="s">
        <v>527</v>
      </c>
      <c r="C13" s="151" t="s">
        <v>528</v>
      </c>
      <c r="D13" s="152" t="s">
        <v>529</v>
      </c>
      <c r="E13" s="153">
        <v>684432274</v>
      </c>
      <c r="F13" s="153"/>
      <c r="G13" s="154">
        <v>5142462</v>
      </c>
      <c r="H13" s="155" t="s">
        <v>530</v>
      </c>
      <c r="I13" s="151" t="s">
        <v>531</v>
      </c>
      <c r="J13" s="75" t="s">
        <v>450</v>
      </c>
    </row>
    <row r="14" spans="1:10">
      <c r="A14" s="150" t="s">
        <v>532</v>
      </c>
      <c r="B14" s="150" t="s">
        <v>533</v>
      </c>
      <c r="C14" s="151" t="s">
        <v>534</v>
      </c>
      <c r="D14" s="152" t="s">
        <v>535</v>
      </c>
      <c r="E14" s="153">
        <v>675733582</v>
      </c>
      <c r="F14" s="153" t="s">
        <v>536</v>
      </c>
      <c r="G14" s="154">
        <v>5736343</v>
      </c>
      <c r="H14" s="155" t="s">
        <v>537</v>
      </c>
      <c r="I14" s="151" t="s">
        <v>538</v>
      </c>
      <c r="J14" s="75" t="s">
        <v>450</v>
      </c>
    </row>
    <row r="15" spans="1:10">
      <c r="A15" s="150" t="s">
        <v>539</v>
      </c>
      <c r="B15" s="150" t="s">
        <v>540</v>
      </c>
      <c r="C15" s="151" t="s">
        <v>541</v>
      </c>
      <c r="D15" s="152" t="s">
        <v>542</v>
      </c>
      <c r="E15" s="153">
        <v>619745419</v>
      </c>
      <c r="F15" s="153"/>
      <c r="G15" s="154">
        <v>5136369</v>
      </c>
      <c r="H15" s="155" t="s">
        <v>543</v>
      </c>
      <c r="I15" s="151" t="s">
        <v>544</v>
      </c>
      <c r="J15" s="37" t="s">
        <v>545</v>
      </c>
    </row>
    <row r="16" spans="1:10">
      <c r="A16" s="150" t="s">
        <v>546</v>
      </c>
      <c r="B16" s="150" t="s">
        <v>547</v>
      </c>
      <c r="C16" s="151" t="s">
        <v>548</v>
      </c>
      <c r="D16" s="152" t="s">
        <v>549</v>
      </c>
      <c r="E16" s="153">
        <v>675733653</v>
      </c>
      <c r="F16" s="153"/>
      <c r="G16" s="154"/>
      <c r="H16" s="155" t="s">
        <v>550</v>
      </c>
      <c r="I16" s="151" t="s">
        <v>551</v>
      </c>
      <c r="J16" s="75" t="s">
        <v>450</v>
      </c>
    </row>
    <row r="17" spans="1:10">
      <c r="A17" s="150" t="s">
        <v>61</v>
      </c>
      <c r="B17" s="150" t="s">
        <v>552</v>
      </c>
      <c r="C17" s="151" t="s">
        <v>553</v>
      </c>
      <c r="D17" s="152" t="s">
        <v>554</v>
      </c>
      <c r="E17" s="153">
        <v>675734380</v>
      </c>
      <c r="F17" s="153"/>
      <c r="G17" s="154">
        <v>5131973</v>
      </c>
      <c r="H17" s="155" t="s">
        <v>555</v>
      </c>
      <c r="I17" s="151" t="s">
        <v>556</v>
      </c>
      <c r="J17" s="75" t="s">
        <v>450</v>
      </c>
    </row>
    <row r="18" spans="1:10">
      <c r="A18" s="150" t="s">
        <v>513</v>
      </c>
      <c r="B18" s="150" t="s">
        <v>557</v>
      </c>
      <c r="C18" s="151" t="s">
        <v>558</v>
      </c>
      <c r="D18" s="152" t="s">
        <v>559</v>
      </c>
      <c r="E18" s="153">
        <v>615907208</v>
      </c>
      <c r="F18" s="153"/>
      <c r="G18" s="154"/>
      <c r="H18" s="155" t="s">
        <v>560</v>
      </c>
      <c r="I18" s="151" t="s">
        <v>561</v>
      </c>
      <c r="J18" s="37" t="s">
        <v>525</v>
      </c>
    </row>
    <row r="19" spans="1:10">
      <c r="A19" s="150" t="s">
        <v>562</v>
      </c>
      <c r="B19" s="150" t="s">
        <v>563</v>
      </c>
      <c r="C19" s="151" t="s">
        <v>564</v>
      </c>
      <c r="D19" s="152" t="s">
        <v>565</v>
      </c>
      <c r="E19" s="153">
        <v>615908065</v>
      </c>
      <c r="F19" s="153"/>
      <c r="G19" s="154"/>
      <c r="H19" s="155" t="s">
        <v>566</v>
      </c>
      <c r="I19" s="151" t="s">
        <v>567</v>
      </c>
      <c r="J19" s="37" t="s">
        <v>135</v>
      </c>
    </row>
    <row r="20" spans="1:10">
      <c r="A20" s="150" t="s">
        <v>568</v>
      </c>
      <c r="B20" s="150" t="s">
        <v>569</v>
      </c>
      <c r="C20" s="151" t="s">
        <v>570</v>
      </c>
      <c r="D20" s="152" t="s">
        <v>571</v>
      </c>
      <c r="E20" s="153">
        <v>603365832</v>
      </c>
      <c r="F20" s="153"/>
      <c r="G20" s="154">
        <v>5113166</v>
      </c>
      <c r="H20" s="155" t="s">
        <v>572</v>
      </c>
      <c r="I20" s="151" t="s">
        <v>573</v>
      </c>
      <c r="J20" s="37" t="s">
        <v>135</v>
      </c>
    </row>
    <row r="21" spans="1:10" ht="15" customHeight="1">
      <c r="A21" s="266" t="s">
        <v>574</v>
      </c>
      <c r="B21" s="266" t="s">
        <v>575</v>
      </c>
      <c r="D21" s="86" t="s">
        <v>576</v>
      </c>
      <c r="E21" s="86" t="s">
        <v>577</v>
      </c>
      <c r="F21" s="86" t="s">
        <v>578</v>
      </c>
      <c r="G21" s="86">
        <v>818468</v>
      </c>
      <c r="H21" s="267" t="s">
        <v>579</v>
      </c>
      <c r="I21" s="86" t="s">
        <v>580</v>
      </c>
      <c r="J21" s="86" t="s">
        <v>450</v>
      </c>
    </row>
  </sheetData>
  <hyperlinks>
    <hyperlink ref="H5" r:id="rId1" xr:uid="{94A967EB-5A24-4467-868A-22D74C918516}"/>
    <hyperlink ref="H6" r:id="rId2" xr:uid="{84075B12-F81F-4BDE-9C35-BC2E6B8D8EE0}"/>
    <hyperlink ref="H7" r:id="rId3" display="mailto:daniel.portugues@gruposantander.com" xr:uid="{F46C53D9-4EAB-4920-8643-682D6B8F3B39}"/>
    <hyperlink ref="H8" r:id="rId4" xr:uid="{0ECA9124-12EE-4667-AAE8-DED2F6F21C02}"/>
    <hyperlink ref="H10" r:id="rId5" xr:uid="{AE8457CE-048F-4E62-9DAA-B9E6F4125A66}"/>
    <hyperlink ref="H11" r:id="rId6" xr:uid="{8F35504B-0928-479B-88E8-AD63E8CF3354}"/>
    <hyperlink ref="H12" r:id="rId7" xr:uid="{FA1E7299-31B6-4C83-97E0-EAE953D5F0BE}"/>
    <hyperlink ref="H13" r:id="rId8" xr:uid="{1088C87A-4E24-4780-BEB3-88872BC6EAE0}"/>
    <hyperlink ref="H14" r:id="rId9" xr:uid="{E797411F-49CD-41F4-885E-736EB297CD94}"/>
    <hyperlink ref="H17" r:id="rId10" xr:uid="{65AC92AE-8EDF-4F42-84BA-F101A561DC84}"/>
    <hyperlink ref="H16" r:id="rId11" xr:uid="{73E82F8A-CED6-42FF-96B4-A78D80559C84}"/>
    <hyperlink ref="H18" r:id="rId12" xr:uid="{E55ADA47-B3F5-4210-A583-060898C9F8B8}"/>
    <hyperlink ref="H19" r:id="rId13" xr:uid="{3148902E-1B6C-4D79-8109-A264E98E792D}"/>
    <hyperlink ref="H9" r:id="rId14" xr:uid="{5C44DFB5-FAD2-41CA-9849-220F131A6099}"/>
    <hyperlink ref="H21" r:id="rId15" xr:uid="{3AA4C4FA-F72E-4A8B-956C-361CB4381454}"/>
    <hyperlink ref="H15" r:id="rId16" xr:uid="{F342E9D8-CD20-4922-BFCE-756D0F66F591}"/>
  </hyperlinks>
  <pageMargins left="0.7" right="0.7" top="0.75" bottom="0.75" header="0.3" footer="0.3"/>
  <pageSetup orientation="portrait" r:id="rId17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DAB5-3690-419E-B647-43FFC4A999EA}">
  <dimension ref="A1:G15"/>
  <sheetViews>
    <sheetView tabSelected="1" workbookViewId="0">
      <selection activeCell="D11" sqref="D11"/>
    </sheetView>
  </sheetViews>
  <sheetFormatPr defaultColWidth="11.42578125" defaultRowHeight="15"/>
  <cols>
    <col min="1" max="1" width="33.28515625" customWidth="1"/>
    <col min="2" max="2" width="17.5703125" customWidth="1"/>
    <col min="3" max="3" width="12" customWidth="1"/>
    <col min="4" max="4" width="52.42578125" customWidth="1"/>
    <col min="5" max="5" width="30.85546875" customWidth="1"/>
    <col min="6" max="6" width="15.7109375" customWidth="1"/>
    <col min="7" max="7" width="16.7109375" customWidth="1"/>
  </cols>
  <sheetData>
    <row r="1" spans="1:7">
      <c r="A1" s="147" t="s">
        <v>174</v>
      </c>
      <c r="B1" s="148" t="s">
        <v>472</v>
      </c>
      <c r="C1" s="148" t="s">
        <v>313</v>
      </c>
      <c r="D1" s="148" t="s">
        <v>314</v>
      </c>
      <c r="E1" s="148" t="s">
        <v>475</v>
      </c>
      <c r="F1" s="148" t="s">
        <v>473</v>
      </c>
      <c r="G1" s="148" t="s">
        <v>474</v>
      </c>
    </row>
    <row r="2" spans="1:7">
      <c r="A2" s="150" t="s">
        <v>345</v>
      </c>
      <c r="B2" s="151" t="s">
        <v>581</v>
      </c>
      <c r="C2" s="153">
        <v>663522800</v>
      </c>
      <c r="D2" s="188" t="s">
        <v>582</v>
      </c>
      <c r="E2" s="153" t="s">
        <v>583</v>
      </c>
      <c r="F2" s="152" t="s">
        <v>584</v>
      </c>
      <c r="G2" s="152"/>
    </row>
    <row r="3" spans="1:7">
      <c r="A3" s="150" t="s">
        <v>452</v>
      </c>
      <c r="B3" s="151"/>
      <c r="C3" s="153">
        <v>635532482</v>
      </c>
      <c r="D3" s="155" t="s">
        <v>585</v>
      </c>
      <c r="E3" s="151" t="s">
        <v>586</v>
      </c>
      <c r="F3" s="152" t="s">
        <v>587</v>
      </c>
      <c r="G3" s="152"/>
    </row>
    <row r="4" spans="1:7">
      <c r="A4" s="150" t="s">
        <v>167</v>
      </c>
      <c r="B4" s="151" t="s">
        <v>588</v>
      </c>
      <c r="C4" s="153">
        <v>671511873</v>
      </c>
      <c r="D4" s="188" t="s">
        <v>589</v>
      </c>
      <c r="E4" s="153" t="s">
        <v>590</v>
      </c>
      <c r="F4" s="152" t="s">
        <v>591</v>
      </c>
      <c r="G4" s="152">
        <v>5130361</v>
      </c>
    </row>
    <row r="5" spans="1:7">
      <c r="A5" s="150" t="s">
        <v>592</v>
      </c>
      <c r="B5" s="151" t="s">
        <v>593</v>
      </c>
      <c r="C5" s="153">
        <v>652804917</v>
      </c>
      <c r="D5" s="188" t="s">
        <v>594</v>
      </c>
      <c r="E5" s="153" t="s">
        <v>595</v>
      </c>
      <c r="F5" s="152" t="s">
        <v>596</v>
      </c>
      <c r="G5" s="152"/>
    </row>
    <row r="6" spans="1:7">
      <c r="A6" s="150" t="s">
        <v>360</v>
      </c>
      <c r="B6" s="151" t="s">
        <v>597</v>
      </c>
      <c r="C6" s="153">
        <v>671511902</v>
      </c>
      <c r="D6" s="188" t="s">
        <v>598</v>
      </c>
      <c r="E6" s="153" t="s">
        <v>599</v>
      </c>
      <c r="F6" s="152" t="s">
        <v>600</v>
      </c>
      <c r="G6" s="152"/>
    </row>
    <row r="7" spans="1:7">
      <c r="A7" s="150" t="s">
        <v>601</v>
      </c>
      <c r="B7" s="151" t="s">
        <v>602</v>
      </c>
      <c r="C7" s="153">
        <v>671511896</v>
      </c>
      <c r="D7" s="188" t="s">
        <v>603</v>
      </c>
      <c r="E7" s="153" t="s">
        <v>604</v>
      </c>
      <c r="F7" s="152" t="s">
        <v>605</v>
      </c>
      <c r="G7" s="152"/>
    </row>
    <row r="8" spans="1:7">
      <c r="A8" s="261" t="s">
        <v>354</v>
      </c>
      <c r="B8" s="262" t="s">
        <v>606</v>
      </c>
      <c r="C8" s="263">
        <v>682326533</v>
      </c>
      <c r="D8" s="264" t="s">
        <v>607</v>
      </c>
      <c r="E8" s="263" t="s">
        <v>608</v>
      </c>
      <c r="F8" s="265" t="s">
        <v>609</v>
      </c>
      <c r="G8" s="265"/>
    </row>
    <row r="9" spans="1:7">
      <c r="A9" s="150" t="s">
        <v>610</v>
      </c>
      <c r="B9" s="151" t="s">
        <v>611</v>
      </c>
      <c r="C9" s="153">
        <v>656873471</v>
      </c>
      <c r="D9" s="188" t="s">
        <v>612</v>
      </c>
      <c r="E9" s="153" t="s">
        <v>613</v>
      </c>
      <c r="F9" s="152" t="s">
        <v>614</v>
      </c>
      <c r="G9" s="152">
        <v>5156160</v>
      </c>
    </row>
    <row r="11" spans="1:7" ht="39.75" customHeight="1">
      <c r="B11" s="913" t="s">
        <v>615</v>
      </c>
      <c r="C11" s="914"/>
      <c r="D11" s="257">
        <v>911753531</v>
      </c>
    </row>
    <row r="15" spans="1:7">
      <c r="A15" s="758" t="s">
        <v>616</v>
      </c>
      <c r="B15" s="759" t="s">
        <v>617</v>
      </c>
      <c r="C15" s="760">
        <v>663523006</v>
      </c>
      <c r="D15" s="188" t="s">
        <v>618</v>
      </c>
      <c r="E15" s="760"/>
      <c r="F15" s="761" t="s">
        <v>619</v>
      </c>
      <c r="G15" s="761"/>
    </row>
  </sheetData>
  <mergeCells count="1">
    <mergeCell ref="B11:C11"/>
  </mergeCells>
  <hyperlinks>
    <hyperlink ref="D5" r:id="rId1" display="mailto:fernando.langreo@servexternos.gruposantander.com" xr:uid="{F09E7EB6-E278-4DCD-A0AD-EC86924945CC}"/>
    <hyperlink ref="D7" r:id="rId2" display="mailto:jose.cartas@servexternos.gruposantander.com" xr:uid="{C418DC14-FE9B-4002-BAA0-3B3EF21098FC}"/>
    <hyperlink ref="D3" r:id="rId3" display="mailto:fernando.rubio@servexternos.gruposantander.com" xr:uid="{B49A7490-D80B-443A-83CF-FCEF13949F48}"/>
    <hyperlink ref="D2" r:id="rId4" xr:uid="{0E276E79-59BB-4A9D-AF4D-2A46833741EE}"/>
    <hyperlink ref="D4" r:id="rId5" display="mailto:josemiguel.perea@servexternos.gruposantander.com" xr:uid="{87FCCD70-ADB3-4599-A699-96BCC0C9BD4F}"/>
    <hyperlink ref="D6" r:id="rId6" display="mailto:liviu.lazar@servexternos.gruposantander.com" xr:uid="{C70056B4-A2F6-4FE6-8236-CCC583CD5ADA}"/>
    <hyperlink ref="D9" r:id="rId7" xr:uid="{305B47B8-D165-464D-96AE-58772A843AED}"/>
    <hyperlink ref="D15" r:id="rId8" display="mailto:fernando.martin@servexternos.gruposantander.com" xr:uid="{9EF73B44-D7BF-40D0-9EBE-F92B30C9CA5E}"/>
    <hyperlink ref="D8" r:id="rId9" xr:uid="{4E49A300-552F-444C-994E-229CFB9B6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8507-681C-45B2-B01A-5DA7B58E0BDB}">
  <dimension ref="A2:AK171"/>
  <sheetViews>
    <sheetView topLeftCell="A139" zoomScale="77" zoomScaleNormal="77" workbookViewId="0">
      <pane xSplit="1" topLeftCell="B1" activePane="topRight" state="frozen"/>
      <selection pane="topRight" activeCell="Q153" sqref="Q153:Q156"/>
    </sheetView>
  </sheetViews>
  <sheetFormatPr defaultColWidth="9.140625" defaultRowHeight="18" customHeight="1"/>
  <cols>
    <col min="1" max="1" width="34.5703125" style="623" customWidth="1"/>
    <col min="2" max="32" width="9.140625" style="623" customWidth="1"/>
    <col min="33" max="33" width="9.140625" style="623"/>
    <col min="34" max="34" width="8.5703125" style="623" customWidth="1"/>
    <col min="35" max="16384" width="9.140625" style="623"/>
  </cols>
  <sheetData>
    <row r="2" spans="1:32" ht="18" customHeight="1">
      <c r="A2" s="622" t="s">
        <v>325</v>
      </c>
      <c r="B2" s="862" t="s">
        <v>326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  <c r="O2" s="862"/>
      <c r="P2" s="862"/>
      <c r="Q2" s="862"/>
      <c r="R2" s="862"/>
      <c r="S2" s="862"/>
      <c r="T2" s="862"/>
      <c r="U2" s="862"/>
      <c r="V2" s="862"/>
      <c r="W2" s="862"/>
      <c r="X2" s="862"/>
      <c r="Y2" s="862"/>
      <c r="Z2" s="862"/>
      <c r="AA2" s="862"/>
      <c r="AB2" s="862"/>
      <c r="AC2" s="862"/>
      <c r="AD2" s="862"/>
      <c r="AE2" s="862"/>
      <c r="AF2" s="863"/>
    </row>
    <row r="3" spans="1:32" ht="18" customHeight="1">
      <c r="A3" s="624" t="s">
        <v>327</v>
      </c>
      <c r="B3" s="864" t="s">
        <v>328</v>
      </c>
      <c r="C3" s="864"/>
      <c r="D3" s="864"/>
      <c r="E3" s="864"/>
      <c r="F3" s="864"/>
      <c r="G3" s="864"/>
      <c r="H3" s="864"/>
      <c r="I3" s="864"/>
      <c r="J3" s="864"/>
      <c r="K3" s="864"/>
      <c r="L3" s="864"/>
      <c r="M3" s="864"/>
      <c r="N3" s="864"/>
      <c r="O3" s="864"/>
      <c r="P3" s="864"/>
      <c r="Q3" s="864"/>
      <c r="R3" s="864"/>
      <c r="S3" s="864"/>
      <c r="T3" s="864"/>
      <c r="U3" s="864"/>
      <c r="V3" s="864"/>
      <c r="W3" s="864"/>
      <c r="X3" s="864"/>
      <c r="Y3" s="864"/>
      <c r="Z3" s="864"/>
      <c r="AA3" s="864"/>
      <c r="AB3" s="864"/>
      <c r="AC3" s="864"/>
      <c r="AD3" s="864"/>
      <c r="AE3" s="864"/>
      <c r="AF3" s="865"/>
    </row>
    <row r="4" spans="1:32" ht="18" customHeight="1">
      <c r="A4" s="625" t="s">
        <v>329</v>
      </c>
      <c r="B4" s="866" t="s">
        <v>330</v>
      </c>
      <c r="C4" s="866"/>
      <c r="D4" s="866"/>
      <c r="E4" s="866"/>
      <c r="F4" s="866"/>
      <c r="G4" s="866"/>
      <c r="H4" s="866"/>
      <c r="I4" s="866"/>
      <c r="J4" s="866"/>
      <c r="K4" s="866"/>
      <c r="L4" s="866"/>
      <c r="M4" s="866"/>
      <c r="N4" s="866"/>
      <c r="O4" s="866"/>
      <c r="P4" s="866"/>
      <c r="Q4" s="866"/>
      <c r="R4" s="866"/>
      <c r="S4" s="866"/>
      <c r="T4" s="866"/>
      <c r="U4" s="866"/>
      <c r="V4" s="866"/>
      <c r="W4" s="866"/>
      <c r="X4" s="866"/>
      <c r="Y4" s="866"/>
      <c r="Z4" s="866"/>
      <c r="AA4" s="866"/>
      <c r="AB4" s="866"/>
      <c r="AC4" s="866"/>
      <c r="AD4" s="866"/>
      <c r="AE4" s="866"/>
      <c r="AF4" s="867"/>
    </row>
    <row r="5" spans="1:32" ht="18" customHeight="1">
      <c r="A5" s="611" t="s">
        <v>331</v>
      </c>
      <c r="B5" s="868" t="s">
        <v>332</v>
      </c>
      <c r="C5" s="866"/>
      <c r="D5" s="866"/>
      <c r="E5" s="866"/>
      <c r="F5" s="866"/>
      <c r="G5" s="866"/>
      <c r="H5" s="866"/>
      <c r="I5" s="866"/>
      <c r="J5" s="866"/>
      <c r="K5" s="866"/>
      <c r="L5" s="866"/>
      <c r="M5" s="866"/>
      <c r="N5" s="866"/>
      <c r="O5" s="866"/>
      <c r="P5" s="866"/>
      <c r="Q5" s="866"/>
      <c r="R5" s="866"/>
      <c r="S5" s="866"/>
      <c r="T5" s="866"/>
      <c r="U5" s="866"/>
      <c r="V5" s="866"/>
      <c r="W5" s="866"/>
      <c r="X5" s="866"/>
      <c r="Y5" s="866"/>
      <c r="Z5" s="866"/>
      <c r="AA5" s="866"/>
      <c r="AB5" s="866"/>
      <c r="AC5" s="866"/>
      <c r="AD5" s="866"/>
      <c r="AE5" s="866"/>
      <c r="AF5" s="867"/>
    </row>
    <row r="6" spans="1:32" ht="18" customHeight="1">
      <c r="A6" s="611" t="s">
        <v>14</v>
      </c>
      <c r="B6" s="855" t="s">
        <v>46</v>
      </c>
      <c r="C6" s="855"/>
      <c r="D6" s="855"/>
      <c r="E6" s="855"/>
      <c r="F6" s="855"/>
      <c r="G6" s="855"/>
      <c r="H6" s="855"/>
      <c r="I6" s="855"/>
      <c r="J6" s="855"/>
      <c r="K6" s="855"/>
      <c r="L6" s="855"/>
      <c r="M6" s="855"/>
      <c r="N6" s="855"/>
      <c r="O6" s="855"/>
      <c r="P6" s="855"/>
      <c r="Q6" s="855"/>
      <c r="R6" s="855"/>
      <c r="S6" s="855"/>
      <c r="T6" s="855"/>
      <c r="U6" s="855"/>
      <c r="V6" s="855"/>
      <c r="W6" s="855"/>
      <c r="X6" s="855"/>
      <c r="Y6" s="855"/>
      <c r="Z6" s="855"/>
      <c r="AA6" s="855"/>
      <c r="AB6" s="855"/>
      <c r="AC6" s="855"/>
      <c r="AD6" s="855"/>
      <c r="AE6" s="855"/>
      <c r="AF6" s="856"/>
    </row>
    <row r="7" spans="1:32" ht="18" customHeight="1">
      <c r="A7" s="626" t="s">
        <v>9</v>
      </c>
      <c r="B7" s="855" t="s">
        <v>333</v>
      </c>
      <c r="C7" s="855"/>
      <c r="D7" s="855"/>
      <c r="E7" s="855"/>
      <c r="F7" s="855"/>
      <c r="G7" s="855"/>
      <c r="H7" s="855"/>
      <c r="I7" s="855"/>
      <c r="J7" s="855"/>
      <c r="K7" s="855"/>
      <c r="L7" s="855"/>
      <c r="M7" s="855"/>
      <c r="N7" s="855"/>
      <c r="O7" s="855"/>
      <c r="P7" s="855"/>
      <c r="Q7" s="855"/>
      <c r="R7" s="855"/>
      <c r="S7" s="855"/>
      <c r="T7" s="855"/>
      <c r="U7" s="855"/>
      <c r="V7" s="855"/>
      <c r="W7" s="855"/>
      <c r="X7" s="855"/>
      <c r="Y7" s="855"/>
      <c r="Z7" s="855"/>
      <c r="AA7" s="855"/>
      <c r="AB7" s="855"/>
      <c r="AC7" s="855"/>
      <c r="AD7" s="855"/>
      <c r="AE7" s="855"/>
      <c r="AF7" s="856"/>
    </row>
    <row r="8" spans="1:32" ht="18" customHeight="1">
      <c r="A8" s="607" t="s">
        <v>9</v>
      </c>
      <c r="B8" s="857" t="s">
        <v>334</v>
      </c>
      <c r="C8" s="858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8"/>
      <c r="O8" s="858"/>
      <c r="P8" s="858"/>
      <c r="Q8" s="858"/>
      <c r="R8" s="858"/>
      <c r="S8" s="858"/>
      <c r="T8" s="858"/>
      <c r="U8" s="858"/>
      <c r="V8" s="858"/>
      <c r="W8" s="858"/>
      <c r="X8" s="858"/>
      <c r="Y8" s="858"/>
      <c r="Z8" s="858"/>
      <c r="AA8" s="858"/>
      <c r="AB8" s="858"/>
      <c r="AC8" s="858"/>
      <c r="AD8" s="858"/>
      <c r="AE8" s="858"/>
      <c r="AF8" s="859"/>
    </row>
    <row r="9" spans="1:32" ht="18" customHeight="1">
      <c r="A9" s="627" t="s">
        <v>93</v>
      </c>
      <c r="B9" s="860" t="s">
        <v>335</v>
      </c>
      <c r="C9" s="860"/>
      <c r="D9" s="860"/>
      <c r="E9" s="860"/>
      <c r="F9" s="860"/>
      <c r="G9" s="860"/>
      <c r="H9" s="860"/>
      <c r="I9" s="860"/>
      <c r="J9" s="860"/>
      <c r="K9" s="860"/>
      <c r="L9" s="860"/>
      <c r="M9" s="860"/>
      <c r="N9" s="860"/>
      <c r="O9" s="860"/>
      <c r="P9" s="860"/>
      <c r="Q9" s="860"/>
      <c r="R9" s="860"/>
      <c r="S9" s="860"/>
      <c r="T9" s="860"/>
      <c r="U9" s="860"/>
      <c r="V9" s="860"/>
      <c r="W9" s="860"/>
      <c r="X9" s="860"/>
      <c r="Y9" s="860"/>
      <c r="Z9" s="860"/>
      <c r="AA9" s="860"/>
      <c r="AB9" s="860"/>
      <c r="AC9" s="860"/>
      <c r="AD9" s="860"/>
      <c r="AE9" s="860"/>
      <c r="AF9" s="861"/>
    </row>
    <row r="10" spans="1:32" ht="18" customHeight="1">
      <c r="A10" s="628" t="s">
        <v>336</v>
      </c>
      <c r="B10" s="860" t="s">
        <v>337</v>
      </c>
      <c r="C10" s="860"/>
      <c r="D10" s="860"/>
      <c r="E10" s="860"/>
      <c r="F10" s="860"/>
      <c r="G10" s="860"/>
      <c r="H10" s="860"/>
      <c r="I10" s="860"/>
      <c r="J10" s="860"/>
      <c r="K10" s="860"/>
      <c r="L10" s="860"/>
      <c r="M10" s="860"/>
      <c r="N10" s="860"/>
      <c r="O10" s="860"/>
      <c r="P10" s="860"/>
      <c r="Q10" s="860"/>
      <c r="R10" s="860"/>
      <c r="S10" s="860"/>
      <c r="T10" s="860"/>
      <c r="U10" s="860"/>
      <c r="V10" s="860"/>
      <c r="W10" s="860"/>
      <c r="X10" s="860"/>
      <c r="Y10" s="860"/>
      <c r="Z10" s="860"/>
      <c r="AA10" s="860"/>
      <c r="AB10" s="860"/>
      <c r="AC10" s="860"/>
      <c r="AD10" s="860"/>
      <c r="AE10" s="860"/>
      <c r="AF10" s="861"/>
    </row>
    <row r="11" spans="1:32" ht="18" customHeight="1">
      <c r="A11" s="629" t="s">
        <v>12</v>
      </c>
      <c r="B11" s="860" t="s">
        <v>338</v>
      </c>
      <c r="C11" s="860"/>
      <c r="D11" s="860"/>
      <c r="E11" s="860"/>
      <c r="F11" s="860"/>
      <c r="G11" s="860"/>
      <c r="H11" s="860"/>
      <c r="I11" s="860"/>
      <c r="J11" s="860"/>
      <c r="K11" s="860"/>
      <c r="L11" s="860"/>
      <c r="M11" s="860"/>
      <c r="N11" s="860"/>
      <c r="O11" s="860"/>
      <c r="P11" s="860"/>
      <c r="Q11" s="860"/>
      <c r="R11" s="860"/>
      <c r="S11" s="860"/>
      <c r="T11" s="860"/>
      <c r="U11" s="860"/>
      <c r="V11" s="860"/>
      <c r="W11" s="860"/>
      <c r="X11" s="860"/>
      <c r="Y11" s="860"/>
      <c r="Z11" s="860"/>
      <c r="AA11" s="860"/>
      <c r="AB11" s="860"/>
      <c r="AC11" s="860"/>
      <c r="AD11" s="860"/>
      <c r="AE11" s="860"/>
      <c r="AF11" s="861"/>
    </row>
    <row r="12" spans="1:32" ht="18" customHeight="1">
      <c r="A12" s="630"/>
      <c r="B12" s="853" t="s">
        <v>339</v>
      </c>
      <c r="C12" s="853"/>
      <c r="D12" s="853"/>
      <c r="E12" s="853"/>
      <c r="F12" s="853"/>
      <c r="G12" s="853"/>
      <c r="H12" s="853"/>
      <c r="I12" s="853"/>
      <c r="J12" s="853"/>
      <c r="K12" s="853"/>
      <c r="L12" s="853"/>
      <c r="M12" s="853"/>
      <c r="N12" s="853"/>
      <c r="O12" s="853"/>
      <c r="P12" s="853"/>
      <c r="Q12" s="853"/>
      <c r="R12" s="853"/>
      <c r="S12" s="853"/>
      <c r="T12" s="853"/>
      <c r="U12" s="853"/>
      <c r="V12" s="853"/>
      <c r="W12" s="853"/>
      <c r="X12" s="853"/>
      <c r="Y12" s="853"/>
      <c r="Z12" s="853"/>
      <c r="AA12" s="853"/>
      <c r="AB12" s="853"/>
      <c r="AC12" s="853"/>
      <c r="AD12" s="853"/>
      <c r="AE12" s="853"/>
      <c r="AF12" s="854"/>
    </row>
    <row r="13" spans="1:32" ht="18" customHeight="1">
      <c r="A13" s="631"/>
      <c r="AF13" s="632"/>
    </row>
    <row r="14" spans="1:32" ht="39" customHeight="1">
      <c r="A14" s="874">
        <v>2025</v>
      </c>
      <c r="B14" s="875"/>
      <c r="C14" s="875"/>
      <c r="D14" s="875"/>
      <c r="E14" s="875"/>
      <c r="F14" s="875"/>
      <c r="G14" s="875"/>
      <c r="H14" s="875"/>
      <c r="I14" s="875"/>
      <c r="J14" s="875"/>
      <c r="K14" s="875"/>
      <c r="L14" s="875"/>
      <c r="M14" s="875"/>
      <c r="N14" s="875"/>
      <c r="O14" s="875"/>
      <c r="P14" s="875"/>
      <c r="Q14" s="875"/>
      <c r="R14" s="875"/>
      <c r="S14" s="875"/>
      <c r="T14" s="875"/>
      <c r="U14" s="875"/>
      <c r="V14" s="875"/>
      <c r="W14" s="875"/>
      <c r="X14" s="875"/>
      <c r="Y14" s="875"/>
      <c r="Z14" s="875"/>
      <c r="AA14" s="875"/>
      <c r="AB14" s="875"/>
      <c r="AC14" s="875"/>
      <c r="AD14" s="875"/>
      <c r="AE14" s="875"/>
      <c r="AF14" s="876"/>
    </row>
    <row r="15" spans="1:32" ht="18" customHeight="1">
      <c r="A15" s="631"/>
      <c r="AF15" s="632"/>
    </row>
    <row r="16" spans="1:32" ht="25.5" customHeight="1">
      <c r="A16" s="631"/>
      <c r="B16" s="877" t="s">
        <v>340</v>
      </c>
      <c r="C16" s="878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O16" s="878"/>
      <c r="P16" s="878"/>
      <c r="Q16" s="878"/>
      <c r="R16" s="878"/>
      <c r="S16" s="878"/>
      <c r="T16" s="878"/>
      <c r="U16" s="878"/>
      <c r="V16" s="878"/>
      <c r="W16" s="878"/>
      <c r="X16" s="878"/>
      <c r="Y16" s="878"/>
      <c r="Z16" s="878"/>
      <c r="AA16" s="878"/>
      <c r="AB16" s="878"/>
      <c r="AC16" s="878"/>
      <c r="AD16" s="878"/>
      <c r="AE16" s="878"/>
      <c r="AF16" s="879"/>
    </row>
    <row r="17" spans="1:35" ht="25.5" customHeight="1">
      <c r="A17" s="880" t="s">
        <v>341</v>
      </c>
      <c r="B17" s="633" t="s">
        <v>44</v>
      </c>
      <c r="C17" s="634" t="s">
        <v>28</v>
      </c>
      <c r="D17" s="634" t="s">
        <v>9</v>
      </c>
      <c r="E17" s="634" t="s">
        <v>84</v>
      </c>
      <c r="F17" s="635" t="s">
        <v>85</v>
      </c>
      <c r="G17" s="634" t="s">
        <v>86</v>
      </c>
      <c r="H17" s="634" t="s">
        <v>87</v>
      </c>
      <c r="I17" s="634" t="s">
        <v>44</v>
      </c>
      <c r="J17" s="634" t="s">
        <v>28</v>
      </c>
      <c r="K17" s="634" t="s">
        <v>9</v>
      </c>
      <c r="L17" s="634" t="s">
        <v>84</v>
      </c>
      <c r="M17" s="635" t="s">
        <v>85</v>
      </c>
      <c r="N17" s="634" t="s">
        <v>86</v>
      </c>
      <c r="O17" s="634" t="s">
        <v>87</v>
      </c>
      <c r="P17" s="634" t="s">
        <v>44</v>
      </c>
      <c r="Q17" s="634" t="s">
        <v>28</v>
      </c>
      <c r="R17" s="634" t="s">
        <v>9</v>
      </c>
      <c r="S17" s="634" t="s">
        <v>84</v>
      </c>
      <c r="T17" s="635" t="s">
        <v>85</v>
      </c>
      <c r="U17" s="634" t="s">
        <v>86</v>
      </c>
      <c r="V17" s="634" t="s">
        <v>87</v>
      </c>
      <c r="W17" s="634" t="s">
        <v>44</v>
      </c>
      <c r="X17" s="634" t="s">
        <v>28</v>
      </c>
      <c r="Y17" s="634" t="s">
        <v>9</v>
      </c>
      <c r="Z17" s="634" t="s">
        <v>84</v>
      </c>
      <c r="AA17" s="635" t="s">
        <v>85</v>
      </c>
      <c r="AB17" s="634" t="s">
        <v>86</v>
      </c>
      <c r="AC17" s="634" t="s">
        <v>87</v>
      </c>
      <c r="AD17" s="634" t="s">
        <v>44</v>
      </c>
      <c r="AE17" s="634" t="s">
        <v>28</v>
      </c>
      <c r="AF17" s="636" t="s">
        <v>9</v>
      </c>
    </row>
    <row r="18" spans="1:35" ht="25.5" customHeight="1">
      <c r="A18" s="881"/>
      <c r="B18" s="637">
        <v>1</v>
      </c>
      <c r="C18" s="638">
        <v>2</v>
      </c>
      <c r="D18" s="638">
        <v>3</v>
      </c>
      <c r="E18" s="639">
        <v>4</v>
      </c>
      <c r="F18" s="639">
        <v>5</v>
      </c>
      <c r="G18" s="639">
        <v>6</v>
      </c>
      <c r="H18" s="638">
        <v>7</v>
      </c>
      <c r="I18" s="638">
        <v>8</v>
      </c>
      <c r="J18" s="638">
        <v>9</v>
      </c>
      <c r="K18" s="638">
        <v>10</v>
      </c>
      <c r="L18" s="639">
        <v>11</v>
      </c>
      <c r="M18" s="639">
        <v>12</v>
      </c>
      <c r="N18" s="638">
        <v>13</v>
      </c>
      <c r="O18" s="638">
        <v>14</v>
      </c>
      <c r="P18" s="638">
        <v>15</v>
      </c>
      <c r="Q18" s="638">
        <v>16</v>
      </c>
      <c r="R18" s="638">
        <v>17</v>
      </c>
      <c r="S18" s="639">
        <v>18</v>
      </c>
      <c r="T18" s="639">
        <v>19</v>
      </c>
      <c r="U18" s="638">
        <v>20</v>
      </c>
      <c r="V18" s="638">
        <v>21</v>
      </c>
      <c r="W18" s="638">
        <v>22</v>
      </c>
      <c r="X18" s="638">
        <v>23</v>
      </c>
      <c r="Y18" s="638">
        <v>24</v>
      </c>
      <c r="Z18" s="639">
        <v>25</v>
      </c>
      <c r="AA18" s="639">
        <v>26</v>
      </c>
      <c r="AB18" s="638">
        <v>27</v>
      </c>
      <c r="AC18" s="638">
        <v>28</v>
      </c>
      <c r="AD18" s="638">
        <v>29</v>
      </c>
      <c r="AE18" s="640">
        <v>30</v>
      </c>
      <c r="AF18" s="641">
        <v>31</v>
      </c>
    </row>
    <row r="19" spans="1:35" ht="25.5" customHeight="1">
      <c r="A19" s="650" t="s">
        <v>345</v>
      </c>
      <c r="B19" s="642" t="s">
        <v>173</v>
      </c>
      <c r="C19" s="602" t="s">
        <v>329</v>
      </c>
      <c r="D19" s="602" t="s">
        <v>329</v>
      </c>
      <c r="E19" s="579" t="s">
        <v>173</v>
      </c>
      <c r="F19" s="579" t="s">
        <v>173</v>
      </c>
      <c r="G19" s="643" t="s">
        <v>173</v>
      </c>
      <c r="H19" s="602" t="s">
        <v>329</v>
      </c>
      <c r="I19" s="602" t="s">
        <v>329</v>
      </c>
      <c r="J19" s="602" t="s">
        <v>329</v>
      </c>
      <c r="K19" s="602" t="s">
        <v>329</v>
      </c>
      <c r="L19" s="579" t="s">
        <v>173</v>
      </c>
      <c r="M19" s="579" t="s">
        <v>173</v>
      </c>
      <c r="N19" s="644" t="s">
        <v>620</v>
      </c>
      <c r="O19" s="602" t="s">
        <v>621</v>
      </c>
      <c r="P19" s="644" t="s">
        <v>622</v>
      </c>
      <c r="Q19" s="644" t="s">
        <v>623</v>
      </c>
      <c r="R19" s="602" t="s">
        <v>329</v>
      </c>
      <c r="S19" s="579" t="s">
        <v>173</v>
      </c>
      <c r="T19" s="579" t="s">
        <v>173</v>
      </c>
      <c r="U19" s="602" t="s">
        <v>621</v>
      </c>
      <c r="V19" s="602" t="s">
        <v>621</v>
      </c>
      <c r="W19" s="602" t="s">
        <v>621</v>
      </c>
      <c r="X19" s="602" t="s">
        <v>329</v>
      </c>
      <c r="Y19" s="602" t="s">
        <v>329</v>
      </c>
      <c r="Z19" s="579" t="s">
        <v>173</v>
      </c>
      <c r="AA19" s="603" t="s">
        <v>400</v>
      </c>
      <c r="AB19" s="645" t="s">
        <v>93</v>
      </c>
      <c r="AC19" s="645" t="s">
        <v>93</v>
      </c>
      <c r="AD19" s="645" t="s">
        <v>93</v>
      </c>
      <c r="AE19" s="644" t="s">
        <v>624</v>
      </c>
      <c r="AF19" s="604" t="s">
        <v>329</v>
      </c>
      <c r="AH19" s="623">
        <v>16</v>
      </c>
      <c r="AI19" s="623">
        <v>5</v>
      </c>
    </row>
    <row r="20" spans="1:35" ht="25.5" customHeight="1">
      <c r="A20" s="646" t="s">
        <v>347</v>
      </c>
      <c r="B20" s="647" t="s">
        <v>9</v>
      </c>
      <c r="C20" s="648" t="s">
        <v>9</v>
      </c>
      <c r="D20" s="648" t="s">
        <v>9</v>
      </c>
      <c r="E20" s="648" t="s">
        <v>9</v>
      </c>
      <c r="F20" s="648" t="s">
        <v>9</v>
      </c>
      <c r="G20" s="648" t="s">
        <v>9</v>
      </c>
      <c r="H20" s="600" t="s">
        <v>329</v>
      </c>
      <c r="I20" s="600" t="s">
        <v>329</v>
      </c>
      <c r="J20" s="600" t="s">
        <v>329</v>
      </c>
      <c r="K20" s="600" t="s">
        <v>329</v>
      </c>
      <c r="L20" s="574" t="s">
        <v>173</v>
      </c>
      <c r="M20" s="574" t="s">
        <v>173</v>
      </c>
      <c r="N20" s="600" t="s">
        <v>329</v>
      </c>
      <c r="O20" s="600" t="s">
        <v>329</v>
      </c>
      <c r="P20" s="600" t="s">
        <v>329</v>
      </c>
      <c r="Q20" s="600" t="s">
        <v>329</v>
      </c>
      <c r="R20" s="600" t="s">
        <v>329</v>
      </c>
      <c r="S20" s="574" t="s">
        <v>173</v>
      </c>
      <c r="T20" s="574" t="s">
        <v>173</v>
      </c>
      <c r="U20" s="600" t="s">
        <v>329</v>
      </c>
      <c r="V20" s="600" t="s">
        <v>329</v>
      </c>
      <c r="W20" s="600" t="s">
        <v>329</v>
      </c>
      <c r="X20" s="600" t="s">
        <v>329</v>
      </c>
      <c r="Y20" s="600" t="s">
        <v>329</v>
      </c>
      <c r="Z20" s="649" t="s">
        <v>173</v>
      </c>
      <c r="AA20" s="574" t="s">
        <v>173</v>
      </c>
      <c r="AB20" s="600" t="s">
        <v>329</v>
      </c>
      <c r="AC20" s="600" t="s">
        <v>329</v>
      </c>
      <c r="AD20" s="600" t="s">
        <v>329</v>
      </c>
      <c r="AE20" s="600" t="s">
        <v>329</v>
      </c>
      <c r="AF20" s="606" t="s">
        <v>329</v>
      </c>
    </row>
    <row r="21" spans="1:35" ht="25.5" customHeight="1">
      <c r="A21" s="650" t="s">
        <v>349</v>
      </c>
      <c r="B21" s="647" t="s">
        <v>9</v>
      </c>
      <c r="C21" s="648" t="s">
        <v>9</v>
      </c>
      <c r="D21" s="648" t="s">
        <v>9</v>
      </c>
      <c r="E21" s="648" t="s">
        <v>9</v>
      </c>
      <c r="F21" s="648" t="s">
        <v>9</v>
      </c>
      <c r="G21" s="648" t="s">
        <v>9</v>
      </c>
      <c r="H21" s="573" t="s">
        <v>327</v>
      </c>
      <c r="I21" s="573" t="s">
        <v>327</v>
      </c>
      <c r="J21" s="573" t="s">
        <v>327</v>
      </c>
      <c r="K21" s="573" t="s">
        <v>327</v>
      </c>
      <c r="L21" s="574" t="s">
        <v>173</v>
      </c>
      <c r="M21" s="574" t="s">
        <v>173</v>
      </c>
      <c r="N21" s="573" t="s">
        <v>327</v>
      </c>
      <c r="O21" s="573" t="s">
        <v>327</v>
      </c>
      <c r="P21" s="573" t="s">
        <v>327</v>
      </c>
      <c r="Q21" s="573" t="s">
        <v>327</v>
      </c>
      <c r="R21" s="573" t="s">
        <v>327</v>
      </c>
      <c r="S21" s="612" t="s">
        <v>625</v>
      </c>
      <c r="T21" s="574" t="s">
        <v>173</v>
      </c>
      <c r="U21" s="573" t="s">
        <v>327</v>
      </c>
      <c r="V21" s="573" t="s">
        <v>327</v>
      </c>
      <c r="W21" s="573" t="s">
        <v>327</v>
      </c>
      <c r="X21" s="573" t="s">
        <v>327</v>
      </c>
      <c r="Y21" s="651" t="s">
        <v>327</v>
      </c>
      <c r="Z21" s="614" t="s">
        <v>626</v>
      </c>
      <c r="AA21" s="652" t="s">
        <v>173</v>
      </c>
      <c r="AB21" s="573" t="s">
        <v>327</v>
      </c>
      <c r="AC21" s="573" t="s">
        <v>327</v>
      </c>
      <c r="AD21" s="573" t="s">
        <v>327</v>
      </c>
      <c r="AE21" s="648" t="s">
        <v>9</v>
      </c>
      <c r="AF21" s="653" t="s">
        <v>9</v>
      </c>
    </row>
    <row r="22" spans="1:35" ht="25.5" customHeight="1">
      <c r="A22" s="654" t="s">
        <v>353</v>
      </c>
      <c r="B22" s="655" t="s">
        <v>173</v>
      </c>
      <c r="C22" s="573" t="s">
        <v>327</v>
      </c>
      <c r="D22" s="573" t="s">
        <v>327</v>
      </c>
      <c r="E22" s="574" t="s">
        <v>173</v>
      </c>
      <c r="F22" s="574" t="s">
        <v>173</v>
      </c>
      <c r="G22" s="656" t="s">
        <v>173</v>
      </c>
      <c r="H22" s="600" t="s">
        <v>329</v>
      </c>
      <c r="I22" s="600" t="s">
        <v>329</v>
      </c>
      <c r="J22" s="657" t="s">
        <v>624</v>
      </c>
      <c r="K22" s="600" t="s">
        <v>329</v>
      </c>
      <c r="L22" s="574" t="s">
        <v>173</v>
      </c>
      <c r="M22" s="574" t="s">
        <v>173</v>
      </c>
      <c r="N22" s="573" t="s">
        <v>327</v>
      </c>
      <c r="O22" s="573" t="s">
        <v>327</v>
      </c>
      <c r="P22" s="573" t="s">
        <v>327</v>
      </c>
      <c r="Q22" s="573" t="s">
        <v>327</v>
      </c>
      <c r="R22" s="573" t="s">
        <v>327</v>
      </c>
      <c r="S22" s="574" t="s">
        <v>173</v>
      </c>
      <c r="T22" s="574" t="s">
        <v>173</v>
      </c>
      <c r="U22" s="600" t="s">
        <v>329</v>
      </c>
      <c r="V22" s="614" t="s">
        <v>624</v>
      </c>
      <c r="W22" s="600" t="s">
        <v>329</v>
      </c>
      <c r="X22" s="600" t="s">
        <v>329</v>
      </c>
      <c r="Y22" s="600" t="s">
        <v>329</v>
      </c>
      <c r="Z22" s="658" t="s">
        <v>173</v>
      </c>
      <c r="AA22" s="574" t="s">
        <v>173</v>
      </c>
      <c r="AB22" s="573" t="s">
        <v>327</v>
      </c>
      <c r="AC22" s="573" t="s">
        <v>327</v>
      </c>
      <c r="AD22" s="573" t="s">
        <v>327</v>
      </c>
      <c r="AE22" s="573" t="s">
        <v>327</v>
      </c>
      <c r="AF22" s="608" t="s">
        <v>327</v>
      </c>
    </row>
    <row r="23" spans="1:35" ht="25.5" customHeight="1">
      <c r="A23" s="659" t="s">
        <v>627</v>
      </c>
      <c r="B23" s="647" t="s">
        <v>9</v>
      </c>
      <c r="C23" s="648" t="s">
        <v>9</v>
      </c>
      <c r="D23" s="648" t="s">
        <v>9</v>
      </c>
      <c r="E23" s="648" t="s">
        <v>9</v>
      </c>
      <c r="F23" s="648" t="s">
        <v>9</v>
      </c>
      <c r="G23" s="648" t="s">
        <v>9</v>
      </c>
      <c r="H23" s="648" t="s">
        <v>9</v>
      </c>
      <c r="I23" s="648" t="s">
        <v>9</v>
      </c>
      <c r="J23" s="648" t="s">
        <v>9</v>
      </c>
      <c r="K23" s="648" t="s">
        <v>9</v>
      </c>
      <c r="L23" s="648" t="s">
        <v>9</v>
      </c>
      <c r="M23" s="648" t="s">
        <v>9</v>
      </c>
      <c r="N23" s="660" t="s">
        <v>628</v>
      </c>
      <c r="O23" s="576" t="s">
        <v>331</v>
      </c>
      <c r="P23" s="576" t="s">
        <v>331</v>
      </c>
      <c r="Q23" s="660" t="s">
        <v>629</v>
      </c>
      <c r="R23" s="576" t="s">
        <v>331</v>
      </c>
      <c r="S23" s="576" t="s">
        <v>14</v>
      </c>
      <c r="T23" s="576" t="s">
        <v>14</v>
      </c>
      <c r="U23" s="648" t="s">
        <v>9</v>
      </c>
      <c r="V23" s="648" t="s">
        <v>9</v>
      </c>
      <c r="W23" s="648" t="s">
        <v>9</v>
      </c>
      <c r="X23" s="648" t="s">
        <v>9</v>
      </c>
      <c r="Y23" s="648" t="s">
        <v>9</v>
      </c>
      <c r="Z23" s="648" t="s">
        <v>9</v>
      </c>
      <c r="AA23" s="648" t="s">
        <v>9</v>
      </c>
      <c r="AB23" s="648" t="s">
        <v>9</v>
      </c>
      <c r="AC23" s="648" t="s">
        <v>9</v>
      </c>
      <c r="AD23" s="648" t="s">
        <v>9</v>
      </c>
      <c r="AE23" s="648" t="s">
        <v>9</v>
      </c>
      <c r="AF23" s="653" t="s">
        <v>9</v>
      </c>
    </row>
    <row r="24" spans="1:35" ht="25.5" customHeight="1">
      <c r="A24" s="661" t="s">
        <v>360</v>
      </c>
      <c r="B24" s="662" t="s">
        <v>173</v>
      </c>
      <c r="C24" s="609" t="s">
        <v>325</v>
      </c>
      <c r="D24" s="609" t="s">
        <v>325</v>
      </c>
      <c r="E24" s="574" t="s">
        <v>173</v>
      </c>
      <c r="F24" s="574" t="s">
        <v>173</v>
      </c>
      <c r="G24" s="576" t="s">
        <v>14</v>
      </c>
      <c r="H24" s="576" t="s">
        <v>331</v>
      </c>
      <c r="I24" s="663" t="s">
        <v>325</v>
      </c>
      <c r="J24" s="663" t="s">
        <v>325</v>
      </c>
      <c r="K24" s="663" t="s">
        <v>325</v>
      </c>
      <c r="L24" s="576" t="s">
        <v>14</v>
      </c>
      <c r="M24" s="576" t="s">
        <v>14</v>
      </c>
      <c r="N24" s="609" t="s">
        <v>630</v>
      </c>
      <c r="O24" s="609" t="s">
        <v>630</v>
      </c>
      <c r="P24" s="609" t="s">
        <v>630</v>
      </c>
      <c r="Q24" s="609" t="s">
        <v>325</v>
      </c>
      <c r="R24" s="609" t="s">
        <v>325</v>
      </c>
      <c r="S24" s="574" t="s">
        <v>173</v>
      </c>
      <c r="T24" s="574" t="s">
        <v>173</v>
      </c>
      <c r="U24" s="573" t="s">
        <v>631</v>
      </c>
      <c r="V24" s="573" t="s">
        <v>631</v>
      </c>
      <c r="W24" s="573" t="s">
        <v>631</v>
      </c>
      <c r="X24" s="577" t="s">
        <v>327</v>
      </c>
      <c r="Y24" s="577" t="s">
        <v>327</v>
      </c>
      <c r="Z24" s="574" t="s">
        <v>173</v>
      </c>
      <c r="AA24" s="574" t="s">
        <v>173</v>
      </c>
      <c r="AB24" s="648" t="s">
        <v>9</v>
      </c>
      <c r="AC24" s="648" t="s">
        <v>9</v>
      </c>
      <c r="AD24" s="648" t="s">
        <v>9</v>
      </c>
      <c r="AE24" s="600" t="s">
        <v>329</v>
      </c>
      <c r="AF24" s="606" t="s">
        <v>329</v>
      </c>
    </row>
    <row r="25" spans="1:35" ht="25.5" customHeight="1">
      <c r="A25" s="659" t="s">
        <v>363</v>
      </c>
      <c r="B25" s="611" t="s">
        <v>14</v>
      </c>
      <c r="C25" s="576" t="s">
        <v>331</v>
      </c>
      <c r="D25" s="576" t="s">
        <v>331</v>
      </c>
      <c r="E25" s="576" t="s">
        <v>14</v>
      </c>
      <c r="F25" s="576" t="s">
        <v>14</v>
      </c>
      <c r="G25" s="648" t="s">
        <v>9</v>
      </c>
      <c r="H25" s="648" t="s">
        <v>9</v>
      </c>
      <c r="I25" s="648" t="s">
        <v>9</v>
      </c>
      <c r="J25" s="648" t="s">
        <v>9</v>
      </c>
      <c r="K25" s="648" t="s">
        <v>9</v>
      </c>
      <c r="L25" s="648" t="s">
        <v>9</v>
      </c>
      <c r="M25" s="648" t="s">
        <v>9</v>
      </c>
      <c r="N25" s="648" t="s">
        <v>9</v>
      </c>
      <c r="O25" s="648" t="s">
        <v>9</v>
      </c>
      <c r="P25" s="648" t="s">
        <v>9</v>
      </c>
      <c r="Q25" s="648" t="s">
        <v>9</v>
      </c>
      <c r="R25" s="648" t="s">
        <v>9</v>
      </c>
      <c r="S25" s="648" t="s">
        <v>9</v>
      </c>
      <c r="T25" s="648" t="s">
        <v>9</v>
      </c>
      <c r="U25" s="609" t="s">
        <v>325</v>
      </c>
      <c r="V25" s="609" t="s">
        <v>325</v>
      </c>
      <c r="W25" s="609" t="s">
        <v>325</v>
      </c>
      <c r="X25" s="609" t="s">
        <v>325</v>
      </c>
      <c r="Y25" s="609" t="s">
        <v>325</v>
      </c>
      <c r="Z25" s="612" t="s">
        <v>399</v>
      </c>
      <c r="AA25" s="574"/>
      <c r="AB25" s="663" t="s">
        <v>325</v>
      </c>
      <c r="AC25" s="663" t="s">
        <v>325</v>
      </c>
      <c r="AD25" s="663" t="s">
        <v>325</v>
      </c>
      <c r="AE25" s="663" t="s">
        <v>325</v>
      </c>
      <c r="AF25" s="664" t="s">
        <v>325</v>
      </c>
    </row>
    <row r="26" spans="1:35" ht="25.5" customHeight="1">
      <c r="A26" s="665" t="s">
        <v>364</v>
      </c>
      <c r="B26" s="666" t="s">
        <v>173</v>
      </c>
      <c r="C26" s="616" t="s">
        <v>329</v>
      </c>
      <c r="D26" s="616" t="s">
        <v>329</v>
      </c>
      <c r="E26" s="617" t="s">
        <v>173</v>
      </c>
      <c r="F26" s="617" t="s">
        <v>173</v>
      </c>
      <c r="G26" s="667" t="s">
        <v>173</v>
      </c>
      <c r="H26" s="618" t="s">
        <v>325</v>
      </c>
      <c r="I26" s="668" t="s">
        <v>331</v>
      </c>
      <c r="J26" s="669" t="s">
        <v>632</v>
      </c>
      <c r="K26" s="668" t="s">
        <v>331</v>
      </c>
      <c r="L26" s="617" t="s">
        <v>173</v>
      </c>
      <c r="M26" s="617" t="s">
        <v>173</v>
      </c>
      <c r="N26" s="616" t="s">
        <v>621</v>
      </c>
      <c r="O26" s="616" t="s">
        <v>621</v>
      </c>
      <c r="P26" s="616" t="s">
        <v>621</v>
      </c>
      <c r="Q26" s="616" t="s">
        <v>329</v>
      </c>
      <c r="R26" s="616" t="s">
        <v>329</v>
      </c>
      <c r="S26" s="617" t="s">
        <v>173</v>
      </c>
      <c r="T26" s="617" t="s">
        <v>173</v>
      </c>
      <c r="U26" s="575" t="s">
        <v>633</v>
      </c>
      <c r="V26" s="575" t="s">
        <v>633</v>
      </c>
      <c r="W26" s="575" t="s">
        <v>633</v>
      </c>
      <c r="X26" s="575" t="s">
        <v>331</v>
      </c>
      <c r="Y26" s="575" t="s">
        <v>331</v>
      </c>
      <c r="Z26" s="575" t="s">
        <v>14</v>
      </c>
      <c r="AA26" s="575" t="s">
        <v>14</v>
      </c>
      <c r="AB26" s="668" t="s">
        <v>331</v>
      </c>
      <c r="AC26" s="668" t="s">
        <v>331</v>
      </c>
      <c r="AD26" s="668" t="s">
        <v>331</v>
      </c>
      <c r="AE26" s="668" t="s">
        <v>331</v>
      </c>
      <c r="AF26" s="670" t="s">
        <v>331</v>
      </c>
    </row>
    <row r="27" spans="1:35" ht="25.5" customHeight="1">
      <c r="N27" s="920" t="s">
        <v>634</v>
      </c>
      <c r="O27" s="921"/>
      <c r="P27" s="922"/>
      <c r="U27" s="923" t="s">
        <v>635</v>
      </c>
      <c r="V27" s="924"/>
      <c r="W27" s="925"/>
    </row>
    <row r="28" spans="1:35" ht="25.5" customHeight="1">
      <c r="A28" s="671" t="s">
        <v>173</v>
      </c>
      <c r="B28" s="882" t="s">
        <v>366</v>
      </c>
      <c r="C28" s="883"/>
      <c r="D28" s="883"/>
      <c r="E28" s="883"/>
      <c r="F28" s="883"/>
      <c r="G28" s="883"/>
      <c r="H28" s="883"/>
      <c r="I28" s="883"/>
      <c r="J28" s="883"/>
      <c r="K28" s="883"/>
      <c r="L28" s="883"/>
      <c r="M28" s="883"/>
      <c r="N28" s="883"/>
      <c r="O28" s="883"/>
      <c r="P28" s="883"/>
      <c r="Q28" s="883"/>
      <c r="R28" s="883"/>
      <c r="S28" s="883"/>
      <c r="T28" s="883"/>
      <c r="U28" s="883"/>
      <c r="V28" s="883"/>
      <c r="W28" s="883"/>
      <c r="X28" s="883"/>
      <c r="Y28" s="883"/>
      <c r="Z28" s="883"/>
      <c r="AA28" s="883"/>
      <c r="AB28" s="883"/>
      <c r="AC28" s="884"/>
    </row>
    <row r="29" spans="1:35" ht="25.5" customHeight="1">
      <c r="A29" s="918" t="s">
        <v>341</v>
      </c>
      <c r="B29" s="672" t="s">
        <v>84</v>
      </c>
      <c r="C29" s="635" t="s">
        <v>85</v>
      </c>
      <c r="D29" s="634" t="s">
        <v>86</v>
      </c>
      <c r="E29" s="634" t="s">
        <v>87</v>
      </c>
      <c r="F29" s="634" t="s">
        <v>44</v>
      </c>
      <c r="G29" s="634" t="s">
        <v>28</v>
      </c>
      <c r="H29" s="634" t="s">
        <v>9</v>
      </c>
      <c r="I29" s="634" t="s">
        <v>84</v>
      </c>
      <c r="J29" s="635" t="s">
        <v>85</v>
      </c>
      <c r="K29" s="634" t="s">
        <v>86</v>
      </c>
      <c r="L29" s="634" t="s">
        <v>87</v>
      </c>
      <c r="M29" s="634" t="s">
        <v>44</v>
      </c>
      <c r="N29" s="634" t="s">
        <v>28</v>
      </c>
      <c r="O29" s="634" t="s">
        <v>9</v>
      </c>
      <c r="P29" s="634" t="s">
        <v>84</v>
      </c>
      <c r="Q29" s="635" t="s">
        <v>85</v>
      </c>
      <c r="R29" s="634" t="s">
        <v>86</v>
      </c>
      <c r="S29" s="634" t="s">
        <v>87</v>
      </c>
      <c r="T29" s="634" t="s">
        <v>44</v>
      </c>
      <c r="U29" s="634" t="s">
        <v>28</v>
      </c>
      <c r="V29" s="634" t="s">
        <v>9</v>
      </c>
      <c r="W29" s="634" t="s">
        <v>84</v>
      </c>
      <c r="X29" s="635" t="s">
        <v>85</v>
      </c>
      <c r="Y29" s="634" t="s">
        <v>86</v>
      </c>
      <c r="Z29" s="634" t="s">
        <v>87</v>
      </c>
      <c r="AA29" s="634" t="s">
        <v>44</v>
      </c>
      <c r="AB29" s="634" t="s">
        <v>28</v>
      </c>
      <c r="AC29" s="636" t="s">
        <v>9</v>
      </c>
    </row>
    <row r="30" spans="1:35" ht="25.5" customHeight="1">
      <c r="A30" s="919"/>
      <c r="B30" s="673">
        <v>1</v>
      </c>
      <c r="C30" s="639">
        <v>2</v>
      </c>
      <c r="D30" s="674">
        <v>3</v>
      </c>
      <c r="E30" s="674">
        <v>4</v>
      </c>
      <c r="F30" s="674">
        <v>5</v>
      </c>
      <c r="G30" s="674">
        <v>6</v>
      </c>
      <c r="H30" s="674">
        <v>7</v>
      </c>
      <c r="I30" s="639">
        <v>8</v>
      </c>
      <c r="J30" s="639">
        <v>9</v>
      </c>
      <c r="K30" s="674">
        <v>10</v>
      </c>
      <c r="L30" s="674">
        <v>11</v>
      </c>
      <c r="M30" s="674">
        <v>12</v>
      </c>
      <c r="N30" s="674">
        <v>13</v>
      </c>
      <c r="O30" s="674">
        <v>14</v>
      </c>
      <c r="P30" s="639">
        <v>15</v>
      </c>
      <c r="Q30" s="639">
        <v>16</v>
      </c>
      <c r="R30" s="674">
        <v>17</v>
      </c>
      <c r="S30" s="674">
        <v>18</v>
      </c>
      <c r="T30" s="674">
        <v>19</v>
      </c>
      <c r="U30" s="674">
        <v>20</v>
      </c>
      <c r="V30" s="674">
        <v>21</v>
      </c>
      <c r="W30" s="639">
        <v>22</v>
      </c>
      <c r="X30" s="639">
        <v>23</v>
      </c>
      <c r="Y30" s="674">
        <v>24</v>
      </c>
      <c r="Z30" s="674">
        <v>25</v>
      </c>
      <c r="AA30" s="674">
        <v>26</v>
      </c>
      <c r="AB30" s="675">
        <v>27</v>
      </c>
      <c r="AC30" s="676">
        <v>28</v>
      </c>
    </row>
    <row r="31" spans="1:35" ht="25.5" customHeight="1">
      <c r="A31" s="650" t="s">
        <v>345</v>
      </c>
      <c r="B31" s="601" t="s">
        <v>173</v>
      </c>
      <c r="C31" s="579" t="s">
        <v>173</v>
      </c>
      <c r="D31" s="602" t="s">
        <v>329</v>
      </c>
      <c r="E31" s="602" t="s">
        <v>329</v>
      </c>
      <c r="F31" s="602" t="s">
        <v>329</v>
      </c>
      <c r="G31" s="602" t="s">
        <v>329</v>
      </c>
      <c r="H31" s="602" t="s">
        <v>329</v>
      </c>
      <c r="I31" s="579" t="s">
        <v>173</v>
      </c>
      <c r="J31" s="579" t="s">
        <v>173</v>
      </c>
      <c r="K31" s="602" t="s">
        <v>621</v>
      </c>
      <c r="L31" s="602" t="s">
        <v>621</v>
      </c>
      <c r="M31" s="602" t="s">
        <v>621</v>
      </c>
      <c r="N31" s="602" t="s">
        <v>329</v>
      </c>
      <c r="O31" s="602" t="s">
        <v>329</v>
      </c>
      <c r="P31" s="579" t="s">
        <v>173</v>
      </c>
      <c r="Q31" s="579" t="s">
        <v>173</v>
      </c>
      <c r="R31" s="602" t="s">
        <v>329</v>
      </c>
      <c r="S31" s="602" t="s">
        <v>329</v>
      </c>
      <c r="T31" s="602" t="s">
        <v>329</v>
      </c>
      <c r="U31" s="602" t="s">
        <v>329</v>
      </c>
      <c r="V31" s="602" t="s">
        <v>329</v>
      </c>
      <c r="W31" s="579" t="s">
        <v>173</v>
      </c>
      <c r="X31" s="579" t="s">
        <v>173</v>
      </c>
      <c r="Y31" s="644" t="s">
        <v>636</v>
      </c>
      <c r="Z31" s="602" t="s">
        <v>329</v>
      </c>
      <c r="AA31" s="644" t="s">
        <v>636</v>
      </c>
      <c r="AB31" s="602" t="s">
        <v>329</v>
      </c>
      <c r="AC31" s="677" t="s">
        <v>9</v>
      </c>
    </row>
    <row r="32" spans="1:35" ht="25.5" customHeight="1">
      <c r="A32" s="678" t="s">
        <v>347</v>
      </c>
      <c r="B32" s="605" t="s">
        <v>173</v>
      </c>
      <c r="C32" s="574" t="s">
        <v>173</v>
      </c>
      <c r="D32" s="600" t="s">
        <v>329</v>
      </c>
      <c r="E32" s="600" t="s">
        <v>329</v>
      </c>
      <c r="F32" s="600" t="s">
        <v>329</v>
      </c>
      <c r="G32" s="600" t="s">
        <v>329</v>
      </c>
      <c r="H32" s="600" t="s">
        <v>329</v>
      </c>
      <c r="I32" s="574" t="s">
        <v>173</v>
      </c>
      <c r="J32" s="574" t="s">
        <v>173</v>
      </c>
      <c r="K32" s="600" t="s">
        <v>329</v>
      </c>
      <c r="L32" s="600" t="s">
        <v>329</v>
      </c>
      <c r="M32" s="600" t="s">
        <v>329</v>
      </c>
      <c r="N32" s="600" t="s">
        <v>329</v>
      </c>
      <c r="O32" s="600" t="s">
        <v>329</v>
      </c>
      <c r="P32" s="574" t="s">
        <v>173</v>
      </c>
      <c r="Q32" s="574" t="s">
        <v>173</v>
      </c>
      <c r="R32" s="600" t="s">
        <v>329</v>
      </c>
      <c r="S32" s="600" t="s">
        <v>329</v>
      </c>
      <c r="T32" s="600" t="s">
        <v>329</v>
      </c>
      <c r="U32" s="600" t="s">
        <v>329</v>
      </c>
      <c r="V32" s="600" t="s">
        <v>329</v>
      </c>
      <c r="W32" s="574" t="s">
        <v>173</v>
      </c>
      <c r="X32" s="574" t="s">
        <v>173</v>
      </c>
      <c r="Y32" s="600" t="s">
        <v>329</v>
      </c>
      <c r="Z32" s="600" t="s">
        <v>329</v>
      </c>
      <c r="AA32" s="600" t="s">
        <v>329</v>
      </c>
      <c r="AB32" s="600" t="s">
        <v>329</v>
      </c>
      <c r="AC32" s="606" t="s">
        <v>329</v>
      </c>
    </row>
    <row r="33" spans="1:32" ht="25.5" customHeight="1">
      <c r="A33" s="650" t="s">
        <v>349</v>
      </c>
      <c r="B33" s="605" t="s">
        <v>173</v>
      </c>
      <c r="C33" s="574" t="s">
        <v>173</v>
      </c>
      <c r="D33" s="573" t="s">
        <v>327</v>
      </c>
      <c r="E33" s="573" t="s">
        <v>327</v>
      </c>
      <c r="F33" s="614" t="s">
        <v>637</v>
      </c>
      <c r="G33" s="573" t="s">
        <v>327</v>
      </c>
      <c r="H33" s="573" t="s">
        <v>327</v>
      </c>
      <c r="I33" s="574" t="s">
        <v>173</v>
      </c>
      <c r="J33" s="574" t="s">
        <v>173</v>
      </c>
      <c r="K33" s="573" t="s">
        <v>327</v>
      </c>
      <c r="L33" s="573" t="s">
        <v>327</v>
      </c>
      <c r="M33" s="573" t="s">
        <v>327</v>
      </c>
      <c r="N33" s="614" t="s">
        <v>637</v>
      </c>
      <c r="O33" s="614" t="s">
        <v>638</v>
      </c>
      <c r="P33" s="574" t="s">
        <v>173</v>
      </c>
      <c r="Q33" s="574" t="s">
        <v>173</v>
      </c>
      <c r="R33" s="573" t="s">
        <v>327</v>
      </c>
      <c r="S33" s="614" t="s">
        <v>637</v>
      </c>
      <c r="T33" s="573" t="s">
        <v>327</v>
      </c>
      <c r="U33" s="573" t="s">
        <v>327</v>
      </c>
      <c r="V33" s="573" t="s">
        <v>327</v>
      </c>
      <c r="W33" s="574" t="s">
        <v>173</v>
      </c>
      <c r="X33" s="574" t="s">
        <v>173</v>
      </c>
      <c r="Y33" s="573" t="s">
        <v>631</v>
      </c>
      <c r="Z33" s="614" t="s">
        <v>639</v>
      </c>
      <c r="AA33" s="573" t="s">
        <v>631</v>
      </c>
      <c r="AB33" s="573" t="s">
        <v>327</v>
      </c>
      <c r="AC33" s="679" t="s">
        <v>327</v>
      </c>
    </row>
    <row r="34" spans="1:32" ht="25.5" customHeight="1">
      <c r="A34" s="654" t="s">
        <v>353</v>
      </c>
      <c r="B34" s="605" t="s">
        <v>173</v>
      </c>
      <c r="C34" s="574" t="s">
        <v>173</v>
      </c>
      <c r="D34" s="600" t="s">
        <v>329</v>
      </c>
      <c r="E34" s="600" t="s">
        <v>329</v>
      </c>
      <c r="F34" s="648" t="s">
        <v>9</v>
      </c>
      <c r="G34" s="600" t="s">
        <v>329</v>
      </c>
      <c r="H34" s="600" t="s">
        <v>329</v>
      </c>
      <c r="I34" s="574" t="s">
        <v>173</v>
      </c>
      <c r="J34" s="574" t="s">
        <v>173</v>
      </c>
      <c r="K34" s="573" t="s">
        <v>327</v>
      </c>
      <c r="L34" s="573" t="s">
        <v>327</v>
      </c>
      <c r="M34" s="614" t="s">
        <v>640</v>
      </c>
      <c r="N34" s="573" t="s">
        <v>327</v>
      </c>
      <c r="O34" s="573" t="s">
        <v>327</v>
      </c>
      <c r="P34" s="574" t="s">
        <v>173</v>
      </c>
      <c r="Q34" s="574" t="s">
        <v>173</v>
      </c>
      <c r="R34" s="600" t="s">
        <v>329</v>
      </c>
      <c r="S34" s="600" t="s">
        <v>329</v>
      </c>
      <c r="T34" s="600" t="s">
        <v>329</v>
      </c>
      <c r="U34" s="600" t="s">
        <v>329</v>
      </c>
      <c r="V34" s="600" t="s">
        <v>329</v>
      </c>
      <c r="W34" s="574" t="s">
        <v>173</v>
      </c>
      <c r="X34" s="574" t="s">
        <v>173</v>
      </c>
      <c r="Y34" s="577" t="s">
        <v>631</v>
      </c>
      <c r="Z34" s="577" t="s">
        <v>631</v>
      </c>
      <c r="AA34" s="577" t="s">
        <v>631</v>
      </c>
      <c r="AB34" s="577" t="s">
        <v>327</v>
      </c>
      <c r="AC34" s="679" t="s">
        <v>327</v>
      </c>
    </row>
    <row r="35" spans="1:32" ht="25.5" customHeight="1">
      <c r="A35" s="659" t="s">
        <v>627</v>
      </c>
      <c r="B35" s="647" t="s">
        <v>9</v>
      </c>
      <c r="C35" s="648" t="s">
        <v>9</v>
      </c>
      <c r="D35" s="648" t="s">
        <v>9</v>
      </c>
      <c r="E35" s="648" t="s">
        <v>9</v>
      </c>
      <c r="F35" s="648" t="s">
        <v>9</v>
      </c>
      <c r="G35" s="648" t="s">
        <v>9</v>
      </c>
      <c r="H35" s="600" t="s">
        <v>329</v>
      </c>
      <c r="I35" s="574" t="s">
        <v>173</v>
      </c>
      <c r="J35" s="574" t="s">
        <v>173</v>
      </c>
      <c r="K35" s="576" t="s">
        <v>331</v>
      </c>
      <c r="L35" s="576" t="s">
        <v>331</v>
      </c>
      <c r="M35" s="576" t="s">
        <v>331</v>
      </c>
      <c r="N35" s="576" t="s">
        <v>331</v>
      </c>
      <c r="O35" s="576" t="s">
        <v>331</v>
      </c>
      <c r="P35" s="576" t="s">
        <v>14</v>
      </c>
      <c r="Q35" s="576" t="s">
        <v>14</v>
      </c>
      <c r="R35" s="609" t="s">
        <v>325</v>
      </c>
      <c r="S35" s="609" t="s">
        <v>325</v>
      </c>
      <c r="T35" s="609" t="s">
        <v>325</v>
      </c>
      <c r="U35" s="609" t="s">
        <v>325</v>
      </c>
      <c r="V35" s="609" t="s">
        <v>325</v>
      </c>
      <c r="W35" s="614" t="s">
        <v>626</v>
      </c>
      <c r="X35" s="574" t="s">
        <v>173</v>
      </c>
      <c r="Y35" s="577" t="s">
        <v>631</v>
      </c>
      <c r="Z35" s="577" t="s">
        <v>631</v>
      </c>
      <c r="AA35" s="577" t="s">
        <v>631</v>
      </c>
      <c r="AB35" s="577" t="s">
        <v>327</v>
      </c>
      <c r="AC35" s="679" t="s">
        <v>327</v>
      </c>
    </row>
    <row r="36" spans="1:32" ht="25.5" customHeight="1">
      <c r="A36" s="661" t="s">
        <v>360</v>
      </c>
      <c r="B36" s="605" t="s">
        <v>173</v>
      </c>
      <c r="C36" s="574" t="s">
        <v>173</v>
      </c>
      <c r="D36" s="576" t="s">
        <v>331</v>
      </c>
      <c r="E36" s="576" t="s">
        <v>331</v>
      </c>
      <c r="F36" s="576" t="s">
        <v>331</v>
      </c>
      <c r="G36" s="576" t="s">
        <v>331</v>
      </c>
      <c r="H36" s="576" t="s">
        <v>331</v>
      </c>
      <c r="I36" s="576" t="s">
        <v>14</v>
      </c>
      <c r="J36" s="576" t="s">
        <v>14</v>
      </c>
      <c r="K36" s="614" t="s">
        <v>641</v>
      </c>
      <c r="L36" s="609" t="s">
        <v>630</v>
      </c>
      <c r="M36" s="609" t="s">
        <v>630</v>
      </c>
      <c r="N36" s="609" t="s">
        <v>325</v>
      </c>
      <c r="O36" s="609" t="s">
        <v>325</v>
      </c>
      <c r="P36" s="614" t="s">
        <v>642</v>
      </c>
      <c r="Q36" s="574" t="s">
        <v>173</v>
      </c>
      <c r="R36" s="614" t="s">
        <v>637</v>
      </c>
      <c r="S36" s="577" t="s">
        <v>327</v>
      </c>
      <c r="T36" s="577" t="s">
        <v>327</v>
      </c>
      <c r="U36" s="577" t="s">
        <v>327</v>
      </c>
      <c r="V36" s="577" t="s">
        <v>327</v>
      </c>
      <c r="W36" s="574" t="s">
        <v>173</v>
      </c>
      <c r="X36" s="574" t="s">
        <v>173</v>
      </c>
      <c r="Y36" s="600" t="s">
        <v>329</v>
      </c>
      <c r="Z36" s="600" t="s">
        <v>329</v>
      </c>
      <c r="AA36" s="600" t="s">
        <v>329</v>
      </c>
      <c r="AB36" s="600" t="s">
        <v>329</v>
      </c>
      <c r="AC36" s="606" t="s">
        <v>329</v>
      </c>
    </row>
    <row r="37" spans="1:32" ht="25.5" customHeight="1">
      <c r="A37" s="659" t="s">
        <v>363</v>
      </c>
      <c r="B37" s="611" t="s">
        <v>14</v>
      </c>
      <c r="C37" s="576" t="s">
        <v>14</v>
      </c>
      <c r="D37" s="609" t="s">
        <v>325</v>
      </c>
      <c r="E37" s="609" t="s">
        <v>325</v>
      </c>
      <c r="F37" s="609" t="s">
        <v>325</v>
      </c>
      <c r="G37" s="572" t="s">
        <v>643</v>
      </c>
      <c r="H37" s="609" t="s">
        <v>325</v>
      </c>
      <c r="I37" s="574"/>
      <c r="J37" s="574"/>
      <c r="K37" s="577" t="s">
        <v>327</v>
      </c>
      <c r="L37" s="577" t="s">
        <v>327</v>
      </c>
      <c r="M37" s="577" t="s">
        <v>327</v>
      </c>
      <c r="N37" s="577" t="s">
        <v>327</v>
      </c>
      <c r="O37" s="577" t="s">
        <v>327</v>
      </c>
      <c r="P37" s="574"/>
      <c r="Q37" s="574"/>
      <c r="R37" s="600" t="s">
        <v>383</v>
      </c>
      <c r="S37" s="600" t="s">
        <v>383</v>
      </c>
      <c r="T37" s="614" t="s">
        <v>636</v>
      </c>
      <c r="U37" s="572" t="s">
        <v>644</v>
      </c>
      <c r="V37" s="600" t="s">
        <v>383</v>
      </c>
      <c r="W37" s="574"/>
      <c r="X37" s="574"/>
      <c r="Y37" s="576" t="s">
        <v>633</v>
      </c>
      <c r="Z37" s="576" t="s">
        <v>633</v>
      </c>
      <c r="AA37" s="576" t="s">
        <v>633</v>
      </c>
      <c r="AB37" s="576" t="s">
        <v>331</v>
      </c>
      <c r="AC37" s="664" t="s">
        <v>325</v>
      </c>
    </row>
    <row r="38" spans="1:32" ht="25.5" customHeight="1">
      <c r="A38" s="665" t="s">
        <v>364</v>
      </c>
      <c r="B38" s="615" t="s">
        <v>173</v>
      </c>
      <c r="C38" s="617" t="s">
        <v>173</v>
      </c>
      <c r="D38" s="620" t="s">
        <v>327</v>
      </c>
      <c r="E38" s="620" t="s">
        <v>327</v>
      </c>
      <c r="F38" s="620" t="s">
        <v>327</v>
      </c>
      <c r="G38" s="620" t="s">
        <v>327</v>
      </c>
      <c r="H38" s="620" t="s">
        <v>327</v>
      </c>
      <c r="I38" s="619" t="s">
        <v>626</v>
      </c>
      <c r="J38" s="617"/>
      <c r="K38" s="616" t="s">
        <v>621</v>
      </c>
      <c r="L38" s="619" t="s">
        <v>645</v>
      </c>
      <c r="M38" s="616" t="s">
        <v>621</v>
      </c>
      <c r="N38" s="616" t="s">
        <v>329</v>
      </c>
      <c r="O38" s="616" t="s">
        <v>329</v>
      </c>
      <c r="P38" s="619" t="s">
        <v>626</v>
      </c>
      <c r="Q38" s="617" t="s">
        <v>173</v>
      </c>
      <c r="R38" s="575" t="s">
        <v>331</v>
      </c>
      <c r="S38" s="575" t="s">
        <v>331</v>
      </c>
      <c r="T38" s="575" t="s">
        <v>331</v>
      </c>
      <c r="U38" s="575" t="s">
        <v>331</v>
      </c>
      <c r="V38" s="575" t="s">
        <v>331</v>
      </c>
      <c r="W38" s="575" t="s">
        <v>14</v>
      </c>
      <c r="X38" s="575" t="s">
        <v>14</v>
      </c>
      <c r="Y38" s="618" t="s">
        <v>325</v>
      </c>
      <c r="Z38" s="618" t="s">
        <v>325</v>
      </c>
      <c r="AA38" s="618" t="s">
        <v>325</v>
      </c>
      <c r="AB38" s="618" t="s">
        <v>325</v>
      </c>
      <c r="AC38" s="670" t="s">
        <v>331</v>
      </c>
    </row>
    <row r="39" spans="1:32" ht="25.5" customHeight="1">
      <c r="K39" s="926" t="s">
        <v>646</v>
      </c>
      <c r="L39" s="926"/>
      <c r="M39" s="926"/>
      <c r="Y39" s="926" t="s">
        <v>647</v>
      </c>
      <c r="Z39" s="926"/>
      <c r="AA39" s="926"/>
    </row>
    <row r="40" spans="1:32" ht="25.5" customHeight="1">
      <c r="B40" s="915" t="s">
        <v>385</v>
      </c>
      <c r="C40" s="916"/>
      <c r="D40" s="916"/>
      <c r="E40" s="916"/>
      <c r="F40" s="916"/>
      <c r="G40" s="916"/>
      <c r="H40" s="916"/>
      <c r="I40" s="916"/>
      <c r="J40" s="916"/>
      <c r="K40" s="916"/>
      <c r="L40" s="916"/>
      <c r="M40" s="916"/>
      <c r="N40" s="916"/>
      <c r="O40" s="916"/>
      <c r="P40" s="916"/>
      <c r="Q40" s="916"/>
      <c r="R40" s="916"/>
      <c r="S40" s="916"/>
      <c r="T40" s="916"/>
      <c r="U40" s="916"/>
      <c r="V40" s="916"/>
      <c r="W40" s="916"/>
      <c r="X40" s="916"/>
      <c r="Y40" s="916"/>
      <c r="Z40" s="916"/>
      <c r="AA40" s="916"/>
      <c r="AB40" s="916"/>
      <c r="AC40" s="916"/>
      <c r="AD40" s="916"/>
      <c r="AE40" s="916"/>
      <c r="AF40" s="917"/>
    </row>
    <row r="41" spans="1:32" ht="25.5" customHeight="1">
      <c r="A41" s="891" t="s">
        <v>341</v>
      </c>
      <c r="B41" s="680" t="s">
        <v>84</v>
      </c>
      <c r="C41" s="681" t="s">
        <v>85</v>
      </c>
      <c r="D41" s="682" t="s">
        <v>86</v>
      </c>
      <c r="E41" s="682" t="s">
        <v>87</v>
      </c>
      <c r="F41" s="682" t="s">
        <v>44</v>
      </c>
      <c r="G41" s="682" t="s">
        <v>28</v>
      </c>
      <c r="H41" s="682" t="s">
        <v>9</v>
      </c>
      <c r="I41" s="682" t="s">
        <v>84</v>
      </c>
      <c r="J41" s="681" t="s">
        <v>85</v>
      </c>
      <c r="K41" s="682" t="s">
        <v>86</v>
      </c>
      <c r="L41" s="682" t="s">
        <v>87</v>
      </c>
      <c r="M41" s="682" t="s">
        <v>44</v>
      </c>
      <c r="N41" s="682" t="s">
        <v>28</v>
      </c>
      <c r="O41" s="682" t="s">
        <v>9</v>
      </c>
      <c r="P41" s="682" t="s">
        <v>84</v>
      </c>
      <c r="Q41" s="681" t="s">
        <v>85</v>
      </c>
      <c r="R41" s="682" t="s">
        <v>86</v>
      </c>
      <c r="S41" s="682" t="s">
        <v>87</v>
      </c>
      <c r="T41" s="682" t="s">
        <v>44</v>
      </c>
      <c r="U41" s="682" t="s">
        <v>28</v>
      </c>
      <c r="V41" s="682" t="s">
        <v>9</v>
      </c>
      <c r="W41" s="682" t="s">
        <v>84</v>
      </c>
      <c r="X41" s="681" t="s">
        <v>85</v>
      </c>
      <c r="Y41" s="682" t="s">
        <v>86</v>
      </c>
      <c r="Z41" s="682" t="s">
        <v>87</v>
      </c>
      <c r="AA41" s="682" t="s">
        <v>44</v>
      </c>
      <c r="AB41" s="682" t="s">
        <v>28</v>
      </c>
      <c r="AC41" s="682" t="s">
        <v>9</v>
      </c>
      <c r="AD41" s="682" t="s">
        <v>84</v>
      </c>
      <c r="AE41" s="681" t="s">
        <v>85</v>
      </c>
      <c r="AF41" s="683" t="s">
        <v>86</v>
      </c>
    </row>
    <row r="42" spans="1:32" ht="25.5" customHeight="1">
      <c r="A42" s="892"/>
      <c r="B42" s="684">
        <v>1</v>
      </c>
      <c r="C42" s="639">
        <v>2</v>
      </c>
      <c r="D42" s="674">
        <v>3</v>
      </c>
      <c r="E42" s="674">
        <v>4</v>
      </c>
      <c r="F42" s="674">
        <v>5</v>
      </c>
      <c r="G42" s="674">
        <v>6</v>
      </c>
      <c r="H42" s="674">
        <v>7</v>
      </c>
      <c r="I42" s="639">
        <v>8</v>
      </c>
      <c r="J42" s="639">
        <v>9</v>
      </c>
      <c r="K42" s="674">
        <v>10</v>
      </c>
      <c r="L42" s="674">
        <v>11</v>
      </c>
      <c r="M42" s="674">
        <v>12</v>
      </c>
      <c r="N42" s="674">
        <v>13</v>
      </c>
      <c r="O42" s="674">
        <v>14</v>
      </c>
      <c r="P42" s="639">
        <v>15</v>
      </c>
      <c r="Q42" s="639">
        <v>16</v>
      </c>
      <c r="R42" s="674">
        <v>17</v>
      </c>
      <c r="S42" s="674">
        <v>18</v>
      </c>
      <c r="T42" s="674">
        <v>19</v>
      </c>
      <c r="U42" s="674">
        <v>20</v>
      </c>
      <c r="V42" s="674">
        <v>21</v>
      </c>
      <c r="W42" s="639">
        <v>22</v>
      </c>
      <c r="X42" s="639">
        <v>23</v>
      </c>
      <c r="Y42" s="675">
        <v>24</v>
      </c>
      <c r="Z42" s="675">
        <v>25</v>
      </c>
      <c r="AA42" s="675">
        <v>26</v>
      </c>
      <c r="AB42" s="675">
        <v>27</v>
      </c>
      <c r="AC42" s="675">
        <v>28</v>
      </c>
      <c r="AD42" s="685">
        <v>29</v>
      </c>
      <c r="AE42" s="685">
        <v>30</v>
      </c>
      <c r="AF42" s="641">
        <v>31</v>
      </c>
    </row>
    <row r="43" spans="1:32" ht="25.5" customHeight="1">
      <c r="A43" s="650" t="s">
        <v>345</v>
      </c>
      <c r="B43" s="601" t="s">
        <v>173</v>
      </c>
      <c r="C43" s="579" t="s">
        <v>173</v>
      </c>
      <c r="D43" s="580" t="s">
        <v>9</v>
      </c>
      <c r="E43" s="644" t="s">
        <v>636</v>
      </c>
      <c r="F43" s="602" t="s">
        <v>329</v>
      </c>
      <c r="G43" s="602" t="s">
        <v>329</v>
      </c>
      <c r="H43" s="602" t="s">
        <v>329</v>
      </c>
      <c r="I43" s="579" t="s">
        <v>173</v>
      </c>
      <c r="J43" s="579" t="s">
        <v>173</v>
      </c>
      <c r="K43" s="602" t="s">
        <v>329</v>
      </c>
      <c r="L43" s="602" t="s">
        <v>329</v>
      </c>
      <c r="M43" s="644" t="s">
        <v>648</v>
      </c>
      <c r="N43" s="598" t="s">
        <v>649</v>
      </c>
      <c r="O43" s="602" t="s">
        <v>329</v>
      </c>
      <c r="P43" s="579" t="s">
        <v>173</v>
      </c>
      <c r="Q43" s="579" t="s">
        <v>173</v>
      </c>
      <c r="R43" s="602" t="s">
        <v>329</v>
      </c>
      <c r="S43" s="602" t="s">
        <v>329</v>
      </c>
      <c r="T43" s="602" t="s">
        <v>329</v>
      </c>
      <c r="U43" s="602" t="s">
        <v>329</v>
      </c>
      <c r="V43" s="602" t="s">
        <v>329</v>
      </c>
      <c r="W43" s="579" t="s">
        <v>173</v>
      </c>
      <c r="X43" s="579" t="s">
        <v>173</v>
      </c>
      <c r="Y43" s="602" t="s">
        <v>329</v>
      </c>
      <c r="Z43" s="602" t="s">
        <v>329</v>
      </c>
      <c r="AA43" s="602" t="s">
        <v>329</v>
      </c>
      <c r="AB43" s="602" t="s">
        <v>329</v>
      </c>
      <c r="AC43" s="602" t="s">
        <v>329</v>
      </c>
      <c r="AD43" s="579" t="s">
        <v>173</v>
      </c>
      <c r="AE43" s="579" t="s">
        <v>173</v>
      </c>
      <c r="AF43" s="604" t="s">
        <v>329</v>
      </c>
    </row>
    <row r="44" spans="1:32" ht="25.5" customHeight="1">
      <c r="A44" s="678" t="s">
        <v>347</v>
      </c>
      <c r="B44" s="605" t="s">
        <v>173</v>
      </c>
      <c r="C44" s="574" t="s">
        <v>173</v>
      </c>
      <c r="D44" s="600" t="s">
        <v>329</v>
      </c>
      <c r="E44" s="600" t="s">
        <v>329</v>
      </c>
      <c r="F44" s="600" t="s">
        <v>329</v>
      </c>
      <c r="G44" s="600" t="s">
        <v>329</v>
      </c>
      <c r="H44" s="600" t="s">
        <v>329</v>
      </c>
      <c r="I44" s="574" t="s">
        <v>173</v>
      </c>
      <c r="J44" s="574" t="s">
        <v>173</v>
      </c>
      <c r="K44" s="600" t="s">
        <v>329</v>
      </c>
      <c r="L44" s="600" t="s">
        <v>329</v>
      </c>
      <c r="M44" s="686" t="s">
        <v>329</v>
      </c>
      <c r="N44" s="686" t="s">
        <v>329</v>
      </c>
      <c r="O44" s="686" t="s">
        <v>329</v>
      </c>
      <c r="P44" s="649" t="s">
        <v>173</v>
      </c>
      <c r="Q44" s="649" t="s">
        <v>173</v>
      </c>
      <c r="R44" s="686" t="s">
        <v>329</v>
      </c>
      <c r="S44" s="686" t="s">
        <v>329</v>
      </c>
      <c r="T44" s="686" t="s">
        <v>329</v>
      </c>
      <c r="U44" s="600" t="s">
        <v>329</v>
      </c>
      <c r="V44" s="600" t="s">
        <v>329</v>
      </c>
      <c r="W44" s="574" t="s">
        <v>173</v>
      </c>
      <c r="X44" s="574" t="s">
        <v>173</v>
      </c>
      <c r="Y44" s="600" t="s">
        <v>329</v>
      </c>
      <c r="Z44" s="600" t="s">
        <v>329</v>
      </c>
      <c r="AA44" s="600" t="s">
        <v>329</v>
      </c>
      <c r="AB44" s="600" t="s">
        <v>329</v>
      </c>
      <c r="AC44" s="600" t="s">
        <v>329</v>
      </c>
      <c r="AD44" s="574" t="s">
        <v>173</v>
      </c>
      <c r="AE44" s="574" t="s">
        <v>173</v>
      </c>
      <c r="AF44" s="606" t="s">
        <v>329</v>
      </c>
    </row>
    <row r="45" spans="1:32" ht="25.5" customHeight="1">
      <c r="A45" s="650" t="s">
        <v>349</v>
      </c>
      <c r="B45" s="605" t="s">
        <v>173</v>
      </c>
      <c r="C45" s="574" t="s">
        <v>173</v>
      </c>
      <c r="D45" s="573" t="s">
        <v>631</v>
      </c>
      <c r="E45" s="573" t="s">
        <v>631</v>
      </c>
      <c r="F45" s="573" t="s">
        <v>631</v>
      </c>
      <c r="G45" s="573" t="s">
        <v>327</v>
      </c>
      <c r="H45" s="573" t="s">
        <v>327</v>
      </c>
      <c r="I45" s="574" t="s">
        <v>173</v>
      </c>
      <c r="J45" s="574" t="s">
        <v>173</v>
      </c>
      <c r="K45" s="573" t="s">
        <v>631</v>
      </c>
      <c r="L45" s="651" t="s">
        <v>631</v>
      </c>
      <c r="M45" s="573" t="s">
        <v>631</v>
      </c>
      <c r="N45" s="573" t="s">
        <v>327</v>
      </c>
      <c r="O45" s="573" t="s">
        <v>327</v>
      </c>
      <c r="P45" s="687" t="s">
        <v>173</v>
      </c>
      <c r="Q45" s="574" t="s">
        <v>173</v>
      </c>
      <c r="R45" s="614" t="s">
        <v>650</v>
      </c>
      <c r="S45" s="614" t="s">
        <v>637</v>
      </c>
      <c r="T45" s="573" t="s">
        <v>327</v>
      </c>
      <c r="U45" s="688" t="s">
        <v>327</v>
      </c>
      <c r="V45" s="573" t="s">
        <v>327</v>
      </c>
      <c r="W45" s="574" t="s">
        <v>173</v>
      </c>
      <c r="X45" s="574" t="s">
        <v>173</v>
      </c>
      <c r="Y45" s="573" t="s">
        <v>327</v>
      </c>
      <c r="Z45" s="573" t="s">
        <v>327</v>
      </c>
      <c r="AA45" s="573" t="s">
        <v>327</v>
      </c>
      <c r="AB45" s="573" t="s">
        <v>327</v>
      </c>
      <c r="AC45" s="577" t="s">
        <v>327</v>
      </c>
      <c r="AD45" s="574" t="s">
        <v>173</v>
      </c>
      <c r="AE45" s="574" t="s">
        <v>173</v>
      </c>
      <c r="AF45" s="608" t="s">
        <v>327</v>
      </c>
    </row>
    <row r="46" spans="1:32" ht="25.5" customHeight="1">
      <c r="A46" s="654" t="s">
        <v>353</v>
      </c>
      <c r="B46" s="605" t="s">
        <v>173</v>
      </c>
      <c r="C46" s="574" t="s">
        <v>173</v>
      </c>
      <c r="D46" s="600" t="s">
        <v>621</v>
      </c>
      <c r="E46" s="600" t="s">
        <v>621</v>
      </c>
      <c r="F46" s="600" t="s">
        <v>621</v>
      </c>
      <c r="G46" s="600" t="s">
        <v>329</v>
      </c>
      <c r="H46" s="600" t="s">
        <v>329</v>
      </c>
      <c r="I46" s="574" t="s">
        <v>173</v>
      </c>
      <c r="J46" s="574" t="s">
        <v>173</v>
      </c>
      <c r="K46" s="573" t="s">
        <v>631</v>
      </c>
      <c r="L46" s="651" t="s">
        <v>631</v>
      </c>
      <c r="M46" s="614" t="s">
        <v>639</v>
      </c>
      <c r="N46" s="573" t="s">
        <v>327</v>
      </c>
      <c r="O46" s="573" t="s">
        <v>327</v>
      </c>
      <c r="P46" s="689" t="s">
        <v>626</v>
      </c>
      <c r="Q46" s="574" t="s">
        <v>173</v>
      </c>
      <c r="R46" s="600" t="s">
        <v>329</v>
      </c>
      <c r="S46" s="600" t="s">
        <v>329</v>
      </c>
      <c r="T46" s="600" t="s">
        <v>329</v>
      </c>
      <c r="U46" s="690" t="s">
        <v>329</v>
      </c>
      <c r="V46" s="600" t="s">
        <v>329</v>
      </c>
      <c r="W46" s="574" t="s">
        <v>173</v>
      </c>
      <c r="X46" s="574" t="s">
        <v>173</v>
      </c>
      <c r="Y46" s="577" t="s">
        <v>327</v>
      </c>
      <c r="Z46" s="577" t="s">
        <v>327</v>
      </c>
      <c r="AA46" s="577" t="s">
        <v>327</v>
      </c>
      <c r="AB46" s="577" t="s">
        <v>327</v>
      </c>
      <c r="AC46" s="577" t="s">
        <v>327</v>
      </c>
      <c r="AD46" s="574" t="s">
        <v>173</v>
      </c>
      <c r="AE46" s="574" t="s">
        <v>173</v>
      </c>
      <c r="AF46" s="606" t="s">
        <v>329</v>
      </c>
    </row>
    <row r="47" spans="1:32" ht="25.5" customHeight="1">
      <c r="A47" s="659" t="s">
        <v>627</v>
      </c>
      <c r="B47" s="605" t="s">
        <v>173</v>
      </c>
      <c r="C47" s="574" t="s">
        <v>173</v>
      </c>
      <c r="D47" s="600" t="s">
        <v>621</v>
      </c>
      <c r="E47" s="600" t="s">
        <v>621</v>
      </c>
      <c r="F47" s="600" t="s">
        <v>621</v>
      </c>
      <c r="G47" s="600" t="s">
        <v>329</v>
      </c>
      <c r="H47" s="600" t="s">
        <v>329</v>
      </c>
      <c r="I47" s="574" t="s">
        <v>173</v>
      </c>
      <c r="J47" s="574" t="s">
        <v>173</v>
      </c>
      <c r="K47" s="576" t="s">
        <v>633</v>
      </c>
      <c r="L47" s="691" t="s">
        <v>633</v>
      </c>
      <c r="M47" s="576" t="s">
        <v>633</v>
      </c>
      <c r="N47" s="576" t="s">
        <v>331</v>
      </c>
      <c r="O47" s="576" t="s">
        <v>331</v>
      </c>
      <c r="P47" s="691" t="s">
        <v>14</v>
      </c>
      <c r="Q47" s="576" t="s">
        <v>14</v>
      </c>
      <c r="R47" s="609" t="s">
        <v>325</v>
      </c>
      <c r="S47" s="609" t="s">
        <v>325</v>
      </c>
      <c r="T47" s="609" t="s">
        <v>325</v>
      </c>
      <c r="U47" s="609" t="s">
        <v>325</v>
      </c>
      <c r="V47" s="609" t="s">
        <v>325</v>
      </c>
      <c r="W47" s="612" t="s">
        <v>626</v>
      </c>
      <c r="X47" s="574" t="s">
        <v>173</v>
      </c>
      <c r="Y47" s="577" t="s">
        <v>327</v>
      </c>
      <c r="Z47" s="577" t="s">
        <v>327</v>
      </c>
      <c r="AA47" s="577" t="s">
        <v>327</v>
      </c>
      <c r="AB47" s="577" t="s">
        <v>327</v>
      </c>
      <c r="AC47" s="577" t="s">
        <v>327</v>
      </c>
      <c r="AD47" s="574" t="s">
        <v>173</v>
      </c>
      <c r="AE47" s="574" t="s">
        <v>173</v>
      </c>
      <c r="AF47" s="606" t="s">
        <v>329</v>
      </c>
    </row>
    <row r="48" spans="1:32" ht="25.5" customHeight="1">
      <c r="A48" s="661" t="s">
        <v>360</v>
      </c>
      <c r="B48" s="605" t="s">
        <v>173</v>
      </c>
      <c r="C48" s="574" t="s">
        <v>173</v>
      </c>
      <c r="D48" s="576" t="s">
        <v>331</v>
      </c>
      <c r="E48" s="576" t="s">
        <v>331</v>
      </c>
      <c r="F48" s="576" t="s">
        <v>331</v>
      </c>
      <c r="G48" s="576" t="s">
        <v>331</v>
      </c>
      <c r="H48" s="576" t="s">
        <v>331</v>
      </c>
      <c r="I48" s="576" t="s">
        <v>14</v>
      </c>
      <c r="J48" s="576" t="s">
        <v>14</v>
      </c>
      <c r="K48" s="614" t="s">
        <v>651</v>
      </c>
      <c r="L48" s="692" t="s">
        <v>651</v>
      </c>
      <c r="M48" s="609" t="s">
        <v>325</v>
      </c>
      <c r="N48" s="609" t="s">
        <v>325</v>
      </c>
      <c r="O48" s="609" t="s">
        <v>325</v>
      </c>
      <c r="P48" s="693" t="s">
        <v>652</v>
      </c>
      <c r="Q48" s="574" t="s">
        <v>173</v>
      </c>
      <c r="R48" s="577" t="s">
        <v>327</v>
      </c>
      <c r="S48" s="577" t="s">
        <v>327</v>
      </c>
      <c r="T48" s="577" t="s">
        <v>327</v>
      </c>
      <c r="U48" s="577" t="s">
        <v>327</v>
      </c>
      <c r="V48" s="577" t="s">
        <v>327</v>
      </c>
      <c r="W48" s="574" t="s">
        <v>173</v>
      </c>
      <c r="X48" s="574" t="s">
        <v>173</v>
      </c>
      <c r="Y48" s="600" t="s">
        <v>329</v>
      </c>
      <c r="Z48" s="600" t="s">
        <v>329</v>
      </c>
      <c r="AA48" s="600" t="s">
        <v>329</v>
      </c>
      <c r="AB48" s="600" t="s">
        <v>329</v>
      </c>
      <c r="AC48" s="600" t="s">
        <v>329</v>
      </c>
      <c r="AD48" s="574" t="s">
        <v>173</v>
      </c>
      <c r="AE48" s="574" t="s">
        <v>173</v>
      </c>
      <c r="AF48" s="610" t="s">
        <v>331</v>
      </c>
    </row>
    <row r="49" spans="1:33" ht="25.5" customHeight="1">
      <c r="A49" s="659" t="s">
        <v>363</v>
      </c>
      <c r="B49" s="611" t="s">
        <v>14</v>
      </c>
      <c r="C49" s="576" t="s">
        <v>14</v>
      </c>
      <c r="D49" s="614" t="s">
        <v>651</v>
      </c>
      <c r="E49" s="609" t="s">
        <v>325</v>
      </c>
      <c r="F49" s="614" t="s">
        <v>651</v>
      </c>
      <c r="G49" s="609" t="s">
        <v>325</v>
      </c>
      <c r="H49" s="609" t="s">
        <v>325</v>
      </c>
      <c r="I49" s="574" t="s">
        <v>173</v>
      </c>
      <c r="J49" s="614" t="s">
        <v>642</v>
      </c>
      <c r="K49" s="577" t="s">
        <v>631</v>
      </c>
      <c r="L49" s="577" t="s">
        <v>631</v>
      </c>
      <c r="M49" s="694" t="s">
        <v>631</v>
      </c>
      <c r="N49" s="694" t="s">
        <v>327</v>
      </c>
      <c r="O49" s="694" t="s">
        <v>327</v>
      </c>
      <c r="P49" s="695"/>
      <c r="Q49" s="574"/>
      <c r="R49" s="614" t="s">
        <v>653</v>
      </c>
      <c r="S49" s="600" t="s">
        <v>383</v>
      </c>
      <c r="T49" s="600" t="s">
        <v>383</v>
      </c>
      <c r="U49" s="690" t="s">
        <v>383</v>
      </c>
      <c r="V49" s="600" t="s">
        <v>383</v>
      </c>
      <c r="W49" s="696" t="s">
        <v>642</v>
      </c>
      <c r="X49" s="574"/>
      <c r="Y49" s="576" t="s">
        <v>331</v>
      </c>
      <c r="Z49" s="576" t="s">
        <v>331</v>
      </c>
      <c r="AA49" s="576" t="s">
        <v>331</v>
      </c>
      <c r="AB49" s="576" t="s">
        <v>331</v>
      </c>
      <c r="AC49" s="576" t="s">
        <v>331</v>
      </c>
      <c r="AD49" s="576" t="s">
        <v>14</v>
      </c>
      <c r="AE49" s="576" t="s">
        <v>14</v>
      </c>
      <c r="AF49" s="613" t="s">
        <v>325</v>
      </c>
    </row>
    <row r="50" spans="1:33" ht="25.5" customHeight="1">
      <c r="A50" s="665" t="s">
        <v>364</v>
      </c>
      <c r="B50" s="615" t="s">
        <v>173</v>
      </c>
      <c r="C50" s="617" t="s">
        <v>173</v>
      </c>
      <c r="D50" s="620" t="s">
        <v>327</v>
      </c>
      <c r="E50" s="620" t="s">
        <v>327</v>
      </c>
      <c r="F50" s="620" t="s">
        <v>327</v>
      </c>
      <c r="G50" s="620" t="s">
        <v>327</v>
      </c>
      <c r="H50" s="620" t="s">
        <v>327</v>
      </c>
      <c r="I50" s="697" t="s">
        <v>626</v>
      </c>
      <c r="J50" s="617" t="s">
        <v>173</v>
      </c>
      <c r="K50" s="616" t="s">
        <v>329</v>
      </c>
      <c r="L50" s="616" t="s">
        <v>329</v>
      </c>
      <c r="M50" s="616" t="s">
        <v>329</v>
      </c>
      <c r="N50" s="616" t="s">
        <v>329</v>
      </c>
      <c r="O50" s="616" t="s">
        <v>329</v>
      </c>
      <c r="P50" s="617" t="s">
        <v>173</v>
      </c>
      <c r="Q50" s="698" t="s">
        <v>173</v>
      </c>
      <c r="R50" s="699" t="s">
        <v>331</v>
      </c>
      <c r="S50" s="699" t="s">
        <v>331</v>
      </c>
      <c r="T50" s="699" t="s">
        <v>331</v>
      </c>
      <c r="U50" s="575" t="s">
        <v>331</v>
      </c>
      <c r="V50" s="575" t="s">
        <v>331</v>
      </c>
      <c r="W50" s="575" t="s">
        <v>14</v>
      </c>
      <c r="X50" s="575" t="s">
        <v>14</v>
      </c>
      <c r="Y50" s="618" t="s">
        <v>325</v>
      </c>
      <c r="Z50" s="618" t="s">
        <v>325</v>
      </c>
      <c r="AA50" s="618" t="s">
        <v>325</v>
      </c>
      <c r="AB50" s="618" t="s">
        <v>325</v>
      </c>
      <c r="AC50" s="618" t="s">
        <v>325</v>
      </c>
      <c r="AD50" s="617" t="s">
        <v>173</v>
      </c>
      <c r="AE50" s="617" t="s">
        <v>173</v>
      </c>
      <c r="AF50" s="700" t="s">
        <v>327</v>
      </c>
    </row>
    <row r="51" spans="1:33" ht="25.5" customHeight="1">
      <c r="D51" s="927" t="s">
        <v>635</v>
      </c>
      <c r="E51" s="927"/>
      <c r="F51" s="927"/>
      <c r="K51" s="928" t="s">
        <v>646</v>
      </c>
      <c r="L51" s="928"/>
      <c r="M51" s="928"/>
    </row>
    <row r="52" spans="1:33" ht="25.5" customHeight="1">
      <c r="B52" s="871" t="s">
        <v>398</v>
      </c>
      <c r="C52" s="872"/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872"/>
      <c r="O52" s="872"/>
      <c r="P52" s="872"/>
      <c r="Q52" s="872"/>
      <c r="R52" s="872"/>
      <c r="S52" s="872"/>
      <c r="T52" s="872"/>
      <c r="U52" s="872"/>
      <c r="V52" s="872"/>
      <c r="W52" s="872"/>
      <c r="X52" s="872"/>
      <c r="Y52" s="872"/>
      <c r="Z52" s="872"/>
      <c r="AA52" s="872"/>
      <c r="AB52" s="872"/>
      <c r="AC52" s="872"/>
      <c r="AD52" s="872"/>
      <c r="AE52" s="873"/>
    </row>
    <row r="53" spans="1:33" ht="25.5" customHeight="1">
      <c r="A53" s="869" t="s">
        <v>341</v>
      </c>
      <c r="B53" s="633" t="s">
        <v>87</v>
      </c>
      <c r="C53" s="634" t="s">
        <v>44</v>
      </c>
      <c r="D53" s="634" t="s">
        <v>28</v>
      </c>
      <c r="E53" s="634" t="s">
        <v>9</v>
      </c>
      <c r="F53" s="634" t="s">
        <v>84</v>
      </c>
      <c r="G53" s="635" t="s">
        <v>85</v>
      </c>
      <c r="H53" s="634" t="s">
        <v>86</v>
      </c>
      <c r="I53" s="634" t="s">
        <v>87</v>
      </c>
      <c r="J53" s="634" t="s">
        <v>44</v>
      </c>
      <c r="K53" s="634" t="s">
        <v>28</v>
      </c>
      <c r="L53" s="634" t="s">
        <v>9</v>
      </c>
      <c r="M53" s="634" t="s">
        <v>84</v>
      </c>
      <c r="N53" s="635" t="s">
        <v>85</v>
      </c>
      <c r="O53" s="634" t="s">
        <v>86</v>
      </c>
      <c r="P53" s="634" t="s">
        <v>87</v>
      </c>
      <c r="Q53" s="634" t="s">
        <v>44</v>
      </c>
      <c r="R53" s="634" t="s">
        <v>28</v>
      </c>
      <c r="S53" s="634" t="s">
        <v>9</v>
      </c>
      <c r="T53" s="634" t="s">
        <v>84</v>
      </c>
      <c r="U53" s="635" t="s">
        <v>85</v>
      </c>
      <c r="V53" s="634" t="s">
        <v>86</v>
      </c>
      <c r="W53" s="634" t="s">
        <v>87</v>
      </c>
      <c r="X53" s="634" t="s">
        <v>44</v>
      </c>
      <c r="Y53" s="634" t="s">
        <v>28</v>
      </c>
      <c r="Z53" s="634" t="s">
        <v>9</v>
      </c>
      <c r="AA53" s="634" t="s">
        <v>84</v>
      </c>
      <c r="AB53" s="634" t="s">
        <v>85</v>
      </c>
      <c r="AC53" s="634" t="s">
        <v>86</v>
      </c>
      <c r="AD53" s="634" t="s">
        <v>87</v>
      </c>
      <c r="AE53" s="636" t="s">
        <v>44</v>
      </c>
    </row>
    <row r="54" spans="1:33" ht="25.5" customHeight="1">
      <c r="A54" s="870"/>
      <c r="B54" s="701">
        <v>1</v>
      </c>
      <c r="C54" s="640">
        <v>2</v>
      </c>
      <c r="D54" s="640">
        <v>3</v>
      </c>
      <c r="E54" s="640">
        <v>4</v>
      </c>
      <c r="F54" s="639">
        <v>5</v>
      </c>
      <c r="G54" s="639">
        <v>6</v>
      </c>
      <c r="H54" s="638">
        <v>7</v>
      </c>
      <c r="I54" s="638">
        <v>8</v>
      </c>
      <c r="J54" s="638">
        <v>9</v>
      </c>
      <c r="K54" s="638">
        <v>10</v>
      </c>
      <c r="L54" s="638">
        <v>11</v>
      </c>
      <c r="M54" s="639">
        <v>12</v>
      </c>
      <c r="N54" s="639">
        <v>13</v>
      </c>
      <c r="O54" s="638">
        <v>14</v>
      </c>
      <c r="P54" s="638">
        <v>15</v>
      </c>
      <c r="Q54" s="638">
        <v>16</v>
      </c>
      <c r="R54" s="702">
        <v>17</v>
      </c>
      <c r="S54" s="639">
        <v>18</v>
      </c>
      <c r="T54" s="639">
        <v>19</v>
      </c>
      <c r="U54" s="639">
        <v>20</v>
      </c>
      <c r="V54" s="638">
        <v>21</v>
      </c>
      <c r="W54" s="638">
        <v>22</v>
      </c>
      <c r="X54" s="638">
        <v>23</v>
      </c>
      <c r="Y54" s="638">
        <v>24</v>
      </c>
      <c r="Z54" s="638">
        <v>25</v>
      </c>
      <c r="AA54" s="639">
        <v>26</v>
      </c>
      <c r="AB54" s="639">
        <v>27</v>
      </c>
      <c r="AC54" s="638">
        <v>28</v>
      </c>
      <c r="AD54" s="640">
        <v>29</v>
      </c>
      <c r="AE54" s="641">
        <v>30</v>
      </c>
    </row>
    <row r="55" spans="1:33" ht="25.5" customHeight="1">
      <c r="A55" s="650" t="s">
        <v>345</v>
      </c>
      <c r="B55" s="703" t="s">
        <v>329</v>
      </c>
      <c r="C55" s="602" t="s">
        <v>329</v>
      </c>
      <c r="D55" s="602" t="s">
        <v>329</v>
      </c>
      <c r="E55" s="602" t="s">
        <v>329</v>
      </c>
      <c r="F55" s="579" t="s">
        <v>173</v>
      </c>
      <c r="G55" s="579" t="s">
        <v>173</v>
      </c>
      <c r="H55" s="602" t="s">
        <v>329</v>
      </c>
      <c r="I55" s="602" t="s">
        <v>329</v>
      </c>
      <c r="J55" s="602" t="s">
        <v>329</v>
      </c>
      <c r="K55" s="602" t="s">
        <v>329</v>
      </c>
      <c r="L55" s="602" t="s">
        <v>329</v>
      </c>
      <c r="M55" s="579" t="s">
        <v>173</v>
      </c>
      <c r="N55" s="579" t="s">
        <v>173</v>
      </c>
      <c r="O55" s="602" t="s">
        <v>329</v>
      </c>
      <c r="P55" s="602" t="s">
        <v>329</v>
      </c>
      <c r="Q55" s="602" t="s">
        <v>329</v>
      </c>
      <c r="R55" s="643"/>
      <c r="S55" s="643"/>
      <c r="T55" s="579" t="s">
        <v>173</v>
      </c>
      <c r="U55" s="579" t="s">
        <v>173</v>
      </c>
      <c r="V55" s="598" t="s">
        <v>654</v>
      </c>
      <c r="W55" s="602" t="s">
        <v>329</v>
      </c>
      <c r="X55" s="602" t="s">
        <v>329</v>
      </c>
      <c r="Y55" s="602" t="s">
        <v>329</v>
      </c>
      <c r="Z55" s="602" t="s">
        <v>329</v>
      </c>
      <c r="AA55" s="579" t="s">
        <v>173</v>
      </c>
      <c r="AB55" s="579" t="s">
        <v>173</v>
      </c>
      <c r="AC55" s="602" t="s">
        <v>329</v>
      </c>
      <c r="AD55" s="602" t="s">
        <v>329</v>
      </c>
      <c r="AE55" s="604" t="s">
        <v>329</v>
      </c>
    </row>
    <row r="56" spans="1:33" ht="25.5" customHeight="1">
      <c r="A56" s="678" t="s">
        <v>347</v>
      </c>
      <c r="B56" s="704" t="s">
        <v>329</v>
      </c>
      <c r="C56" s="600" t="s">
        <v>329</v>
      </c>
      <c r="D56" s="600" t="s">
        <v>329</v>
      </c>
      <c r="E56" s="600" t="s">
        <v>329</v>
      </c>
      <c r="F56" s="574" t="s">
        <v>173</v>
      </c>
      <c r="G56" s="574" t="s">
        <v>173</v>
      </c>
      <c r="H56" s="600" t="s">
        <v>329</v>
      </c>
      <c r="I56" s="600" t="s">
        <v>329</v>
      </c>
      <c r="J56" s="600" t="s">
        <v>329</v>
      </c>
      <c r="K56" s="600" t="s">
        <v>329</v>
      </c>
      <c r="L56" s="600" t="s">
        <v>329</v>
      </c>
      <c r="M56" s="574" t="s">
        <v>173</v>
      </c>
      <c r="N56" s="574" t="s">
        <v>173</v>
      </c>
      <c r="O56" s="597" t="s">
        <v>9</v>
      </c>
      <c r="P56" s="597" t="s">
        <v>9</v>
      </c>
      <c r="Q56" s="597" t="s">
        <v>9</v>
      </c>
      <c r="R56" s="597" t="s">
        <v>9</v>
      </c>
      <c r="S56" s="597" t="s">
        <v>9</v>
      </c>
      <c r="T56" s="597" t="s">
        <v>9</v>
      </c>
      <c r="U56" s="597" t="s">
        <v>9</v>
      </c>
      <c r="V56" s="600" t="s">
        <v>329</v>
      </c>
      <c r="W56" s="600" t="s">
        <v>329</v>
      </c>
      <c r="X56" s="600" t="s">
        <v>329</v>
      </c>
      <c r="Y56" s="600" t="s">
        <v>329</v>
      </c>
      <c r="Z56" s="600" t="s">
        <v>329</v>
      </c>
      <c r="AA56" s="574" t="s">
        <v>173</v>
      </c>
      <c r="AB56" s="574" t="s">
        <v>173</v>
      </c>
      <c r="AC56" s="600" t="s">
        <v>329</v>
      </c>
      <c r="AD56" s="600" t="s">
        <v>329</v>
      </c>
      <c r="AE56" s="606" t="s">
        <v>329</v>
      </c>
    </row>
    <row r="57" spans="1:33" ht="25.5" customHeight="1">
      <c r="A57" s="650" t="s">
        <v>349</v>
      </c>
      <c r="B57" s="705" t="s">
        <v>327</v>
      </c>
      <c r="C57" s="573" t="s">
        <v>327</v>
      </c>
      <c r="D57" s="573" t="s">
        <v>327</v>
      </c>
      <c r="E57" s="573" t="s">
        <v>327</v>
      </c>
      <c r="F57" s="574" t="s">
        <v>173</v>
      </c>
      <c r="G57" s="574" t="s">
        <v>173</v>
      </c>
      <c r="H57" s="573" t="s">
        <v>327</v>
      </c>
      <c r="I57" s="573" t="s">
        <v>327</v>
      </c>
      <c r="J57" s="573" t="s">
        <v>327</v>
      </c>
      <c r="K57" s="573" t="s">
        <v>327</v>
      </c>
      <c r="L57" s="573" t="s">
        <v>327</v>
      </c>
      <c r="M57" s="574" t="s">
        <v>173</v>
      </c>
      <c r="N57" s="574" t="s">
        <v>173</v>
      </c>
      <c r="O57" s="573" t="s">
        <v>327</v>
      </c>
      <c r="P57" s="573" t="s">
        <v>327</v>
      </c>
      <c r="Q57" s="573" t="s">
        <v>327</v>
      </c>
      <c r="R57" s="706"/>
      <c r="S57" s="706"/>
      <c r="T57" s="574" t="s">
        <v>173</v>
      </c>
      <c r="U57" s="574" t="s">
        <v>173</v>
      </c>
      <c r="V57" s="573" t="s">
        <v>327</v>
      </c>
      <c r="W57" s="573" t="s">
        <v>327</v>
      </c>
      <c r="X57" s="573" t="s">
        <v>327</v>
      </c>
      <c r="Y57" s="573" t="s">
        <v>327</v>
      </c>
      <c r="Z57" s="572" t="s">
        <v>655</v>
      </c>
      <c r="AA57" s="572" t="s">
        <v>656</v>
      </c>
      <c r="AB57" s="574" t="s">
        <v>173</v>
      </c>
      <c r="AC57" s="597" t="s">
        <v>9</v>
      </c>
      <c r="AD57" s="597" t="s">
        <v>9</v>
      </c>
      <c r="AE57" s="707" t="s">
        <v>9</v>
      </c>
    </row>
    <row r="58" spans="1:33" ht="25.5" customHeight="1">
      <c r="A58" s="654" t="s">
        <v>353</v>
      </c>
      <c r="B58" s="704" t="s">
        <v>329</v>
      </c>
      <c r="C58" s="600" t="s">
        <v>329</v>
      </c>
      <c r="D58" s="600" t="s">
        <v>329</v>
      </c>
      <c r="E58" s="600" t="s">
        <v>329</v>
      </c>
      <c r="F58" s="574" t="s">
        <v>173</v>
      </c>
      <c r="G58" s="614" t="s">
        <v>657</v>
      </c>
      <c r="H58" s="573" t="s">
        <v>327</v>
      </c>
      <c r="I58" s="573" t="s">
        <v>327</v>
      </c>
      <c r="J58" s="573" t="s">
        <v>327</v>
      </c>
      <c r="K58" s="573" t="s">
        <v>327</v>
      </c>
      <c r="L58" s="573" t="s">
        <v>327</v>
      </c>
      <c r="M58" s="574" t="s">
        <v>173</v>
      </c>
      <c r="N58" s="574" t="s">
        <v>173</v>
      </c>
      <c r="O58" s="600" t="s">
        <v>329</v>
      </c>
      <c r="P58" s="600" t="s">
        <v>329</v>
      </c>
      <c r="Q58" s="600" t="s">
        <v>329</v>
      </c>
      <c r="R58" s="656"/>
      <c r="S58" s="656"/>
      <c r="T58" s="574" t="s">
        <v>173</v>
      </c>
      <c r="U58" s="574" t="s">
        <v>173</v>
      </c>
      <c r="V58" s="577" t="s">
        <v>327</v>
      </c>
      <c r="W58" s="597" t="s">
        <v>9</v>
      </c>
      <c r="X58" s="572" t="s">
        <v>658</v>
      </c>
      <c r="Y58" s="572" t="s">
        <v>659</v>
      </c>
      <c r="Z58" s="577" t="s">
        <v>327</v>
      </c>
      <c r="AA58" s="574" t="s">
        <v>173</v>
      </c>
      <c r="AB58" s="612" t="s">
        <v>626</v>
      </c>
      <c r="AC58" s="577" t="s">
        <v>327</v>
      </c>
      <c r="AD58" s="577" t="s">
        <v>327</v>
      </c>
      <c r="AE58" s="679" t="s">
        <v>327</v>
      </c>
    </row>
    <row r="59" spans="1:33" ht="25.5" customHeight="1">
      <c r="A59" s="659" t="s">
        <v>627</v>
      </c>
      <c r="B59" s="704" t="s">
        <v>329</v>
      </c>
      <c r="C59" s="600" t="s">
        <v>329</v>
      </c>
      <c r="D59" s="600" t="s">
        <v>329</v>
      </c>
      <c r="E59" s="600" t="s">
        <v>329</v>
      </c>
      <c r="F59" s="614" t="s">
        <v>626</v>
      </c>
      <c r="G59" s="574" t="s">
        <v>173</v>
      </c>
      <c r="H59" s="576" t="s">
        <v>331</v>
      </c>
      <c r="I59" s="576" t="s">
        <v>331</v>
      </c>
      <c r="J59" s="576" t="s">
        <v>331</v>
      </c>
      <c r="K59" s="576" t="s">
        <v>331</v>
      </c>
      <c r="L59" s="576" t="s">
        <v>331</v>
      </c>
      <c r="M59" s="576" t="s">
        <v>14</v>
      </c>
      <c r="N59" s="576" t="s">
        <v>14</v>
      </c>
      <c r="O59" s="609" t="s">
        <v>325</v>
      </c>
      <c r="P59" s="609" t="s">
        <v>325</v>
      </c>
      <c r="Q59" s="609" t="s">
        <v>325</v>
      </c>
      <c r="R59" s="706"/>
      <c r="S59" s="706"/>
      <c r="T59" s="574" t="s">
        <v>173</v>
      </c>
      <c r="U59" s="574" t="s">
        <v>173</v>
      </c>
      <c r="V59" s="577" t="s">
        <v>327</v>
      </c>
      <c r="W59" s="614" t="s">
        <v>660</v>
      </c>
      <c r="X59" s="614" t="s">
        <v>661</v>
      </c>
      <c r="Y59" s="577" t="s">
        <v>327</v>
      </c>
      <c r="Z59" s="577" t="s">
        <v>327</v>
      </c>
      <c r="AA59" s="574" t="s">
        <v>173</v>
      </c>
      <c r="AB59" s="574" t="s">
        <v>173</v>
      </c>
      <c r="AC59" s="600" t="s">
        <v>329</v>
      </c>
      <c r="AD59" s="600" t="s">
        <v>329</v>
      </c>
      <c r="AE59" s="606" t="s">
        <v>329</v>
      </c>
    </row>
    <row r="60" spans="1:33" ht="25.5" customHeight="1">
      <c r="A60" s="661" t="s">
        <v>360</v>
      </c>
      <c r="B60" s="611" t="s">
        <v>331</v>
      </c>
      <c r="C60" s="576" t="s">
        <v>331</v>
      </c>
      <c r="D60" s="576" t="s">
        <v>331</v>
      </c>
      <c r="E60" s="576" t="s">
        <v>331</v>
      </c>
      <c r="F60" s="576" t="s">
        <v>14</v>
      </c>
      <c r="G60" s="576" t="s">
        <v>14</v>
      </c>
      <c r="H60" s="609" t="s">
        <v>325</v>
      </c>
      <c r="I60" s="609" t="s">
        <v>325</v>
      </c>
      <c r="J60" s="609" t="s">
        <v>325</v>
      </c>
      <c r="K60" s="572" t="s">
        <v>662</v>
      </c>
      <c r="L60" s="708" t="s">
        <v>651</v>
      </c>
      <c r="M60" s="574" t="s">
        <v>173</v>
      </c>
      <c r="N60" s="574" t="s">
        <v>173</v>
      </c>
      <c r="O60" s="577" t="s">
        <v>327</v>
      </c>
      <c r="P60" s="577" t="s">
        <v>327</v>
      </c>
      <c r="Q60" s="577" t="s">
        <v>327</v>
      </c>
      <c r="R60" s="656"/>
      <c r="S60" s="656"/>
      <c r="T60" s="574" t="s">
        <v>173</v>
      </c>
      <c r="U60" s="574" t="s">
        <v>173</v>
      </c>
      <c r="V60" s="600" t="s">
        <v>329</v>
      </c>
      <c r="W60" s="708" t="s">
        <v>663</v>
      </c>
      <c r="X60" s="597" t="s">
        <v>9</v>
      </c>
      <c r="Y60" s="600" t="s">
        <v>329</v>
      </c>
      <c r="Z60" s="600" t="s">
        <v>329</v>
      </c>
      <c r="AA60" s="574" t="s">
        <v>173</v>
      </c>
      <c r="AB60" s="574" t="s">
        <v>173</v>
      </c>
      <c r="AC60" s="576" t="s">
        <v>331</v>
      </c>
      <c r="AD60" s="576" t="s">
        <v>331</v>
      </c>
      <c r="AE60" s="610" t="s">
        <v>331</v>
      </c>
    </row>
    <row r="61" spans="1:33" ht="25.5" customHeight="1">
      <c r="A61" s="659" t="s">
        <v>363</v>
      </c>
      <c r="B61" s="709" t="s">
        <v>325</v>
      </c>
      <c r="C61" s="609" t="s">
        <v>325</v>
      </c>
      <c r="D61" s="609" t="s">
        <v>325</v>
      </c>
      <c r="E61" s="609" t="s">
        <v>325</v>
      </c>
      <c r="F61" s="574"/>
      <c r="G61" s="574"/>
      <c r="H61" s="577" t="s">
        <v>327</v>
      </c>
      <c r="I61" s="577" t="s">
        <v>327</v>
      </c>
      <c r="J61" s="572" t="s">
        <v>664</v>
      </c>
      <c r="K61" s="577" t="s">
        <v>327</v>
      </c>
      <c r="L61" s="577" t="s">
        <v>327</v>
      </c>
      <c r="M61" s="574"/>
      <c r="N61" s="574"/>
      <c r="O61" s="600" t="s">
        <v>383</v>
      </c>
      <c r="P61" s="600" t="s">
        <v>383</v>
      </c>
      <c r="Q61" s="600" t="s">
        <v>383</v>
      </c>
      <c r="R61" s="706"/>
      <c r="S61" s="706"/>
      <c r="T61" s="574"/>
      <c r="U61" s="574"/>
      <c r="V61" s="576" t="s">
        <v>331</v>
      </c>
      <c r="W61" s="576" t="s">
        <v>331</v>
      </c>
      <c r="X61" s="576" t="s">
        <v>331</v>
      </c>
      <c r="Y61" s="576" t="s">
        <v>331</v>
      </c>
      <c r="Z61" s="576" t="s">
        <v>331</v>
      </c>
      <c r="AA61" s="576" t="s">
        <v>14</v>
      </c>
      <c r="AB61" s="576" t="s">
        <v>14</v>
      </c>
      <c r="AC61" s="609" t="s">
        <v>325</v>
      </c>
      <c r="AD61" s="609" t="s">
        <v>325</v>
      </c>
      <c r="AE61" s="613" t="s">
        <v>325</v>
      </c>
    </row>
    <row r="62" spans="1:33" ht="25.5" customHeight="1">
      <c r="A62" s="665" t="s">
        <v>364</v>
      </c>
      <c r="B62" s="710" t="s">
        <v>327</v>
      </c>
      <c r="C62" s="620" t="s">
        <v>327</v>
      </c>
      <c r="D62" s="620" t="s">
        <v>327</v>
      </c>
      <c r="E62" s="620" t="s">
        <v>327</v>
      </c>
      <c r="F62" s="617" t="s">
        <v>173</v>
      </c>
      <c r="G62" s="617" t="s">
        <v>173</v>
      </c>
      <c r="H62" s="616" t="s">
        <v>329</v>
      </c>
      <c r="I62" s="616" t="s">
        <v>329</v>
      </c>
      <c r="J62" s="599" t="s">
        <v>665</v>
      </c>
      <c r="K62" s="616" t="s">
        <v>329</v>
      </c>
      <c r="L62" s="616" t="s">
        <v>329</v>
      </c>
      <c r="M62" s="617" t="s">
        <v>173</v>
      </c>
      <c r="N62" s="617" t="s">
        <v>173</v>
      </c>
      <c r="O62" s="575" t="s">
        <v>331</v>
      </c>
      <c r="P62" s="575" t="s">
        <v>331</v>
      </c>
      <c r="Q62" s="575" t="s">
        <v>331</v>
      </c>
      <c r="R62" s="575" t="s">
        <v>14</v>
      </c>
      <c r="S62" s="575" t="s">
        <v>14</v>
      </c>
      <c r="T62" s="575" t="s">
        <v>14</v>
      </c>
      <c r="U62" s="575" t="s">
        <v>14</v>
      </c>
      <c r="V62" s="618" t="s">
        <v>325</v>
      </c>
      <c r="W62" s="619" t="s">
        <v>666</v>
      </c>
      <c r="X62" s="618" t="s">
        <v>325</v>
      </c>
      <c r="Y62" s="618" t="s">
        <v>325</v>
      </c>
      <c r="Z62" s="618" t="s">
        <v>325</v>
      </c>
      <c r="AA62" s="617" t="s">
        <v>173</v>
      </c>
      <c r="AB62" s="617" t="s">
        <v>173</v>
      </c>
      <c r="AC62" s="620" t="s">
        <v>327</v>
      </c>
      <c r="AD62" s="620" t="s">
        <v>327</v>
      </c>
      <c r="AE62" s="700" t="s">
        <v>327</v>
      </c>
    </row>
    <row r="63" spans="1:33" ht="25.5" customHeight="1">
      <c r="AG63" s="623" t="s">
        <v>405</v>
      </c>
    </row>
    <row r="64" spans="1:33" ht="25.5" customHeight="1">
      <c r="B64" s="871" t="s">
        <v>406</v>
      </c>
      <c r="C64" s="872"/>
      <c r="D64" s="872"/>
      <c r="E64" s="872"/>
      <c r="F64" s="872"/>
      <c r="G64" s="872"/>
      <c r="H64" s="872"/>
      <c r="I64" s="872"/>
      <c r="J64" s="872"/>
      <c r="K64" s="872"/>
      <c r="L64" s="872"/>
      <c r="M64" s="872"/>
      <c r="N64" s="872"/>
      <c r="O64" s="872"/>
      <c r="P64" s="872"/>
      <c r="Q64" s="872"/>
      <c r="R64" s="872"/>
      <c r="S64" s="872"/>
      <c r="T64" s="872"/>
      <c r="U64" s="872"/>
      <c r="V64" s="872"/>
      <c r="W64" s="872"/>
      <c r="X64" s="872"/>
      <c r="Y64" s="872"/>
      <c r="Z64" s="872"/>
      <c r="AA64" s="872"/>
      <c r="AB64" s="872"/>
      <c r="AC64" s="872"/>
      <c r="AD64" s="872"/>
      <c r="AE64" s="872"/>
      <c r="AF64" s="873"/>
    </row>
    <row r="65" spans="1:32" ht="25.5" customHeight="1">
      <c r="A65" s="869" t="s">
        <v>407</v>
      </c>
      <c r="B65" s="633" t="s">
        <v>28</v>
      </c>
      <c r="C65" s="634" t="s">
        <v>9</v>
      </c>
      <c r="D65" s="634" t="s">
        <v>84</v>
      </c>
      <c r="E65" s="635" t="s">
        <v>85</v>
      </c>
      <c r="F65" s="634" t="s">
        <v>86</v>
      </c>
      <c r="G65" s="634" t="s">
        <v>87</v>
      </c>
      <c r="H65" s="634" t="s">
        <v>44</v>
      </c>
      <c r="I65" s="634" t="s">
        <v>28</v>
      </c>
      <c r="J65" s="634" t="s">
        <v>9</v>
      </c>
      <c r="K65" s="634" t="s">
        <v>84</v>
      </c>
      <c r="L65" s="635" t="s">
        <v>85</v>
      </c>
      <c r="M65" s="634" t="s">
        <v>86</v>
      </c>
      <c r="N65" s="634" t="s">
        <v>87</v>
      </c>
      <c r="O65" s="634" t="s">
        <v>44</v>
      </c>
      <c r="P65" s="634" t="s">
        <v>28</v>
      </c>
      <c r="Q65" s="634" t="s">
        <v>9</v>
      </c>
      <c r="R65" s="634" t="s">
        <v>84</v>
      </c>
      <c r="S65" s="635" t="s">
        <v>85</v>
      </c>
      <c r="T65" s="634" t="s">
        <v>86</v>
      </c>
      <c r="U65" s="634" t="s">
        <v>87</v>
      </c>
      <c r="V65" s="634" t="s">
        <v>44</v>
      </c>
      <c r="W65" s="634" t="s">
        <v>28</v>
      </c>
      <c r="X65" s="634" t="s">
        <v>9</v>
      </c>
      <c r="Y65" s="634" t="s">
        <v>84</v>
      </c>
      <c r="Z65" s="635" t="s">
        <v>85</v>
      </c>
      <c r="AA65" s="634" t="s">
        <v>86</v>
      </c>
      <c r="AB65" s="634" t="s">
        <v>87</v>
      </c>
      <c r="AC65" s="634" t="s">
        <v>44</v>
      </c>
      <c r="AD65" s="634" t="s">
        <v>28</v>
      </c>
      <c r="AE65" s="634" t="s">
        <v>9</v>
      </c>
      <c r="AF65" s="636" t="s">
        <v>84</v>
      </c>
    </row>
    <row r="66" spans="1:32" ht="25.5" customHeight="1">
      <c r="A66" s="870"/>
      <c r="B66" s="684">
        <v>1</v>
      </c>
      <c r="C66" s="702">
        <v>2</v>
      </c>
      <c r="D66" s="639">
        <v>3</v>
      </c>
      <c r="E66" s="639">
        <v>4</v>
      </c>
      <c r="F66" s="638">
        <v>5</v>
      </c>
      <c r="G66" s="638">
        <v>6</v>
      </c>
      <c r="H66" s="638">
        <v>7</v>
      </c>
      <c r="I66" s="638">
        <v>8</v>
      </c>
      <c r="J66" s="638">
        <v>9</v>
      </c>
      <c r="K66" s="639">
        <v>10</v>
      </c>
      <c r="L66" s="639">
        <v>11</v>
      </c>
      <c r="M66" s="638">
        <v>12</v>
      </c>
      <c r="N66" s="638">
        <v>13</v>
      </c>
      <c r="O66" s="638">
        <v>14</v>
      </c>
      <c r="P66" s="702">
        <v>15</v>
      </c>
      <c r="Q66" s="638">
        <v>16</v>
      </c>
      <c r="R66" s="639">
        <v>17</v>
      </c>
      <c r="S66" s="639">
        <v>18</v>
      </c>
      <c r="T66" s="638">
        <v>19</v>
      </c>
      <c r="U66" s="638">
        <v>20</v>
      </c>
      <c r="V66" s="638">
        <v>21</v>
      </c>
      <c r="W66" s="638">
        <v>22</v>
      </c>
      <c r="X66" s="638">
        <v>23</v>
      </c>
      <c r="Y66" s="639">
        <v>24</v>
      </c>
      <c r="Z66" s="639">
        <v>25</v>
      </c>
      <c r="AA66" s="638">
        <v>26</v>
      </c>
      <c r="AB66" s="638">
        <v>27</v>
      </c>
      <c r="AC66" s="638">
        <v>28</v>
      </c>
      <c r="AD66" s="638">
        <v>29</v>
      </c>
      <c r="AE66" s="640">
        <v>30</v>
      </c>
      <c r="AF66" s="641">
        <v>31</v>
      </c>
    </row>
    <row r="67" spans="1:32" ht="25.5" customHeight="1">
      <c r="A67" s="650" t="s">
        <v>345</v>
      </c>
      <c r="B67" s="642" t="s">
        <v>173</v>
      </c>
      <c r="C67" s="643" t="s">
        <v>173</v>
      </c>
      <c r="D67" s="579" t="s">
        <v>173</v>
      </c>
      <c r="E67" s="579" t="s">
        <v>173</v>
      </c>
      <c r="F67" s="602" t="s">
        <v>329</v>
      </c>
      <c r="G67" s="602" t="s">
        <v>329</v>
      </c>
      <c r="H67" s="602" t="s">
        <v>329</v>
      </c>
      <c r="I67" s="602" t="s">
        <v>329</v>
      </c>
      <c r="J67" s="602" t="s">
        <v>329</v>
      </c>
      <c r="K67" s="579" t="s">
        <v>173</v>
      </c>
      <c r="L67" s="579" t="s">
        <v>173</v>
      </c>
      <c r="M67" s="598" t="s">
        <v>654</v>
      </c>
      <c r="N67" s="602" t="s">
        <v>329</v>
      </c>
      <c r="O67" s="598" t="s">
        <v>654</v>
      </c>
      <c r="P67" s="643" t="s">
        <v>173</v>
      </c>
      <c r="Q67" s="602" t="s">
        <v>329</v>
      </c>
      <c r="R67" s="579" t="s">
        <v>173</v>
      </c>
      <c r="S67" s="579" t="s">
        <v>173</v>
      </c>
      <c r="T67" s="602" t="s">
        <v>329</v>
      </c>
      <c r="U67" s="602" t="s">
        <v>329</v>
      </c>
      <c r="V67" s="598" t="s">
        <v>654</v>
      </c>
      <c r="W67" s="602" t="s">
        <v>329</v>
      </c>
      <c r="X67" s="602" t="s">
        <v>329</v>
      </c>
      <c r="Y67" s="579" t="s">
        <v>173</v>
      </c>
      <c r="Z67" s="579" t="s">
        <v>173</v>
      </c>
      <c r="AA67" s="598" t="s">
        <v>667</v>
      </c>
      <c r="AB67" s="602" t="s">
        <v>329</v>
      </c>
      <c r="AC67" s="602" t="s">
        <v>329</v>
      </c>
      <c r="AD67" s="602" t="s">
        <v>329</v>
      </c>
      <c r="AE67" s="602" t="s">
        <v>329</v>
      </c>
      <c r="AF67" s="711" t="s">
        <v>173</v>
      </c>
    </row>
    <row r="68" spans="1:32" ht="25.5" customHeight="1">
      <c r="A68" s="678" t="s">
        <v>347</v>
      </c>
      <c r="B68" s="655" t="s">
        <v>173</v>
      </c>
      <c r="C68" s="656" t="s">
        <v>173</v>
      </c>
      <c r="D68" s="574" t="s">
        <v>173</v>
      </c>
      <c r="E68" s="574" t="s">
        <v>173</v>
      </c>
      <c r="F68" s="600" t="s">
        <v>329</v>
      </c>
      <c r="G68" s="600" t="s">
        <v>329</v>
      </c>
      <c r="H68" s="600" t="s">
        <v>329</v>
      </c>
      <c r="I68" s="600" t="s">
        <v>329</v>
      </c>
      <c r="J68" s="600" t="s">
        <v>329</v>
      </c>
      <c r="K68" s="574" t="s">
        <v>173</v>
      </c>
      <c r="L68" s="574" t="s">
        <v>173</v>
      </c>
      <c r="M68" s="600" t="s">
        <v>329</v>
      </c>
      <c r="N68" s="600" t="s">
        <v>329</v>
      </c>
      <c r="O68" s="600" t="s">
        <v>329</v>
      </c>
      <c r="P68" s="656" t="s">
        <v>173</v>
      </c>
      <c r="Q68" s="600" t="s">
        <v>329</v>
      </c>
      <c r="R68" s="574" t="s">
        <v>173</v>
      </c>
      <c r="S68" s="574" t="s">
        <v>173</v>
      </c>
      <c r="T68" s="600" t="s">
        <v>329</v>
      </c>
      <c r="U68" s="600" t="s">
        <v>329</v>
      </c>
      <c r="V68" s="600" t="s">
        <v>329</v>
      </c>
      <c r="W68" s="600" t="s">
        <v>329</v>
      </c>
      <c r="X68" s="600" t="s">
        <v>329</v>
      </c>
      <c r="Y68" s="574" t="s">
        <v>173</v>
      </c>
      <c r="Z68" s="574" t="s">
        <v>173</v>
      </c>
      <c r="AA68" s="600" t="s">
        <v>329</v>
      </c>
      <c r="AB68" s="600" t="s">
        <v>329</v>
      </c>
      <c r="AC68" s="600" t="s">
        <v>329</v>
      </c>
      <c r="AD68" s="600" t="s">
        <v>329</v>
      </c>
      <c r="AE68" s="600" t="s">
        <v>329</v>
      </c>
      <c r="AF68" s="712" t="s">
        <v>173</v>
      </c>
    </row>
    <row r="69" spans="1:32" ht="25.5" customHeight="1">
      <c r="A69" s="650" t="s">
        <v>349</v>
      </c>
      <c r="B69" s="662"/>
      <c r="C69" s="706"/>
      <c r="D69" s="574" t="s">
        <v>173</v>
      </c>
      <c r="E69" s="574" t="s">
        <v>173</v>
      </c>
      <c r="F69" s="573" t="s">
        <v>327</v>
      </c>
      <c r="G69" s="573" t="s">
        <v>327</v>
      </c>
      <c r="H69" s="573" t="s">
        <v>327</v>
      </c>
      <c r="I69" s="573" t="s">
        <v>327</v>
      </c>
      <c r="J69" s="573" t="s">
        <v>327</v>
      </c>
      <c r="K69" s="574" t="s">
        <v>173</v>
      </c>
      <c r="L69" s="574" t="s">
        <v>173</v>
      </c>
      <c r="M69" s="573" t="s">
        <v>327</v>
      </c>
      <c r="N69" s="573" t="s">
        <v>327</v>
      </c>
      <c r="O69" s="573" t="s">
        <v>327</v>
      </c>
      <c r="P69" s="706" t="s">
        <v>173</v>
      </c>
      <c r="Q69" s="572" t="s">
        <v>668</v>
      </c>
      <c r="R69" s="572" t="s">
        <v>352</v>
      </c>
      <c r="S69" s="649" t="s">
        <v>173</v>
      </c>
      <c r="T69" s="713" t="s">
        <v>669</v>
      </c>
      <c r="U69" s="713" t="s">
        <v>327</v>
      </c>
      <c r="V69" s="713" t="s">
        <v>327</v>
      </c>
      <c r="W69" s="572" t="s">
        <v>670</v>
      </c>
      <c r="X69" s="573" t="s">
        <v>327</v>
      </c>
      <c r="Y69" s="597" t="s">
        <v>9</v>
      </c>
      <c r="Z69" s="597" t="s">
        <v>9</v>
      </c>
      <c r="AA69" s="597" t="s">
        <v>9</v>
      </c>
      <c r="AB69" s="597" t="s">
        <v>9</v>
      </c>
      <c r="AC69" s="597" t="s">
        <v>9</v>
      </c>
      <c r="AD69" s="597" t="s">
        <v>9</v>
      </c>
      <c r="AE69" s="597" t="s">
        <v>9</v>
      </c>
      <c r="AF69" s="707" t="s">
        <v>9</v>
      </c>
    </row>
    <row r="70" spans="1:32" ht="25.5" customHeight="1">
      <c r="A70" s="654" t="s">
        <v>353</v>
      </c>
      <c r="B70" s="655" t="s">
        <v>173</v>
      </c>
      <c r="C70" s="656" t="s">
        <v>173</v>
      </c>
      <c r="D70" s="574" t="s">
        <v>173</v>
      </c>
      <c r="E70" s="574" t="s">
        <v>173</v>
      </c>
      <c r="F70" s="573" t="s">
        <v>327</v>
      </c>
      <c r="G70" s="573" t="s">
        <v>327</v>
      </c>
      <c r="H70" s="573" t="s">
        <v>327</v>
      </c>
      <c r="I70" s="573" t="s">
        <v>327</v>
      </c>
      <c r="J70" s="573" t="s">
        <v>327</v>
      </c>
      <c r="K70" s="574" t="s">
        <v>173</v>
      </c>
      <c r="L70" s="574" t="s">
        <v>173</v>
      </c>
      <c r="M70" s="600" t="s">
        <v>329</v>
      </c>
      <c r="N70" s="600" t="s">
        <v>329</v>
      </c>
      <c r="O70" s="600" t="s">
        <v>329</v>
      </c>
      <c r="P70" s="656" t="s">
        <v>173</v>
      </c>
      <c r="Q70" s="600" t="s">
        <v>329</v>
      </c>
      <c r="R70" s="687" t="s">
        <v>173</v>
      </c>
      <c r="S70" s="574" t="s">
        <v>173</v>
      </c>
      <c r="T70" s="573" t="s">
        <v>327</v>
      </c>
      <c r="U70" s="572" t="s">
        <v>671</v>
      </c>
      <c r="V70" s="688" t="s">
        <v>327</v>
      </c>
      <c r="W70" s="573" t="s">
        <v>669</v>
      </c>
      <c r="X70" s="573" t="s">
        <v>327</v>
      </c>
      <c r="Y70" s="578" t="s">
        <v>626</v>
      </c>
      <c r="Z70" s="574" t="s">
        <v>173</v>
      </c>
      <c r="AA70" s="600" t="s">
        <v>329</v>
      </c>
      <c r="AB70" s="600" t="s">
        <v>329</v>
      </c>
      <c r="AC70" s="572" t="s">
        <v>672</v>
      </c>
      <c r="AD70" s="600" t="s">
        <v>329</v>
      </c>
      <c r="AE70" s="600" t="s">
        <v>329</v>
      </c>
      <c r="AF70" s="712" t="s">
        <v>173</v>
      </c>
    </row>
    <row r="71" spans="1:32" ht="25.5" customHeight="1">
      <c r="A71" s="659" t="s">
        <v>627</v>
      </c>
      <c r="B71" s="662"/>
      <c r="C71" s="706"/>
      <c r="D71" s="574" t="s">
        <v>173</v>
      </c>
      <c r="E71" s="574" t="s">
        <v>173</v>
      </c>
      <c r="F71" s="576" t="s">
        <v>331</v>
      </c>
      <c r="G71" s="576" t="s">
        <v>331</v>
      </c>
      <c r="H71" s="576" t="s">
        <v>331</v>
      </c>
      <c r="I71" s="576" t="s">
        <v>331</v>
      </c>
      <c r="J71" s="576" t="s">
        <v>331</v>
      </c>
      <c r="K71" s="576" t="s">
        <v>14</v>
      </c>
      <c r="L71" s="576" t="s">
        <v>14</v>
      </c>
      <c r="M71" s="609" t="s">
        <v>325</v>
      </c>
      <c r="N71" s="609" t="s">
        <v>325</v>
      </c>
      <c r="O71" s="609" t="s">
        <v>325</v>
      </c>
      <c r="P71" s="706" t="s">
        <v>173</v>
      </c>
      <c r="Q71" s="609" t="s">
        <v>325</v>
      </c>
      <c r="R71" s="687" t="s">
        <v>173</v>
      </c>
      <c r="S71" s="574" t="s">
        <v>173</v>
      </c>
      <c r="T71" s="572" t="s">
        <v>373</v>
      </c>
      <c r="U71" s="714" t="s">
        <v>327</v>
      </c>
      <c r="V71" s="714" t="s">
        <v>669</v>
      </c>
      <c r="W71" s="577" t="s">
        <v>327</v>
      </c>
      <c r="X71" s="577" t="s">
        <v>327</v>
      </c>
      <c r="Y71" s="574"/>
      <c r="Z71" s="574" t="s">
        <v>173</v>
      </c>
      <c r="AA71" s="600" t="s">
        <v>329</v>
      </c>
      <c r="AB71" s="572" t="s">
        <v>673</v>
      </c>
      <c r="AC71" s="600" t="s">
        <v>329</v>
      </c>
      <c r="AD71" s="600" t="s">
        <v>329</v>
      </c>
      <c r="AE71" s="600" t="s">
        <v>329</v>
      </c>
      <c r="AF71" s="712"/>
    </row>
    <row r="72" spans="1:32" ht="25.5" customHeight="1">
      <c r="A72" s="661" t="s">
        <v>360</v>
      </c>
      <c r="B72" s="611" t="s">
        <v>14</v>
      </c>
      <c r="C72" s="576" t="s">
        <v>14</v>
      </c>
      <c r="D72" s="576" t="s">
        <v>14</v>
      </c>
      <c r="E72" s="576" t="s">
        <v>14</v>
      </c>
      <c r="F72" s="609" t="s">
        <v>325</v>
      </c>
      <c r="G72" s="609" t="s">
        <v>325</v>
      </c>
      <c r="H72" s="572" t="s">
        <v>674</v>
      </c>
      <c r="I72" s="572" t="s">
        <v>675</v>
      </c>
      <c r="J72" s="715" t="s">
        <v>325</v>
      </c>
      <c r="K72" s="649" t="s">
        <v>173</v>
      </c>
      <c r="L72" s="649" t="s">
        <v>173</v>
      </c>
      <c r="M72" s="716" t="s">
        <v>327</v>
      </c>
      <c r="N72" s="716" t="s">
        <v>327</v>
      </c>
      <c r="O72" s="717" t="s">
        <v>676</v>
      </c>
      <c r="P72" s="656" t="s">
        <v>173</v>
      </c>
      <c r="Q72" s="577" t="s">
        <v>327</v>
      </c>
      <c r="R72" s="687" t="s">
        <v>173</v>
      </c>
      <c r="S72" s="574" t="s">
        <v>173</v>
      </c>
      <c r="T72" s="600" t="s">
        <v>677</v>
      </c>
      <c r="U72" s="600" t="s">
        <v>329</v>
      </c>
      <c r="V72" s="690" t="s">
        <v>329</v>
      </c>
      <c r="W72" s="600" t="s">
        <v>329</v>
      </c>
      <c r="X72" s="600" t="s">
        <v>329</v>
      </c>
      <c r="Y72" s="574"/>
      <c r="Z72" s="574" t="s">
        <v>173</v>
      </c>
      <c r="AA72" s="576" t="s">
        <v>331</v>
      </c>
      <c r="AB72" s="576" t="s">
        <v>331</v>
      </c>
      <c r="AC72" s="576" t="s">
        <v>331</v>
      </c>
      <c r="AD72" s="576" t="s">
        <v>331</v>
      </c>
      <c r="AE72" s="576" t="s">
        <v>331</v>
      </c>
      <c r="AF72" s="610" t="s">
        <v>14</v>
      </c>
    </row>
    <row r="73" spans="1:32" ht="25.5" customHeight="1">
      <c r="A73" s="659" t="s">
        <v>363</v>
      </c>
      <c r="B73" s="662"/>
      <c r="C73" s="706"/>
      <c r="D73" s="574"/>
      <c r="E73" s="574"/>
      <c r="F73" s="573" t="s">
        <v>327</v>
      </c>
      <c r="G73" s="573" t="s">
        <v>327</v>
      </c>
      <c r="H73" s="573" t="s">
        <v>327</v>
      </c>
      <c r="I73" s="718" t="s">
        <v>12</v>
      </c>
      <c r="J73" s="718" t="s">
        <v>12</v>
      </c>
      <c r="K73" s="574"/>
      <c r="L73" s="574"/>
      <c r="M73" s="718" t="s">
        <v>12</v>
      </c>
      <c r="N73" s="718" t="s">
        <v>12</v>
      </c>
      <c r="O73" s="718" t="s">
        <v>12</v>
      </c>
      <c r="P73" s="719" t="s">
        <v>173</v>
      </c>
      <c r="Q73" s="600" t="s">
        <v>383</v>
      </c>
      <c r="R73" s="574"/>
      <c r="S73" s="658"/>
      <c r="T73" s="720" t="s">
        <v>331</v>
      </c>
      <c r="U73" s="720" t="s">
        <v>331</v>
      </c>
      <c r="V73" s="576" t="s">
        <v>331</v>
      </c>
      <c r="W73" s="576" t="s">
        <v>331</v>
      </c>
      <c r="X73" s="576" t="s">
        <v>331</v>
      </c>
      <c r="Y73" s="576" t="s">
        <v>14</v>
      </c>
      <c r="Z73" s="576" t="s">
        <v>14</v>
      </c>
      <c r="AA73" s="609" t="s">
        <v>325</v>
      </c>
      <c r="AB73" s="609" t="s">
        <v>325</v>
      </c>
      <c r="AC73" s="609" t="s">
        <v>325</v>
      </c>
      <c r="AD73" s="609" t="s">
        <v>325</v>
      </c>
      <c r="AE73" s="609" t="s">
        <v>325</v>
      </c>
      <c r="AF73" s="712"/>
    </row>
    <row r="74" spans="1:32" ht="25.5" customHeight="1">
      <c r="A74" s="665" t="s">
        <v>364</v>
      </c>
      <c r="B74" s="666" t="s">
        <v>173</v>
      </c>
      <c r="C74" s="667" t="s">
        <v>173</v>
      </c>
      <c r="D74" s="617" t="s">
        <v>173</v>
      </c>
      <c r="E74" s="617" t="s">
        <v>173</v>
      </c>
      <c r="F74" s="616" t="s">
        <v>329</v>
      </c>
      <c r="G74" s="616" t="s">
        <v>329</v>
      </c>
      <c r="H74" s="616" t="s">
        <v>329</v>
      </c>
      <c r="I74" s="616" t="s">
        <v>329</v>
      </c>
      <c r="J74" s="721" t="s">
        <v>678</v>
      </c>
      <c r="K74" s="698" t="s">
        <v>173</v>
      </c>
      <c r="L74" s="698" t="s">
        <v>173</v>
      </c>
      <c r="M74" s="699" t="s">
        <v>331</v>
      </c>
      <c r="N74" s="699" t="s">
        <v>331</v>
      </c>
      <c r="O74" s="699" t="s">
        <v>331</v>
      </c>
      <c r="P74" s="575" t="s">
        <v>14</v>
      </c>
      <c r="Q74" s="575" t="s">
        <v>331</v>
      </c>
      <c r="R74" s="575" t="s">
        <v>14</v>
      </c>
      <c r="S74" s="575" t="s">
        <v>14</v>
      </c>
      <c r="T74" s="618" t="s">
        <v>325</v>
      </c>
      <c r="U74" s="618" t="s">
        <v>325</v>
      </c>
      <c r="V74" s="618" t="s">
        <v>679</v>
      </c>
      <c r="W74" s="618" t="s">
        <v>679</v>
      </c>
      <c r="X74" s="618" t="s">
        <v>325</v>
      </c>
      <c r="Y74" s="617"/>
      <c r="Z74" s="722"/>
      <c r="AA74" s="721" t="s">
        <v>680</v>
      </c>
      <c r="AB74" s="620" t="s">
        <v>327</v>
      </c>
      <c r="AC74" s="620" t="s">
        <v>327</v>
      </c>
      <c r="AD74" s="620" t="s">
        <v>327</v>
      </c>
      <c r="AE74" s="620" t="s">
        <v>327</v>
      </c>
      <c r="AF74" s="723"/>
    </row>
    <row r="75" spans="1:32" ht="25.5" customHeight="1"/>
    <row r="76" spans="1:32" ht="25.5" customHeight="1">
      <c r="B76" s="915" t="s">
        <v>424</v>
      </c>
      <c r="C76" s="916"/>
      <c r="D76" s="916"/>
      <c r="E76" s="916"/>
      <c r="F76" s="916"/>
      <c r="G76" s="916"/>
      <c r="H76" s="916"/>
      <c r="I76" s="916"/>
      <c r="J76" s="916"/>
      <c r="K76" s="916"/>
      <c r="L76" s="916"/>
      <c r="M76" s="916"/>
      <c r="N76" s="916"/>
      <c r="O76" s="916"/>
      <c r="P76" s="916"/>
      <c r="Q76" s="916"/>
      <c r="R76" s="916"/>
      <c r="S76" s="916"/>
      <c r="T76" s="916"/>
      <c r="U76" s="916"/>
      <c r="V76" s="916"/>
      <c r="W76" s="916"/>
      <c r="X76" s="916"/>
      <c r="Y76" s="916"/>
      <c r="Z76" s="916"/>
      <c r="AA76" s="916"/>
      <c r="AB76" s="916"/>
      <c r="AC76" s="916"/>
      <c r="AD76" s="916"/>
      <c r="AE76" s="917"/>
    </row>
    <row r="77" spans="1:32" ht="25.5" customHeight="1">
      <c r="A77" s="869" t="s">
        <v>341</v>
      </c>
      <c r="B77" s="724" t="s">
        <v>85</v>
      </c>
      <c r="C77" s="682" t="s">
        <v>86</v>
      </c>
      <c r="D77" s="682" t="s">
        <v>87</v>
      </c>
      <c r="E77" s="682" t="s">
        <v>44</v>
      </c>
      <c r="F77" s="682" t="s">
        <v>28</v>
      </c>
      <c r="G77" s="682" t="s">
        <v>9</v>
      </c>
      <c r="H77" s="682" t="s">
        <v>84</v>
      </c>
      <c r="I77" s="681" t="s">
        <v>85</v>
      </c>
      <c r="J77" s="682" t="s">
        <v>86</v>
      </c>
      <c r="K77" s="682" t="s">
        <v>87</v>
      </c>
      <c r="L77" s="682" t="s">
        <v>44</v>
      </c>
      <c r="M77" s="682" t="s">
        <v>28</v>
      </c>
      <c r="N77" s="682" t="s">
        <v>9</v>
      </c>
      <c r="O77" s="682" t="s">
        <v>84</v>
      </c>
      <c r="P77" s="681" t="s">
        <v>85</v>
      </c>
      <c r="Q77" s="682" t="s">
        <v>86</v>
      </c>
      <c r="R77" s="682" t="s">
        <v>87</v>
      </c>
      <c r="S77" s="682" t="s">
        <v>44</v>
      </c>
      <c r="T77" s="682" t="s">
        <v>28</v>
      </c>
      <c r="U77" s="682" t="s">
        <v>9</v>
      </c>
      <c r="V77" s="682" t="s">
        <v>84</v>
      </c>
      <c r="W77" s="681" t="s">
        <v>85</v>
      </c>
      <c r="X77" s="682" t="s">
        <v>86</v>
      </c>
      <c r="Y77" s="682" t="s">
        <v>87</v>
      </c>
      <c r="Z77" s="682" t="s">
        <v>44</v>
      </c>
      <c r="AA77" s="682" t="s">
        <v>28</v>
      </c>
      <c r="AB77" s="682" t="s">
        <v>9</v>
      </c>
      <c r="AC77" s="682" t="s">
        <v>84</v>
      </c>
      <c r="AD77" s="681" t="s">
        <v>85</v>
      </c>
      <c r="AE77" s="683" t="s">
        <v>86</v>
      </c>
    </row>
    <row r="78" spans="1:32" ht="25.5" customHeight="1">
      <c r="A78" s="890"/>
      <c r="B78" s="725">
        <v>1</v>
      </c>
      <c r="C78" s="726">
        <v>2</v>
      </c>
      <c r="D78" s="726">
        <v>3</v>
      </c>
      <c r="E78" s="726">
        <v>4</v>
      </c>
      <c r="F78" s="726">
        <v>5</v>
      </c>
      <c r="G78" s="726">
        <v>6</v>
      </c>
      <c r="H78" s="727">
        <v>7</v>
      </c>
      <c r="I78" s="727">
        <v>8</v>
      </c>
      <c r="J78" s="726">
        <v>9</v>
      </c>
      <c r="K78" s="726">
        <v>10</v>
      </c>
      <c r="L78" s="726">
        <v>11</v>
      </c>
      <c r="M78" s="726">
        <v>12</v>
      </c>
      <c r="N78" s="726">
        <v>13</v>
      </c>
      <c r="O78" s="727">
        <v>14</v>
      </c>
      <c r="P78" s="727">
        <v>15</v>
      </c>
      <c r="Q78" s="726">
        <v>16</v>
      </c>
      <c r="R78" s="726">
        <v>17</v>
      </c>
      <c r="S78" s="638">
        <v>18</v>
      </c>
      <c r="T78" s="638">
        <v>19</v>
      </c>
      <c r="U78" s="638">
        <v>20</v>
      </c>
      <c r="V78" s="639">
        <v>21</v>
      </c>
      <c r="W78" s="639">
        <v>22</v>
      </c>
      <c r="X78" s="638">
        <v>23</v>
      </c>
      <c r="Y78" s="638">
        <v>24</v>
      </c>
      <c r="Z78" s="638">
        <v>25</v>
      </c>
      <c r="AA78" s="638">
        <v>26</v>
      </c>
      <c r="AB78" s="638">
        <v>27</v>
      </c>
      <c r="AC78" s="639">
        <v>28</v>
      </c>
      <c r="AD78" s="685">
        <v>29</v>
      </c>
      <c r="AE78" s="641">
        <v>30</v>
      </c>
    </row>
    <row r="79" spans="1:32" ht="25.5" customHeight="1">
      <c r="A79" s="650" t="s">
        <v>345</v>
      </c>
      <c r="B79" s="601" t="s">
        <v>173</v>
      </c>
      <c r="C79" s="602" t="s">
        <v>329</v>
      </c>
      <c r="D79" s="602" t="s">
        <v>329</v>
      </c>
      <c r="E79" s="602" t="s">
        <v>329</v>
      </c>
      <c r="F79" s="602" t="s">
        <v>329</v>
      </c>
      <c r="G79" s="602" t="s">
        <v>329</v>
      </c>
      <c r="H79" s="579" t="s">
        <v>173</v>
      </c>
      <c r="I79" s="579" t="s">
        <v>173</v>
      </c>
      <c r="J79" s="602" t="s">
        <v>329</v>
      </c>
      <c r="K79" s="602" t="s">
        <v>329</v>
      </c>
      <c r="L79" s="602" t="s">
        <v>329</v>
      </c>
      <c r="M79" s="602" t="s">
        <v>329</v>
      </c>
      <c r="N79" s="602" t="s">
        <v>329</v>
      </c>
      <c r="O79" s="579" t="s">
        <v>173</v>
      </c>
      <c r="P79" s="603" t="s">
        <v>681</v>
      </c>
      <c r="Q79" s="602" t="s">
        <v>329</v>
      </c>
      <c r="R79" s="602" t="s">
        <v>329</v>
      </c>
      <c r="S79" s="602" t="s">
        <v>329</v>
      </c>
      <c r="T79" s="602" t="s">
        <v>329</v>
      </c>
      <c r="U79" s="602" t="s">
        <v>329</v>
      </c>
      <c r="V79" s="579" t="s">
        <v>173</v>
      </c>
      <c r="W79" s="579" t="s">
        <v>173</v>
      </c>
      <c r="X79" s="602" t="s">
        <v>329</v>
      </c>
      <c r="Y79" s="602" t="s">
        <v>329</v>
      </c>
      <c r="Z79" s="602" t="s">
        <v>329</v>
      </c>
      <c r="AA79" s="602" t="s">
        <v>329</v>
      </c>
      <c r="AB79" s="580" t="s">
        <v>9</v>
      </c>
      <c r="AC79" s="580" t="s">
        <v>9</v>
      </c>
      <c r="AD79" s="580" t="s">
        <v>9</v>
      </c>
      <c r="AE79" s="604" t="s">
        <v>329</v>
      </c>
    </row>
    <row r="80" spans="1:32" ht="25.5" customHeight="1">
      <c r="A80" s="678" t="s">
        <v>347</v>
      </c>
      <c r="B80" s="605" t="s">
        <v>173</v>
      </c>
      <c r="C80" s="600" t="s">
        <v>329</v>
      </c>
      <c r="D80" s="600" t="s">
        <v>329</v>
      </c>
      <c r="E80" s="600" t="s">
        <v>329</v>
      </c>
      <c r="F80" s="600" t="s">
        <v>329</v>
      </c>
      <c r="G80" s="600" t="s">
        <v>329</v>
      </c>
      <c r="H80" s="574" t="s">
        <v>173</v>
      </c>
      <c r="I80" s="574" t="s">
        <v>173</v>
      </c>
      <c r="J80" s="600" t="s">
        <v>383</v>
      </c>
      <c r="K80" s="600" t="s">
        <v>383</v>
      </c>
      <c r="L80" s="600" t="s">
        <v>383</v>
      </c>
      <c r="M80" s="600" t="s">
        <v>383</v>
      </c>
      <c r="N80" s="600" t="s">
        <v>329</v>
      </c>
      <c r="O80" s="574" t="s">
        <v>173</v>
      </c>
      <c r="P80" s="574" t="s">
        <v>173</v>
      </c>
      <c r="Q80" s="600" t="s">
        <v>383</v>
      </c>
      <c r="R80" s="600" t="s">
        <v>383</v>
      </c>
      <c r="S80" s="600" t="s">
        <v>383</v>
      </c>
      <c r="T80" s="600" t="s">
        <v>383</v>
      </c>
      <c r="U80" s="600" t="s">
        <v>329</v>
      </c>
      <c r="V80" s="574" t="s">
        <v>173</v>
      </c>
      <c r="W80" s="574" t="s">
        <v>173</v>
      </c>
      <c r="X80" s="600" t="s">
        <v>329</v>
      </c>
      <c r="Y80" s="600" t="s">
        <v>329</v>
      </c>
      <c r="Z80" s="600" t="s">
        <v>329</v>
      </c>
      <c r="AA80" s="600" t="s">
        <v>329</v>
      </c>
      <c r="AB80" s="600" t="s">
        <v>329</v>
      </c>
      <c r="AC80" s="574" t="s">
        <v>173</v>
      </c>
      <c r="AD80" s="574" t="s">
        <v>173</v>
      </c>
      <c r="AE80" s="606" t="s">
        <v>329</v>
      </c>
    </row>
    <row r="81" spans="1:32" ht="25.5" customHeight="1">
      <c r="A81" s="650" t="s">
        <v>349</v>
      </c>
      <c r="B81" s="607" t="s">
        <v>9</v>
      </c>
      <c r="C81" s="573" t="s">
        <v>327</v>
      </c>
      <c r="D81" s="573" t="s">
        <v>327</v>
      </c>
      <c r="E81" s="573" t="s">
        <v>327</v>
      </c>
      <c r="F81" s="573" t="s">
        <v>327</v>
      </c>
      <c r="G81" s="572" t="s">
        <v>668</v>
      </c>
      <c r="H81" s="572" t="s">
        <v>352</v>
      </c>
      <c r="I81" s="574" t="s">
        <v>173</v>
      </c>
      <c r="J81" s="573" t="s">
        <v>327</v>
      </c>
      <c r="K81" s="573" t="s">
        <v>327</v>
      </c>
      <c r="L81" s="573" t="s">
        <v>327</v>
      </c>
      <c r="M81" s="573" t="s">
        <v>327</v>
      </c>
      <c r="N81" s="573" t="s">
        <v>327</v>
      </c>
      <c r="O81" s="574" t="s">
        <v>173</v>
      </c>
      <c r="P81" s="574" t="s">
        <v>173</v>
      </c>
      <c r="Q81" s="573" t="s">
        <v>327</v>
      </c>
      <c r="R81" s="573" t="s">
        <v>327</v>
      </c>
      <c r="S81" s="573" t="s">
        <v>327</v>
      </c>
      <c r="T81" s="573" t="s">
        <v>327</v>
      </c>
      <c r="U81" s="573" t="s">
        <v>327</v>
      </c>
      <c r="V81" s="574" t="s">
        <v>173</v>
      </c>
      <c r="W81" s="574" t="s">
        <v>173</v>
      </c>
      <c r="X81" s="573" t="s">
        <v>327</v>
      </c>
      <c r="Y81" s="573" t="s">
        <v>327</v>
      </c>
      <c r="Z81" s="573" t="s">
        <v>327</v>
      </c>
      <c r="AA81" s="573" t="s">
        <v>327</v>
      </c>
      <c r="AB81" s="578" t="s">
        <v>668</v>
      </c>
      <c r="AC81" s="578" t="s">
        <v>352</v>
      </c>
      <c r="AD81" s="574" t="s">
        <v>173</v>
      </c>
      <c r="AE81" s="608" t="s">
        <v>327</v>
      </c>
    </row>
    <row r="82" spans="1:32" ht="25.5" customHeight="1">
      <c r="A82" s="654" t="s">
        <v>353</v>
      </c>
      <c r="B82" s="605" t="s">
        <v>173</v>
      </c>
      <c r="C82" s="573" t="s">
        <v>327</v>
      </c>
      <c r="D82" s="573" t="s">
        <v>327</v>
      </c>
      <c r="E82" s="573" t="s">
        <v>327</v>
      </c>
      <c r="F82" s="573" t="s">
        <v>327</v>
      </c>
      <c r="G82" s="573" t="s">
        <v>327</v>
      </c>
      <c r="H82" s="574" t="s">
        <v>173</v>
      </c>
      <c r="I82" s="574" t="s">
        <v>173</v>
      </c>
      <c r="J82" s="600" t="s">
        <v>383</v>
      </c>
      <c r="K82" s="600" t="s">
        <v>383</v>
      </c>
      <c r="L82" s="600" t="s">
        <v>383</v>
      </c>
      <c r="M82" s="600" t="s">
        <v>383</v>
      </c>
      <c r="N82" s="600" t="s">
        <v>329</v>
      </c>
      <c r="O82" s="574" t="s">
        <v>173</v>
      </c>
      <c r="P82" s="574" t="s">
        <v>173</v>
      </c>
      <c r="Q82" s="573" t="s">
        <v>327</v>
      </c>
      <c r="R82" s="573" t="s">
        <v>327</v>
      </c>
      <c r="S82" s="573" t="s">
        <v>327</v>
      </c>
      <c r="T82" s="573" t="s">
        <v>327</v>
      </c>
      <c r="U82" s="578" t="s">
        <v>682</v>
      </c>
      <c r="V82" s="578" t="s">
        <v>683</v>
      </c>
      <c r="W82" s="574" t="s">
        <v>173</v>
      </c>
      <c r="X82" s="600" t="s">
        <v>329</v>
      </c>
      <c r="Y82" s="578" t="s">
        <v>684</v>
      </c>
      <c r="Z82" s="600" t="s">
        <v>329</v>
      </c>
      <c r="AA82" s="578" t="s">
        <v>684</v>
      </c>
      <c r="AB82" s="600" t="s">
        <v>329</v>
      </c>
      <c r="AC82" s="574" t="s">
        <v>173</v>
      </c>
      <c r="AD82" s="574" t="s">
        <v>173</v>
      </c>
      <c r="AE82" s="608" t="s">
        <v>327</v>
      </c>
    </row>
    <row r="83" spans="1:32" ht="25.5" customHeight="1">
      <c r="A83" s="659" t="s">
        <v>627</v>
      </c>
      <c r="B83" s="605" t="s">
        <v>173</v>
      </c>
      <c r="C83" s="576" t="s">
        <v>331</v>
      </c>
      <c r="D83" s="576" t="s">
        <v>331</v>
      </c>
      <c r="E83" s="576" t="s">
        <v>331</v>
      </c>
      <c r="F83" s="576" t="s">
        <v>331</v>
      </c>
      <c r="G83" s="576" t="s">
        <v>331</v>
      </c>
      <c r="H83" s="576" t="s">
        <v>14</v>
      </c>
      <c r="I83" s="576" t="s">
        <v>14</v>
      </c>
      <c r="J83" s="609" t="s">
        <v>325</v>
      </c>
      <c r="K83" s="609" t="s">
        <v>325</v>
      </c>
      <c r="L83" s="609" t="s">
        <v>325</v>
      </c>
      <c r="M83" s="609" t="s">
        <v>325</v>
      </c>
      <c r="N83" s="609" t="s">
        <v>325</v>
      </c>
      <c r="O83" s="574" t="s">
        <v>173</v>
      </c>
      <c r="P83" s="574" t="s">
        <v>173</v>
      </c>
      <c r="Q83" s="577" t="s">
        <v>327</v>
      </c>
      <c r="R83" s="577" t="s">
        <v>327</v>
      </c>
      <c r="S83" s="577" t="s">
        <v>327</v>
      </c>
      <c r="T83" s="577" t="s">
        <v>327</v>
      </c>
      <c r="U83" s="577" t="s">
        <v>327</v>
      </c>
      <c r="V83" s="574" t="s">
        <v>173</v>
      </c>
      <c r="W83" s="574" t="s">
        <v>173</v>
      </c>
      <c r="X83" s="600" t="s">
        <v>329</v>
      </c>
      <c r="Y83" s="600" t="s">
        <v>329</v>
      </c>
      <c r="Z83" s="600" t="s">
        <v>329</v>
      </c>
      <c r="AA83" s="600" t="s">
        <v>329</v>
      </c>
      <c r="AB83" s="600" t="s">
        <v>329</v>
      </c>
      <c r="AC83" s="574"/>
      <c r="AD83" s="574" t="s">
        <v>173</v>
      </c>
      <c r="AE83" s="610" t="s">
        <v>331</v>
      </c>
    </row>
    <row r="84" spans="1:32" ht="25.5" customHeight="1">
      <c r="A84" s="661" t="s">
        <v>360</v>
      </c>
      <c r="B84" s="611" t="s">
        <v>14</v>
      </c>
      <c r="C84" s="609" t="s">
        <v>325</v>
      </c>
      <c r="D84" s="609" t="s">
        <v>325</v>
      </c>
      <c r="E84" s="609" t="s">
        <v>325</v>
      </c>
      <c r="F84" s="609" t="s">
        <v>325</v>
      </c>
      <c r="G84" s="609" t="s">
        <v>325</v>
      </c>
      <c r="H84" s="574"/>
      <c r="I84" s="574" t="s">
        <v>173</v>
      </c>
      <c r="J84" s="577" t="s">
        <v>327</v>
      </c>
      <c r="K84" s="577" t="s">
        <v>327</v>
      </c>
      <c r="L84" s="577" t="s">
        <v>327</v>
      </c>
      <c r="M84" s="577" t="s">
        <v>327</v>
      </c>
      <c r="N84" s="577" t="s">
        <v>327</v>
      </c>
      <c r="O84" s="612" t="s">
        <v>685</v>
      </c>
      <c r="P84" s="574" t="s">
        <v>173</v>
      </c>
      <c r="Q84" s="600" t="s">
        <v>329</v>
      </c>
      <c r="R84" s="600" t="s">
        <v>329</v>
      </c>
      <c r="S84" s="600" t="s">
        <v>329</v>
      </c>
      <c r="T84" s="597" t="s">
        <v>9</v>
      </c>
      <c r="U84" s="597" t="s">
        <v>9</v>
      </c>
      <c r="V84" s="597" t="s">
        <v>9</v>
      </c>
      <c r="W84" s="597" t="s">
        <v>9</v>
      </c>
      <c r="X84" s="576" t="s">
        <v>331</v>
      </c>
      <c r="Y84" s="576" t="s">
        <v>331</v>
      </c>
      <c r="Z84" s="576" t="s">
        <v>331</v>
      </c>
      <c r="AA84" s="576" t="s">
        <v>331</v>
      </c>
      <c r="AB84" s="576" t="s">
        <v>331</v>
      </c>
      <c r="AC84" s="576" t="s">
        <v>14</v>
      </c>
      <c r="AD84" s="576" t="s">
        <v>14</v>
      </c>
      <c r="AE84" s="613" t="s">
        <v>325</v>
      </c>
    </row>
    <row r="85" spans="1:32" ht="25.5" customHeight="1">
      <c r="A85" s="659" t="s">
        <v>363</v>
      </c>
      <c r="B85" s="605"/>
      <c r="C85" s="573" t="s">
        <v>327</v>
      </c>
      <c r="D85" s="573" t="s">
        <v>327</v>
      </c>
      <c r="E85" s="573" t="s">
        <v>327</v>
      </c>
      <c r="F85" s="573" t="s">
        <v>327</v>
      </c>
      <c r="G85" s="573" t="s">
        <v>327</v>
      </c>
      <c r="H85" s="574"/>
      <c r="I85" s="574"/>
      <c r="J85" s="600" t="s">
        <v>383</v>
      </c>
      <c r="K85" s="600" t="s">
        <v>383</v>
      </c>
      <c r="L85" s="600" t="s">
        <v>383</v>
      </c>
      <c r="M85" s="600" t="s">
        <v>383</v>
      </c>
      <c r="N85" s="600" t="s">
        <v>329</v>
      </c>
      <c r="O85" s="574" t="s">
        <v>173</v>
      </c>
      <c r="P85" s="574"/>
      <c r="Q85" s="576" t="s">
        <v>331</v>
      </c>
      <c r="R85" s="576" t="s">
        <v>331</v>
      </c>
      <c r="S85" s="576" t="s">
        <v>331</v>
      </c>
      <c r="T85" s="576" t="s">
        <v>331</v>
      </c>
      <c r="U85" s="576" t="s">
        <v>331</v>
      </c>
      <c r="V85" s="576" t="s">
        <v>14</v>
      </c>
      <c r="W85" s="576" t="s">
        <v>14</v>
      </c>
      <c r="X85" s="609" t="s">
        <v>325</v>
      </c>
      <c r="Y85" s="609" t="s">
        <v>325</v>
      </c>
      <c r="Z85" s="614" t="s">
        <v>686</v>
      </c>
      <c r="AA85" s="609" t="s">
        <v>325</v>
      </c>
      <c r="AB85" s="578" t="s">
        <v>675</v>
      </c>
      <c r="AC85" s="578" t="s">
        <v>683</v>
      </c>
      <c r="AD85" s="574" t="s">
        <v>173</v>
      </c>
      <c r="AE85" s="608" t="s">
        <v>327</v>
      </c>
    </row>
    <row r="86" spans="1:32" ht="25.5" customHeight="1">
      <c r="A86" s="665" t="s">
        <v>364</v>
      </c>
      <c r="B86" s="615" t="s">
        <v>173</v>
      </c>
      <c r="C86" s="616" t="s">
        <v>329</v>
      </c>
      <c r="D86" s="616" t="s">
        <v>329</v>
      </c>
      <c r="E86" s="616" t="s">
        <v>329</v>
      </c>
      <c r="F86" s="616" t="s">
        <v>329</v>
      </c>
      <c r="G86" s="616" t="s">
        <v>329</v>
      </c>
      <c r="H86" s="617" t="s">
        <v>173</v>
      </c>
      <c r="I86" s="617" t="s">
        <v>173</v>
      </c>
      <c r="J86" s="575" t="s">
        <v>331</v>
      </c>
      <c r="K86" s="575" t="s">
        <v>331</v>
      </c>
      <c r="L86" s="575" t="s">
        <v>331</v>
      </c>
      <c r="M86" s="575" t="s">
        <v>331</v>
      </c>
      <c r="N86" s="575" t="s">
        <v>331</v>
      </c>
      <c r="O86" s="575" t="s">
        <v>14</v>
      </c>
      <c r="P86" s="575" t="s">
        <v>14</v>
      </c>
      <c r="Q86" s="618" t="s">
        <v>325</v>
      </c>
      <c r="R86" s="618" t="s">
        <v>325</v>
      </c>
      <c r="S86" s="618" t="s">
        <v>325</v>
      </c>
      <c r="T86" s="619" t="s">
        <v>686</v>
      </c>
      <c r="U86" s="618" t="s">
        <v>325</v>
      </c>
      <c r="V86" s="617"/>
      <c r="W86" s="617" t="s">
        <v>173</v>
      </c>
      <c r="X86" s="620" t="s">
        <v>327</v>
      </c>
      <c r="Y86" s="620" t="s">
        <v>327</v>
      </c>
      <c r="Z86" s="620" t="s">
        <v>327</v>
      </c>
      <c r="AA86" s="620" t="s">
        <v>327</v>
      </c>
      <c r="AB86" s="620" t="s">
        <v>327</v>
      </c>
      <c r="AC86" s="617"/>
      <c r="AD86" s="617" t="s">
        <v>173</v>
      </c>
      <c r="AE86" s="621" t="s">
        <v>329</v>
      </c>
    </row>
    <row r="87" spans="1:32" ht="25.5" customHeight="1">
      <c r="AB87" s="578" t="s">
        <v>684</v>
      </c>
    </row>
    <row r="88" spans="1:32" ht="25.5" customHeight="1">
      <c r="B88" s="877" t="s">
        <v>425</v>
      </c>
      <c r="C88" s="878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O88" s="878"/>
      <c r="P88" s="878"/>
      <c r="Q88" s="878"/>
      <c r="R88" s="878"/>
      <c r="S88" s="878"/>
      <c r="T88" s="878"/>
      <c r="U88" s="878"/>
      <c r="V88" s="878"/>
      <c r="W88" s="878"/>
      <c r="X88" s="878"/>
      <c r="Y88" s="878"/>
      <c r="Z88" s="878"/>
      <c r="AA88" s="878"/>
      <c r="AB88" s="878"/>
      <c r="AC88" s="878"/>
      <c r="AD88" s="878"/>
      <c r="AE88" s="878"/>
      <c r="AF88" s="879"/>
    </row>
    <row r="89" spans="1:32" ht="25.5" customHeight="1">
      <c r="A89" s="869" t="s">
        <v>341</v>
      </c>
      <c r="B89" s="633" t="s">
        <v>87</v>
      </c>
      <c r="C89" s="634" t="s">
        <v>44</v>
      </c>
      <c r="D89" s="634" t="s">
        <v>28</v>
      </c>
      <c r="E89" s="634" t="s">
        <v>9</v>
      </c>
      <c r="F89" s="634" t="s">
        <v>84</v>
      </c>
      <c r="G89" s="635" t="s">
        <v>85</v>
      </c>
      <c r="H89" s="634" t="s">
        <v>86</v>
      </c>
      <c r="I89" s="634" t="s">
        <v>87</v>
      </c>
      <c r="J89" s="634" t="s">
        <v>44</v>
      </c>
      <c r="K89" s="634" t="s">
        <v>28</v>
      </c>
      <c r="L89" s="634" t="s">
        <v>9</v>
      </c>
      <c r="M89" s="634" t="s">
        <v>84</v>
      </c>
      <c r="N89" s="635" t="s">
        <v>85</v>
      </c>
      <c r="O89" s="634" t="s">
        <v>86</v>
      </c>
      <c r="P89" s="634" t="s">
        <v>87</v>
      </c>
      <c r="Q89" s="634" t="s">
        <v>44</v>
      </c>
      <c r="R89" s="634" t="s">
        <v>28</v>
      </c>
      <c r="S89" s="634" t="s">
        <v>9</v>
      </c>
      <c r="T89" s="634" t="s">
        <v>84</v>
      </c>
      <c r="U89" s="635" t="s">
        <v>85</v>
      </c>
      <c r="V89" s="634" t="s">
        <v>86</v>
      </c>
      <c r="W89" s="634" t="s">
        <v>87</v>
      </c>
      <c r="X89" s="634" t="s">
        <v>44</v>
      </c>
      <c r="Y89" s="634" t="s">
        <v>28</v>
      </c>
      <c r="Z89" s="634" t="s">
        <v>9</v>
      </c>
      <c r="AA89" s="634" t="s">
        <v>84</v>
      </c>
      <c r="AB89" s="635" t="s">
        <v>85</v>
      </c>
      <c r="AC89" s="634" t="s">
        <v>86</v>
      </c>
      <c r="AD89" s="634" t="s">
        <v>87</v>
      </c>
      <c r="AE89" s="634" t="s">
        <v>44</v>
      </c>
      <c r="AF89" s="636" t="s">
        <v>28</v>
      </c>
    </row>
    <row r="90" spans="1:32" ht="25.5" customHeight="1">
      <c r="A90" s="890"/>
      <c r="B90" s="728">
        <v>1</v>
      </c>
      <c r="C90" s="726">
        <v>2</v>
      </c>
      <c r="D90" s="638">
        <v>3</v>
      </c>
      <c r="E90" s="638">
        <v>4</v>
      </c>
      <c r="F90" s="639">
        <v>5</v>
      </c>
      <c r="G90" s="639">
        <v>6</v>
      </c>
      <c r="H90" s="638">
        <v>7</v>
      </c>
      <c r="I90" s="638">
        <v>8</v>
      </c>
      <c r="J90" s="638">
        <v>9</v>
      </c>
      <c r="K90" s="638">
        <v>10</v>
      </c>
      <c r="L90" s="638">
        <v>11</v>
      </c>
      <c r="M90" s="639">
        <v>12</v>
      </c>
      <c r="N90" s="639">
        <v>13</v>
      </c>
      <c r="O90" s="638">
        <v>14</v>
      </c>
      <c r="P90" s="638">
        <v>15</v>
      </c>
      <c r="Q90" s="638">
        <v>16</v>
      </c>
      <c r="R90" s="638">
        <v>17</v>
      </c>
      <c r="S90" s="638">
        <v>18</v>
      </c>
      <c r="T90" s="639">
        <v>19</v>
      </c>
      <c r="U90" s="639">
        <v>20</v>
      </c>
      <c r="V90" s="638">
        <v>21</v>
      </c>
      <c r="W90" s="638">
        <v>22</v>
      </c>
      <c r="X90" s="638">
        <v>23</v>
      </c>
      <c r="Y90" s="638">
        <v>24</v>
      </c>
      <c r="Z90" s="639">
        <v>25</v>
      </c>
      <c r="AA90" s="639">
        <v>26</v>
      </c>
      <c r="AB90" s="639">
        <v>27</v>
      </c>
      <c r="AC90" s="638">
        <v>28</v>
      </c>
      <c r="AD90" s="638">
        <v>29</v>
      </c>
      <c r="AE90" s="640">
        <v>30</v>
      </c>
      <c r="AF90" s="641">
        <v>31</v>
      </c>
    </row>
    <row r="91" spans="1:32" ht="25.5" customHeight="1">
      <c r="A91" s="650" t="s">
        <v>345</v>
      </c>
      <c r="B91" s="729" t="s">
        <v>327</v>
      </c>
      <c r="C91" s="730" t="s">
        <v>327</v>
      </c>
      <c r="D91" s="598" t="s">
        <v>687</v>
      </c>
      <c r="E91" s="598" t="s">
        <v>687</v>
      </c>
      <c r="F91" s="579" t="s">
        <v>173</v>
      </c>
      <c r="G91" s="579" t="s">
        <v>173</v>
      </c>
      <c r="H91" s="598" t="s">
        <v>688</v>
      </c>
      <c r="I91" s="730" t="s">
        <v>327</v>
      </c>
      <c r="J91" s="580" t="s">
        <v>9</v>
      </c>
      <c r="K91" s="580" t="s">
        <v>9</v>
      </c>
      <c r="L91" s="730" t="s">
        <v>327</v>
      </c>
      <c r="M91" s="579" t="s">
        <v>173</v>
      </c>
      <c r="N91" s="579" t="s">
        <v>173</v>
      </c>
      <c r="O91" s="730" t="s">
        <v>327</v>
      </c>
      <c r="P91" s="730" t="s">
        <v>327</v>
      </c>
      <c r="Q91" s="598" t="s">
        <v>689</v>
      </c>
      <c r="R91" s="730" t="s">
        <v>327</v>
      </c>
      <c r="S91" s="730" t="s">
        <v>327</v>
      </c>
      <c r="T91" s="579" t="s">
        <v>173</v>
      </c>
      <c r="U91" s="579" t="s">
        <v>173</v>
      </c>
      <c r="V91" s="730" t="s">
        <v>327</v>
      </c>
      <c r="W91" s="730" t="s">
        <v>327</v>
      </c>
      <c r="X91" s="730" t="s">
        <v>327</v>
      </c>
      <c r="Y91" s="730" t="s">
        <v>327</v>
      </c>
      <c r="Z91" s="731" t="s">
        <v>173</v>
      </c>
      <c r="AA91" s="579" t="s">
        <v>173</v>
      </c>
      <c r="AB91" s="579" t="s">
        <v>173</v>
      </c>
      <c r="AC91" s="730" t="s">
        <v>327</v>
      </c>
      <c r="AD91" s="730" t="s">
        <v>327</v>
      </c>
      <c r="AE91" s="730" t="s">
        <v>327</v>
      </c>
      <c r="AF91" s="732" t="s">
        <v>327</v>
      </c>
    </row>
    <row r="92" spans="1:32" ht="25.5" customHeight="1">
      <c r="A92" s="678" t="s">
        <v>347</v>
      </c>
      <c r="B92" s="704" t="s">
        <v>329</v>
      </c>
      <c r="C92" s="600" t="s">
        <v>329</v>
      </c>
      <c r="D92" s="600" t="s">
        <v>329</v>
      </c>
      <c r="E92" s="600" t="s">
        <v>329</v>
      </c>
      <c r="F92" s="574" t="s">
        <v>173</v>
      </c>
      <c r="G92" s="574" t="s">
        <v>173</v>
      </c>
      <c r="H92" s="600" t="s">
        <v>329</v>
      </c>
      <c r="I92" s="600" t="s">
        <v>329</v>
      </c>
      <c r="J92" s="600" t="s">
        <v>329</v>
      </c>
      <c r="K92" s="600" t="s">
        <v>329</v>
      </c>
      <c r="L92" s="600" t="s">
        <v>329</v>
      </c>
      <c r="M92" s="574" t="s">
        <v>173</v>
      </c>
      <c r="N92" s="574" t="s">
        <v>173</v>
      </c>
      <c r="O92" s="600" t="s">
        <v>329</v>
      </c>
      <c r="P92" s="600" t="s">
        <v>329</v>
      </c>
      <c r="Q92" s="600" t="s">
        <v>329</v>
      </c>
      <c r="R92" s="600" t="s">
        <v>329</v>
      </c>
      <c r="S92" s="600" t="s">
        <v>329</v>
      </c>
      <c r="T92" s="574" t="s">
        <v>173</v>
      </c>
      <c r="U92" s="574" t="s">
        <v>173</v>
      </c>
      <c r="V92" s="600" t="s">
        <v>329</v>
      </c>
      <c r="W92" s="600" t="s">
        <v>329</v>
      </c>
      <c r="X92" s="600" t="s">
        <v>329</v>
      </c>
      <c r="Y92" s="600" t="s">
        <v>329</v>
      </c>
      <c r="Z92" s="706" t="s">
        <v>173</v>
      </c>
      <c r="AA92" s="574" t="s">
        <v>173</v>
      </c>
      <c r="AB92" s="574" t="s">
        <v>173</v>
      </c>
      <c r="AC92" s="600" t="s">
        <v>329</v>
      </c>
      <c r="AD92" s="600" t="s">
        <v>329</v>
      </c>
      <c r="AE92" s="600" t="s">
        <v>329</v>
      </c>
      <c r="AF92" s="606" t="s">
        <v>329</v>
      </c>
    </row>
    <row r="93" spans="1:32" ht="25.5" customHeight="1">
      <c r="A93" s="650" t="s">
        <v>349</v>
      </c>
      <c r="B93" s="705" t="s">
        <v>327</v>
      </c>
      <c r="C93" s="573" t="s">
        <v>327</v>
      </c>
      <c r="D93" s="573" t="s">
        <v>327</v>
      </c>
      <c r="E93" s="573" t="s">
        <v>327</v>
      </c>
      <c r="F93" s="574" t="s">
        <v>173</v>
      </c>
      <c r="G93" s="574" t="s">
        <v>173</v>
      </c>
      <c r="H93" s="597" t="s">
        <v>9</v>
      </c>
      <c r="I93" s="597" t="s">
        <v>9</v>
      </c>
      <c r="J93" s="597" t="s">
        <v>9</v>
      </c>
      <c r="K93" s="597" t="s">
        <v>9</v>
      </c>
      <c r="L93" s="597" t="s">
        <v>9</v>
      </c>
      <c r="M93" s="597" t="s">
        <v>9</v>
      </c>
      <c r="N93" s="597" t="s">
        <v>9</v>
      </c>
      <c r="O93" s="597" t="s">
        <v>9</v>
      </c>
      <c r="P93" s="597" t="s">
        <v>9</v>
      </c>
      <c r="Q93" s="597" t="s">
        <v>9</v>
      </c>
      <c r="R93" s="597" t="s">
        <v>9</v>
      </c>
      <c r="S93" s="597" t="s">
        <v>9</v>
      </c>
      <c r="T93" s="597" t="s">
        <v>9</v>
      </c>
      <c r="U93" s="597" t="s">
        <v>9</v>
      </c>
      <c r="V93" s="573" t="s">
        <v>327</v>
      </c>
      <c r="W93" s="573" t="s">
        <v>327</v>
      </c>
      <c r="X93" s="573" t="s">
        <v>327</v>
      </c>
      <c r="Y93" s="573" t="s">
        <v>327</v>
      </c>
      <c r="Z93" s="706" t="s">
        <v>173</v>
      </c>
      <c r="AA93" s="574" t="s">
        <v>173</v>
      </c>
      <c r="AB93" s="574" t="s">
        <v>173</v>
      </c>
      <c r="AC93" s="573" t="s">
        <v>327</v>
      </c>
      <c r="AD93" s="573" t="s">
        <v>327</v>
      </c>
      <c r="AE93" s="573" t="s">
        <v>327</v>
      </c>
      <c r="AF93" s="608" t="s">
        <v>327</v>
      </c>
    </row>
    <row r="94" spans="1:32" ht="25.5" customHeight="1">
      <c r="A94" s="654" t="s">
        <v>353</v>
      </c>
      <c r="B94" s="705" t="s">
        <v>327</v>
      </c>
      <c r="C94" s="573" t="s">
        <v>327</v>
      </c>
      <c r="D94" s="573" t="s">
        <v>327</v>
      </c>
      <c r="E94" s="573" t="s">
        <v>327</v>
      </c>
      <c r="F94" s="574" t="s">
        <v>173</v>
      </c>
      <c r="G94" s="574" t="s">
        <v>173</v>
      </c>
      <c r="H94" s="573" t="s">
        <v>327</v>
      </c>
      <c r="I94" s="573" t="s">
        <v>327</v>
      </c>
      <c r="J94" s="573" t="s">
        <v>327</v>
      </c>
      <c r="K94" s="573" t="s">
        <v>327</v>
      </c>
      <c r="L94" s="573" t="s">
        <v>327</v>
      </c>
      <c r="M94" s="574" t="s">
        <v>173</v>
      </c>
      <c r="N94" s="574" t="s">
        <v>173</v>
      </c>
      <c r="O94" s="573" t="s">
        <v>327</v>
      </c>
      <c r="P94" s="572" t="s">
        <v>687</v>
      </c>
      <c r="Q94" s="573" t="s">
        <v>327</v>
      </c>
      <c r="R94" s="573" t="s">
        <v>327</v>
      </c>
      <c r="S94" s="573" t="s">
        <v>327</v>
      </c>
      <c r="T94" s="574" t="s">
        <v>173</v>
      </c>
      <c r="U94" s="574" t="s">
        <v>173</v>
      </c>
      <c r="V94" s="573" t="s">
        <v>327</v>
      </c>
      <c r="W94" s="573" t="s">
        <v>327</v>
      </c>
      <c r="X94" s="573" t="s">
        <v>327</v>
      </c>
      <c r="Y94" s="573" t="s">
        <v>327</v>
      </c>
      <c r="Z94" s="706" t="s">
        <v>173</v>
      </c>
      <c r="AA94" s="574" t="s">
        <v>173</v>
      </c>
      <c r="AB94" s="574" t="s">
        <v>173</v>
      </c>
      <c r="AC94" s="573" t="s">
        <v>327</v>
      </c>
      <c r="AD94" s="573" t="s">
        <v>327</v>
      </c>
      <c r="AE94" s="573" t="s">
        <v>327</v>
      </c>
      <c r="AF94" s="608" t="s">
        <v>327</v>
      </c>
    </row>
    <row r="95" spans="1:32" ht="25.5" customHeight="1">
      <c r="A95" s="659" t="s">
        <v>627</v>
      </c>
      <c r="B95" s="611" t="s">
        <v>331</v>
      </c>
      <c r="C95" s="576" t="s">
        <v>331</v>
      </c>
      <c r="D95" s="576" t="s">
        <v>331</v>
      </c>
      <c r="E95" s="576" t="s">
        <v>331</v>
      </c>
      <c r="F95" s="576" t="s">
        <v>14</v>
      </c>
      <c r="G95" s="576" t="s">
        <v>14</v>
      </c>
      <c r="H95" s="572" t="s">
        <v>690</v>
      </c>
      <c r="I95" s="572" t="s">
        <v>691</v>
      </c>
      <c r="J95" s="609" t="s">
        <v>325</v>
      </c>
      <c r="K95" s="609" t="s">
        <v>325</v>
      </c>
      <c r="L95" s="609" t="s">
        <v>325</v>
      </c>
      <c r="M95" s="574" t="s">
        <v>173</v>
      </c>
      <c r="N95" s="574" t="s">
        <v>173</v>
      </c>
      <c r="O95" s="577" t="s">
        <v>327</v>
      </c>
      <c r="P95" s="573" t="s">
        <v>327</v>
      </c>
      <c r="Q95" s="577" t="s">
        <v>327</v>
      </c>
      <c r="R95" s="572" t="s">
        <v>687</v>
      </c>
      <c r="S95" s="577" t="s">
        <v>327</v>
      </c>
      <c r="T95" s="574" t="s">
        <v>173</v>
      </c>
      <c r="U95" s="574" t="s">
        <v>173</v>
      </c>
      <c r="V95" s="600" t="s">
        <v>329</v>
      </c>
      <c r="W95" s="600" t="s">
        <v>329</v>
      </c>
      <c r="X95" s="600" t="s">
        <v>329</v>
      </c>
      <c r="Y95" s="600" t="s">
        <v>329</v>
      </c>
      <c r="Z95" s="706" t="s">
        <v>173</v>
      </c>
      <c r="AA95" s="574" t="s">
        <v>173</v>
      </c>
      <c r="AB95" s="574" t="s">
        <v>173</v>
      </c>
      <c r="AC95" s="576" t="s">
        <v>331</v>
      </c>
      <c r="AD95" s="576" t="s">
        <v>331</v>
      </c>
      <c r="AE95" s="576" t="s">
        <v>331</v>
      </c>
      <c r="AF95" s="610" t="s">
        <v>331</v>
      </c>
    </row>
    <row r="96" spans="1:32" ht="25.5" customHeight="1">
      <c r="A96" s="661" t="s">
        <v>360</v>
      </c>
      <c r="B96" s="709" t="s">
        <v>325</v>
      </c>
      <c r="C96" s="609" t="s">
        <v>325</v>
      </c>
      <c r="D96" s="609" t="s">
        <v>325</v>
      </c>
      <c r="E96" s="609" t="s">
        <v>325</v>
      </c>
      <c r="F96" s="574" t="s">
        <v>173</v>
      </c>
      <c r="G96" s="574" t="s">
        <v>173</v>
      </c>
      <c r="H96" s="597" t="s">
        <v>9</v>
      </c>
      <c r="I96" s="597" t="s">
        <v>9</v>
      </c>
      <c r="J96" s="597" t="s">
        <v>9</v>
      </c>
      <c r="K96" s="597" t="s">
        <v>9</v>
      </c>
      <c r="L96" s="597" t="s">
        <v>9</v>
      </c>
      <c r="M96" s="597" t="s">
        <v>9</v>
      </c>
      <c r="N96" s="597" t="s">
        <v>9</v>
      </c>
      <c r="O96" s="597" t="s">
        <v>9</v>
      </c>
      <c r="P96" s="597" t="s">
        <v>9</v>
      </c>
      <c r="Q96" s="597" t="s">
        <v>9</v>
      </c>
      <c r="R96" s="597" t="s">
        <v>9</v>
      </c>
      <c r="S96" s="597" t="s">
        <v>9</v>
      </c>
      <c r="T96" s="597" t="s">
        <v>9</v>
      </c>
      <c r="U96" s="597" t="s">
        <v>9</v>
      </c>
      <c r="V96" s="576" t="s">
        <v>331</v>
      </c>
      <c r="W96" s="576" t="s">
        <v>331</v>
      </c>
      <c r="X96" s="576" t="s">
        <v>331</v>
      </c>
      <c r="Y96" s="576" t="s">
        <v>331</v>
      </c>
      <c r="Z96" s="576" t="s">
        <v>14</v>
      </c>
      <c r="AA96" s="576" t="s">
        <v>14</v>
      </c>
      <c r="AB96" s="576" t="s">
        <v>14</v>
      </c>
      <c r="AC96" s="609" t="s">
        <v>325</v>
      </c>
      <c r="AD96" s="609" t="s">
        <v>325</v>
      </c>
      <c r="AE96" s="609" t="s">
        <v>325</v>
      </c>
      <c r="AF96" s="613" t="s">
        <v>325</v>
      </c>
    </row>
    <row r="97" spans="1:32" ht="25.5" customHeight="1">
      <c r="A97" s="659" t="s">
        <v>363</v>
      </c>
      <c r="B97" s="705" t="s">
        <v>327</v>
      </c>
      <c r="C97" s="573" t="s">
        <v>327</v>
      </c>
      <c r="D97" s="573" t="s">
        <v>327</v>
      </c>
      <c r="E97" s="573" t="s">
        <v>327</v>
      </c>
      <c r="F97" s="574"/>
      <c r="G97" s="574"/>
      <c r="H97" s="597" t="s">
        <v>9</v>
      </c>
      <c r="I97" s="597" t="s">
        <v>9</v>
      </c>
      <c r="J97" s="597" t="s">
        <v>9</v>
      </c>
      <c r="K97" s="597" t="s">
        <v>9</v>
      </c>
      <c r="L97" s="597" t="s">
        <v>9</v>
      </c>
      <c r="M97" s="597" t="s">
        <v>9</v>
      </c>
      <c r="N97" s="597" t="s">
        <v>9</v>
      </c>
      <c r="O97" s="576" t="s">
        <v>331</v>
      </c>
      <c r="P97" s="576" t="s">
        <v>331</v>
      </c>
      <c r="Q97" s="576" t="s">
        <v>331</v>
      </c>
      <c r="R97" s="576" t="s">
        <v>331</v>
      </c>
      <c r="S97" s="576" t="s">
        <v>331</v>
      </c>
      <c r="T97" s="576" t="s">
        <v>14</v>
      </c>
      <c r="U97" s="576" t="s">
        <v>14</v>
      </c>
      <c r="V97" s="609" t="s">
        <v>325</v>
      </c>
      <c r="W97" s="609" t="s">
        <v>325</v>
      </c>
      <c r="X97" s="572" t="s">
        <v>692</v>
      </c>
      <c r="Y97" s="609" t="s">
        <v>325</v>
      </c>
      <c r="Z97" s="706" t="s">
        <v>173</v>
      </c>
      <c r="AA97" s="574"/>
      <c r="AB97" s="574"/>
      <c r="AC97" s="577" t="s">
        <v>327</v>
      </c>
      <c r="AD97" s="578" t="s">
        <v>693</v>
      </c>
      <c r="AE97" s="577" t="s">
        <v>327</v>
      </c>
      <c r="AF97" s="679" t="s">
        <v>327</v>
      </c>
    </row>
    <row r="98" spans="1:32" ht="25.5" customHeight="1">
      <c r="A98" s="665" t="s">
        <v>364</v>
      </c>
      <c r="B98" s="733" t="s">
        <v>329</v>
      </c>
      <c r="C98" s="616" t="s">
        <v>329</v>
      </c>
      <c r="D98" s="616" t="s">
        <v>329</v>
      </c>
      <c r="E98" s="599" t="s">
        <v>694</v>
      </c>
      <c r="F98" s="599" t="s">
        <v>352</v>
      </c>
      <c r="G98" s="617" t="s">
        <v>173</v>
      </c>
      <c r="H98" s="575" t="s">
        <v>331</v>
      </c>
      <c r="I98" s="575" t="s">
        <v>331</v>
      </c>
      <c r="J98" s="575" t="s">
        <v>331</v>
      </c>
      <c r="K98" s="575" t="s">
        <v>331</v>
      </c>
      <c r="L98" s="575" t="s">
        <v>331</v>
      </c>
      <c r="M98" s="575" t="s">
        <v>14</v>
      </c>
      <c r="N98" s="575" t="s">
        <v>14</v>
      </c>
      <c r="O98" s="599" t="s">
        <v>687</v>
      </c>
      <c r="P98" s="618" t="s">
        <v>325</v>
      </c>
      <c r="Q98" s="599" t="s">
        <v>695</v>
      </c>
      <c r="R98" s="618" t="s">
        <v>325</v>
      </c>
      <c r="S98" s="618" t="s">
        <v>325</v>
      </c>
      <c r="T98" s="617" t="s">
        <v>173</v>
      </c>
      <c r="U98" s="617" t="s">
        <v>173</v>
      </c>
      <c r="V98" s="620" t="s">
        <v>327</v>
      </c>
      <c r="W98" s="620" t="s">
        <v>327</v>
      </c>
      <c r="X98" s="620" t="s">
        <v>327</v>
      </c>
      <c r="Y98" s="620" t="s">
        <v>327</v>
      </c>
      <c r="Z98" s="667" t="s">
        <v>173</v>
      </c>
      <c r="AA98" s="617" t="s">
        <v>173</v>
      </c>
      <c r="AB98" s="617" t="s">
        <v>173</v>
      </c>
      <c r="AC98" s="734" t="s">
        <v>9</v>
      </c>
      <c r="AD98" s="734" t="s">
        <v>9</v>
      </c>
      <c r="AE98" s="734" t="s">
        <v>9</v>
      </c>
      <c r="AF98" s="735" t="s">
        <v>9</v>
      </c>
    </row>
    <row r="99" spans="1:32" ht="25.5" customHeight="1"/>
    <row r="100" spans="1:32" ht="25.5" customHeight="1">
      <c r="B100" s="915" t="s">
        <v>427</v>
      </c>
      <c r="C100" s="916"/>
      <c r="D100" s="916"/>
      <c r="E100" s="916"/>
      <c r="F100" s="916"/>
      <c r="G100" s="916"/>
      <c r="H100" s="916"/>
      <c r="I100" s="916"/>
      <c r="J100" s="916"/>
      <c r="K100" s="916"/>
      <c r="L100" s="916"/>
      <c r="M100" s="916"/>
      <c r="N100" s="916"/>
      <c r="O100" s="916"/>
      <c r="P100" s="916"/>
      <c r="Q100" s="916"/>
      <c r="R100" s="916"/>
      <c r="S100" s="916"/>
      <c r="T100" s="916"/>
      <c r="U100" s="916"/>
      <c r="V100" s="916"/>
      <c r="W100" s="916"/>
      <c r="X100" s="916"/>
      <c r="Y100" s="916"/>
      <c r="Z100" s="916"/>
      <c r="AA100" s="916"/>
      <c r="AB100" s="916"/>
      <c r="AC100" s="916"/>
      <c r="AD100" s="916"/>
      <c r="AE100" s="916"/>
      <c r="AF100" s="917"/>
    </row>
    <row r="101" spans="1:32" ht="25.5" customHeight="1">
      <c r="A101" s="869" t="s">
        <v>341</v>
      </c>
      <c r="B101" s="680" t="s">
        <v>9</v>
      </c>
      <c r="C101" s="682" t="s">
        <v>84</v>
      </c>
      <c r="D101" s="681" t="s">
        <v>85</v>
      </c>
      <c r="E101" s="682" t="s">
        <v>86</v>
      </c>
      <c r="F101" s="682" t="s">
        <v>87</v>
      </c>
      <c r="G101" s="682" t="s">
        <v>44</v>
      </c>
      <c r="H101" s="682" t="s">
        <v>28</v>
      </c>
      <c r="I101" s="682" t="s">
        <v>9</v>
      </c>
      <c r="J101" s="682" t="s">
        <v>84</v>
      </c>
      <c r="K101" s="681" t="s">
        <v>85</v>
      </c>
      <c r="L101" s="682" t="s">
        <v>86</v>
      </c>
      <c r="M101" s="682" t="s">
        <v>87</v>
      </c>
      <c r="N101" s="682" t="s">
        <v>44</v>
      </c>
      <c r="O101" s="682" t="s">
        <v>28</v>
      </c>
      <c r="P101" s="682" t="s">
        <v>9</v>
      </c>
      <c r="Q101" s="682" t="s">
        <v>84</v>
      </c>
      <c r="R101" s="681" t="s">
        <v>85</v>
      </c>
      <c r="S101" s="682" t="s">
        <v>86</v>
      </c>
      <c r="T101" s="682" t="s">
        <v>87</v>
      </c>
      <c r="U101" s="682" t="s">
        <v>44</v>
      </c>
      <c r="V101" s="682" t="s">
        <v>28</v>
      </c>
      <c r="W101" s="682" t="s">
        <v>9</v>
      </c>
      <c r="X101" s="682" t="s">
        <v>84</v>
      </c>
      <c r="Y101" s="681" t="s">
        <v>85</v>
      </c>
      <c r="Z101" s="682" t="s">
        <v>86</v>
      </c>
      <c r="AA101" s="682" t="s">
        <v>87</v>
      </c>
      <c r="AB101" s="682" t="s">
        <v>44</v>
      </c>
      <c r="AC101" s="682" t="s">
        <v>28</v>
      </c>
      <c r="AD101" s="682" t="s">
        <v>9</v>
      </c>
      <c r="AE101" s="682" t="s">
        <v>84</v>
      </c>
      <c r="AF101" s="736" t="s">
        <v>85</v>
      </c>
    </row>
    <row r="102" spans="1:32" ht="25.5" customHeight="1">
      <c r="A102" s="890"/>
      <c r="B102" s="701">
        <v>1</v>
      </c>
      <c r="C102" s="685">
        <v>2</v>
      </c>
      <c r="D102" s="639">
        <v>3</v>
      </c>
      <c r="E102" s="638">
        <v>4</v>
      </c>
      <c r="F102" s="638">
        <v>5</v>
      </c>
      <c r="G102" s="638">
        <v>6</v>
      </c>
      <c r="H102" s="638">
        <v>7</v>
      </c>
      <c r="I102" s="638">
        <v>8</v>
      </c>
      <c r="J102" s="639">
        <v>9</v>
      </c>
      <c r="K102" s="639">
        <v>10</v>
      </c>
      <c r="L102" s="638">
        <v>11</v>
      </c>
      <c r="M102" s="638">
        <v>12</v>
      </c>
      <c r="N102" s="638">
        <v>13</v>
      </c>
      <c r="O102" s="638">
        <v>14</v>
      </c>
      <c r="P102" s="639">
        <v>15</v>
      </c>
      <c r="Q102" s="639">
        <v>16</v>
      </c>
      <c r="R102" s="639">
        <v>17</v>
      </c>
      <c r="S102" s="638">
        <v>18</v>
      </c>
      <c r="T102" s="638">
        <v>19</v>
      </c>
      <c r="U102" s="638">
        <v>20</v>
      </c>
      <c r="V102" s="638">
        <v>21</v>
      </c>
      <c r="W102" s="638">
        <v>22</v>
      </c>
      <c r="X102" s="639">
        <v>23</v>
      </c>
      <c r="Y102" s="639">
        <v>24</v>
      </c>
      <c r="Z102" s="638">
        <v>25</v>
      </c>
      <c r="AA102" s="638">
        <v>26</v>
      </c>
      <c r="AB102" s="638">
        <v>27</v>
      </c>
      <c r="AC102" s="638">
        <v>28</v>
      </c>
      <c r="AD102" s="638">
        <v>29</v>
      </c>
      <c r="AE102" s="685">
        <v>30</v>
      </c>
      <c r="AF102" s="737">
        <v>31</v>
      </c>
    </row>
    <row r="103" spans="1:32" ht="25.5" customHeight="1">
      <c r="A103" s="650" t="s">
        <v>345</v>
      </c>
      <c r="B103" s="729" t="s">
        <v>327</v>
      </c>
      <c r="C103" s="579" t="s">
        <v>173</v>
      </c>
      <c r="D103" s="579" t="s">
        <v>173</v>
      </c>
      <c r="E103" s="602" t="s">
        <v>329</v>
      </c>
      <c r="F103" s="602" t="s">
        <v>329</v>
      </c>
      <c r="G103" s="602" t="s">
        <v>329</v>
      </c>
      <c r="H103" s="602" t="s">
        <v>329</v>
      </c>
      <c r="I103" s="602" t="s">
        <v>329</v>
      </c>
      <c r="J103" s="579" t="s">
        <v>173</v>
      </c>
      <c r="K103" s="579" t="s">
        <v>173</v>
      </c>
      <c r="L103" s="580" t="s">
        <v>9</v>
      </c>
      <c r="M103" s="580" t="s">
        <v>9</v>
      </c>
      <c r="N103" s="580" t="s">
        <v>9</v>
      </c>
      <c r="O103" s="580" t="s">
        <v>9</v>
      </c>
      <c r="P103" s="580" t="s">
        <v>9</v>
      </c>
      <c r="Q103" s="580" t="s">
        <v>9</v>
      </c>
      <c r="R103" s="580" t="s">
        <v>9</v>
      </c>
      <c r="S103" s="580" t="s">
        <v>9</v>
      </c>
      <c r="T103" s="580" t="s">
        <v>9</v>
      </c>
      <c r="U103" s="580" t="s">
        <v>9</v>
      </c>
      <c r="V103" s="580" t="s">
        <v>9</v>
      </c>
      <c r="W103" s="580" t="s">
        <v>9</v>
      </c>
      <c r="X103" s="580" t="s">
        <v>9</v>
      </c>
      <c r="Y103" s="580" t="s">
        <v>9</v>
      </c>
      <c r="Z103" s="730" t="s">
        <v>327</v>
      </c>
      <c r="AA103" s="730" t="s">
        <v>327</v>
      </c>
      <c r="AB103" s="730" t="s">
        <v>327</v>
      </c>
      <c r="AC103" s="730" t="s">
        <v>327</v>
      </c>
      <c r="AD103" s="730" t="s">
        <v>327</v>
      </c>
      <c r="AE103" s="579" t="s">
        <v>173</v>
      </c>
      <c r="AF103" s="711" t="s">
        <v>173</v>
      </c>
    </row>
    <row r="104" spans="1:32" ht="25.5" customHeight="1">
      <c r="A104" s="678" t="s">
        <v>347</v>
      </c>
      <c r="B104" s="704" t="s">
        <v>329</v>
      </c>
      <c r="C104" s="574" t="s">
        <v>173</v>
      </c>
      <c r="D104" s="574" t="s">
        <v>173</v>
      </c>
      <c r="E104" s="600" t="s">
        <v>329</v>
      </c>
      <c r="F104" s="600" t="s">
        <v>329</v>
      </c>
      <c r="G104" s="600" t="s">
        <v>329</v>
      </c>
      <c r="H104" s="600" t="s">
        <v>329</v>
      </c>
      <c r="I104" s="600" t="s">
        <v>329</v>
      </c>
      <c r="J104" s="574" t="s">
        <v>173</v>
      </c>
      <c r="K104" s="574" t="s">
        <v>173</v>
      </c>
      <c r="L104" s="600" t="s">
        <v>329</v>
      </c>
      <c r="M104" s="600" t="s">
        <v>329</v>
      </c>
      <c r="N104" s="600" t="s">
        <v>329</v>
      </c>
      <c r="O104" s="600" t="s">
        <v>329</v>
      </c>
      <c r="P104" s="706" t="s">
        <v>173</v>
      </c>
      <c r="Q104" s="574" t="s">
        <v>173</v>
      </c>
      <c r="R104" s="574" t="s">
        <v>173</v>
      </c>
      <c r="S104" s="600" t="s">
        <v>329</v>
      </c>
      <c r="T104" s="600" t="s">
        <v>329</v>
      </c>
      <c r="U104" s="600" t="s">
        <v>329</v>
      </c>
      <c r="V104" s="600" t="s">
        <v>329</v>
      </c>
      <c r="W104" s="600" t="s">
        <v>329</v>
      </c>
      <c r="X104" s="574" t="s">
        <v>173</v>
      </c>
      <c r="Y104" s="574" t="s">
        <v>173</v>
      </c>
      <c r="Z104" s="600" t="s">
        <v>329</v>
      </c>
      <c r="AA104" s="600" t="s">
        <v>329</v>
      </c>
      <c r="AB104" s="600" t="s">
        <v>329</v>
      </c>
      <c r="AC104" s="600" t="s">
        <v>329</v>
      </c>
      <c r="AD104" s="600" t="s">
        <v>329</v>
      </c>
      <c r="AE104" s="574" t="s">
        <v>173</v>
      </c>
      <c r="AF104" s="712" t="s">
        <v>173</v>
      </c>
    </row>
    <row r="105" spans="1:32" ht="25.5" customHeight="1">
      <c r="A105" s="650" t="s">
        <v>349</v>
      </c>
      <c r="B105" s="705" t="s">
        <v>327</v>
      </c>
      <c r="C105" s="574" t="s">
        <v>173</v>
      </c>
      <c r="D105" s="574" t="s">
        <v>173</v>
      </c>
      <c r="E105" s="573" t="s">
        <v>327</v>
      </c>
      <c r="F105" s="573" t="s">
        <v>327</v>
      </c>
      <c r="G105" s="573" t="s">
        <v>327</v>
      </c>
      <c r="H105" s="573" t="s">
        <v>327</v>
      </c>
      <c r="I105" s="573" t="s">
        <v>327</v>
      </c>
      <c r="J105" s="574" t="s">
        <v>173</v>
      </c>
      <c r="K105" s="574" t="s">
        <v>173</v>
      </c>
      <c r="L105" s="600" t="s">
        <v>329</v>
      </c>
      <c r="M105" s="600" t="s">
        <v>329</v>
      </c>
      <c r="N105" s="600" t="s">
        <v>329</v>
      </c>
      <c r="O105" s="600" t="s">
        <v>329</v>
      </c>
      <c r="P105" s="706" t="s">
        <v>173</v>
      </c>
      <c r="Q105" s="574" t="s">
        <v>173</v>
      </c>
      <c r="R105" s="574" t="s">
        <v>173</v>
      </c>
      <c r="S105" s="573" t="s">
        <v>327</v>
      </c>
      <c r="T105" s="614" t="s">
        <v>696</v>
      </c>
      <c r="U105" s="572" t="s">
        <v>697</v>
      </c>
      <c r="V105" s="573" t="s">
        <v>327</v>
      </c>
      <c r="W105" s="713" t="s">
        <v>327</v>
      </c>
      <c r="X105" s="649" t="s">
        <v>173</v>
      </c>
      <c r="Y105" s="649" t="s">
        <v>173</v>
      </c>
      <c r="Z105" s="573" t="s">
        <v>327</v>
      </c>
      <c r="AA105" s="573" t="s">
        <v>327</v>
      </c>
      <c r="AB105" s="573" t="s">
        <v>327</v>
      </c>
      <c r="AC105" s="573" t="s">
        <v>327</v>
      </c>
      <c r="AD105" s="573" t="s">
        <v>327</v>
      </c>
      <c r="AE105" s="574" t="s">
        <v>173</v>
      </c>
      <c r="AF105" s="712" t="s">
        <v>173</v>
      </c>
    </row>
    <row r="106" spans="1:32" ht="25.5" customHeight="1">
      <c r="A106" s="654" t="s">
        <v>353</v>
      </c>
      <c r="B106" s="705" t="s">
        <v>327</v>
      </c>
      <c r="C106" s="574" t="s">
        <v>173</v>
      </c>
      <c r="D106" s="574" t="s">
        <v>173</v>
      </c>
      <c r="E106" s="573" t="s">
        <v>327</v>
      </c>
      <c r="F106" s="573" t="s">
        <v>327</v>
      </c>
      <c r="G106" s="573" t="s">
        <v>327</v>
      </c>
      <c r="H106" s="573" t="s">
        <v>327</v>
      </c>
      <c r="I106" s="573" t="s">
        <v>327</v>
      </c>
      <c r="J106" s="574" t="s">
        <v>173</v>
      </c>
      <c r="K106" s="574" t="s">
        <v>173</v>
      </c>
      <c r="L106" s="573" t="s">
        <v>327</v>
      </c>
      <c r="M106" s="573" t="s">
        <v>327</v>
      </c>
      <c r="N106" s="573" t="s">
        <v>327</v>
      </c>
      <c r="O106" s="573" t="s">
        <v>327</v>
      </c>
      <c r="P106" s="706" t="s">
        <v>173</v>
      </c>
      <c r="Q106" s="574" t="s">
        <v>173</v>
      </c>
      <c r="R106" s="574" t="s">
        <v>173</v>
      </c>
      <c r="S106" s="614" t="s">
        <v>698</v>
      </c>
      <c r="T106" s="614" t="s">
        <v>698</v>
      </c>
      <c r="U106" s="751" t="s">
        <v>699</v>
      </c>
      <c r="V106" s="614" t="s">
        <v>698</v>
      </c>
      <c r="W106" s="614" t="s">
        <v>698</v>
      </c>
      <c r="X106" s="574" t="s">
        <v>173</v>
      </c>
      <c r="Y106" s="574" t="s">
        <v>173</v>
      </c>
      <c r="Z106" s="688" t="s">
        <v>327</v>
      </c>
      <c r="AA106" s="573" t="s">
        <v>327</v>
      </c>
      <c r="AB106" s="573" t="s">
        <v>327</v>
      </c>
      <c r="AC106" s="573" t="s">
        <v>327</v>
      </c>
      <c r="AD106" s="573" t="s">
        <v>327</v>
      </c>
      <c r="AE106" s="574" t="s">
        <v>173</v>
      </c>
      <c r="AF106" s="712" t="s">
        <v>173</v>
      </c>
    </row>
    <row r="107" spans="1:32" ht="25.5" customHeight="1">
      <c r="A107" s="659" t="s">
        <v>627</v>
      </c>
      <c r="B107" s="611" t="s">
        <v>331</v>
      </c>
      <c r="C107" s="576" t="s">
        <v>14</v>
      </c>
      <c r="D107" s="576" t="s">
        <v>14</v>
      </c>
      <c r="E107" s="609" t="s">
        <v>325</v>
      </c>
      <c r="F107" s="609" t="s">
        <v>325</v>
      </c>
      <c r="G107" s="609" t="s">
        <v>325</v>
      </c>
      <c r="H107" s="609" t="s">
        <v>325</v>
      </c>
      <c r="I107" s="609" t="s">
        <v>325</v>
      </c>
      <c r="J107" s="574" t="s">
        <v>173</v>
      </c>
      <c r="K107" s="574" t="s">
        <v>173</v>
      </c>
      <c r="L107" s="578" t="s">
        <v>700</v>
      </c>
      <c r="M107" s="577" t="s">
        <v>327</v>
      </c>
      <c r="N107" s="577" t="s">
        <v>327</v>
      </c>
      <c r="O107" s="577" t="s">
        <v>327</v>
      </c>
      <c r="P107" s="706" t="s">
        <v>173</v>
      </c>
      <c r="Q107" s="574" t="s">
        <v>173</v>
      </c>
      <c r="R107" s="574" t="s">
        <v>173</v>
      </c>
      <c r="S107" s="573" t="s">
        <v>327</v>
      </c>
      <c r="T107" s="573" t="s">
        <v>327</v>
      </c>
      <c r="U107" s="573" t="s">
        <v>327</v>
      </c>
      <c r="V107" s="651" t="s">
        <v>327</v>
      </c>
      <c r="W107" s="578" t="s">
        <v>668</v>
      </c>
      <c r="X107" s="572" t="s">
        <v>352</v>
      </c>
      <c r="Y107" s="574" t="s">
        <v>173</v>
      </c>
      <c r="Z107" s="748" t="s">
        <v>331</v>
      </c>
      <c r="AA107" s="576" t="s">
        <v>331</v>
      </c>
      <c r="AB107" s="576" t="s">
        <v>331</v>
      </c>
      <c r="AC107" s="576" t="s">
        <v>331</v>
      </c>
      <c r="AD107" s="576" t="s">
        <v>331</v>
      </c>
      <c r="AE107" s="576" t="s">
        <v>14</v>
      </c>
      <c r="AF107" s="610" t="s">
        <v>14</v>
      </c>
    </row>
    <row r="108" spans="1:32" ht="25.5" customHeight="1">
      <c r="A108" s="661" t="s">
        <v>360</v>
      </c>
      <c r="B108" s="709" t="s">
        <v>325</v>
      </c>
      <c r="C108" s="574" t="s">
        <v>173</v>
      </c>
      <c r="D108" s="574" t="s">
        <v>173</v>
      </c>
      <c r="E108" s="576" t="s">
        <v>331</v>
      </c>
      <c r="F108" s="576" t="s">
        <v>331</v>
      </c>
      <c r="G108" s="576" t="s">
        <v>331</v>
      </c>
      <c r="H108" s="576" t="s">
        <v>331</v>
      </c>
      <c r="I108" s="576" t="s">
        <v>331</v>
      </c>
      <c r="J108" s="576" t="s">
        <v>14</v>
      </c>
      <c r="K108" s="576" t="s">
        <v>14</v>
      </c>
      <c r="L108" s="614" t="s">
        <v>701</v>
      </c>
      <c r="M108" s="614" t="s">
        <v>701</v>
      </c>
      <c r="N108" s="614" t="s">
        <v>701</v>
      </c>
      <c r="O108" s="609" t="s">
        <v>325</v>
      </c>
      <c r="P108" s="706" t="s">
        <v>173</v>
      </c>
      <c r="Q108" s="574" t="s">
        <v>173</v>
      </c>
      <c r="R108" s="574" t="s">
        <v>173</v>
      </c>
      <c r="S108" s="577" t="s">
        <v>327</v>
      </c>
      <c r="T108" s="577" t="s">
        <v>327</v>
      </c>
      <c r="U108" s="577" t="s">
        <v>327</v>
      </c>
      <c r="V108" s="747" t="s">
        <v>327</v>
      </c>
      <c r="W108" s="573" t="s">
        <v>327</v>
      </c>
      <c r="X108" s="572" t="s">
        <v>702</v>
      </c>
      <c r="Y108" s="574" t="s">
        <v>173</v>
      </c>
      <c r="Z108" s="749" t="s">
        <v>325</v>
      </c>
      <c r="AA108" s="609" t="s">
        <v>325</v>
      </c>
      <c r="AB108" s="609" t="s">
        <v>325</v>
      </c>
      <c r="AC108" s="609" t="s">
        <v>325</v>
      </c>
      <c r="AD108" s="609" t="s">
        <v>325</v>
      </c>
      <c r="AE108" s="574"/>
      <c r="AF108" s="712"/>
    </row>
    <row r="109" spans="1:32" ht="25.5" customHeight="1">
      <c r="A109" s="659" t="s">
        <v>363</v>
      </c>
      <c r="B109" s="705" t="s">
        <v>327</v>
      </c>
      <c r="C109" s="574"/>
      <c r="D109" s="574"/>
      <c r="E109" s="600" t="s">
        <v>383</v>
      </c>
      <c r="F109" s="600" t="s">
        <v>383</v>
      </c>
      <c r="G109" s="600" t="s">
        <v>383</v>
      </c>
      <c r="H109" s="600" t="s">
        <v>383</v>
      </c>
      <c r="I109" s="578" t="s">
        <v>694</v>
      </c>
      <c r="J109" s="578" t="s">
        <v>352</v>
      </c>
      <c r="K109" s="574"/>
      <c r="L109" s="576" t="s">
        <v>331</v>
      </c>
      <c r="M109" s="576" t="s">
        <v>331</v>
      </c>
      <c r="N109" s="576" t="s">
        <v>331</v>
      </c>
      <c r="O109" s="576" t="s">
        <v>331</v>
      </c>
      <c r="P109" s="576" t="s">
        <v>14</v>
      </c>
      <c r="Q109" s="576" t="s">
        <v>14</v>
      </c>
      <c r="R109" s="576" t="s">
        <v>14</v>
      </c>
      <c r="S109" s="609" t="s">
        <v>325</v>
      </c>
      <c r="T109" s="609" t="s">
        <v>325</v>
      </c>
      <c r="U109" s="609" t="s">
        <v>325</v>
      </c>
      <c r="V109" s="609" t="s">
        <v>325</v>
      </c>
      <c r="W109" s="750" t="s">
        <v>325</v>
      </c>
      <c r="X109" s="658"/>
      <c r="Y109" s="658"/>
      <c r="Z109" s="597" t="s">
        <v>9</v>
      </c>
      <c r="AA109" s="597" t="s">
        <v>9</v>
      </c>
      <c r="AB109" s="597" t="s">
        <v>9</v>
      </c>
      <c r="AC109" s="597" t="s">
        <v>9</v>
      </c>
      <c r="AD109" s="597" t="s">
        <v>9</v>
      </c>
      <c r="AE109" s="597" t="s">
        <v>9</v>
      </c>
      <c r="AF109" s="707" t="s">
        <v>9</v>
      </c>
    </row>
    <row r="110" spans="1:32" ht="25.5" customHeight="1">
      <c r="A110" s="665" t="s">
        <v>364</v>
      </c>
      <c r="B110" s="738" t="s">
        <v>9</v>
      </c>
      <c r="C110" s="734" t="s">
        <v>9</v>
      </c>
      <c r="D110" s="734" t="s">
        <v>9</v>
      </c>
      <c r="E110" s="734" t="s">
        <v>9</v>
      </c>
      <c r="F110" s="734" t="s">
        <v>9</v>
      </c>
      <c r="G110" s="734" t="s">
        <v>9</v>
      </c>
      <c r="H110" s="734" t="s">
        <v>9</v>
      </c>
      <c r="I110" s="734" t="s">
        <v>9</v>
      </c>
      <c r="J110" s="734" t="s">
        <v>9</v>
      </c>
      <c r="K110" s="734" t="s">
        <v>9</v>
      </c>
      <c r="L110" s="734" t="s">
        <v>9</v>
      </c>
      <c r="M110" s="734" t="s">
        <v>9</v>
      </c>
      <c r="N110" s="620" t="s">
        <v>327</v>
      </c>
      <c r="O110" s="620" t="s">
        <v>327</v>
      </c>
      <c r="P110" s="667" t="s">
        <v>173</v>
      </c>
      <c r="Q110" s="617" t="s">
        <v>173</v>
      </c>
      <c r="R110" s="617" t="s">
        <v>173</v>
      </c>
      <c r="S110" s="575" t="s">
        <v>331</v>
      </c>
      <c r="T110" s="575" t="s">
        <v>331</v>
      </c>
      <c r="U110" s="575" t="s">
        <v>331</v>
      </c>
      <c r="V110" s="575" t="s">
        <v>331</v>
      </c>
      <c r="W110" s="575" t="s">
        <v>331</v>
      </c>
      <c r="X110" s="575" t="s">
        <v>14</v>
      </c>
      <c r="Y110" s="575" t="s">
        <v>14</v>
      </c>
      <c r="Z110" s="619" t="s">
        <v>698</v>
      </c>
      <c r="AA110" s="619" t="s">
        <v>698</v>
      </c>
      <c r="AB110" s="619" t="s">
        <v>698</v>
      </c>
      <c r="AC110" s="619" t="s">
        <v>698</v>
      </c>
      <c r="AD110" s="619" t="s">
        <v>698</v>
      </c>
      <c r="AE110" s="617" t="s">
        <v>173</v>
      </c>
      <c r="AF110" s="723" t="s">
        <v>173</v>
      </c>
    </row>
    <row r="111" spans="1:32" ht="25.5" customHeight="1"/>
    <row r="112" spans="1:32" ht="25.5" customHeight="1" thickBot="1">
      <c r="B112" s="915" t="s">
        <v>428</v>
      </c>
      <c r="C112" s="916"/>
      <c r="D112" s="916"/>
      <c r="E112" s="916"/>
      <c r="F112" s="916"/>
      <c r="G112" s="916"/>
      <c r="H112" s="916"/>
      <c r="I112" s="916"/>
      <c r="J112" s="916"/>
      <c r="K112" s="916"/>
      <c r="L112" s="916"/>
      <c r="M112" s="916"/>
      <c r="N112" s="916"/>
      <c r="O112" s="916"/>
      <c r="P112" s="916"/>
      <c r="Q112" s="916"/>
      <c r="R112" s="916"/>
      <c r="S112" s="916"/>
      <c r="T112" s="916"/>
      <c r="U112" s="916"/>
      <c r="V112" s="916"/>
      <c r="W112" s="916"/>
      <c r="X112" s="916"/>
      <c r="Y112" s="916"/>
      <c r="Z112" s="916"/>
      <c r="AA112" s="916"/>
      <c r="AB112" s="916"/>
      <c r="AC112" s="916"/>
      <c r="AD112" s="916"/>
      <c r="AE112" s="917"/>
    </row>
    <row r="113" spans="1:32" ht="25.5" customHeight="1">
      <c r="A113" s="869" t="s">
        <v>341</v>
      </c>
      <c r="B113" s="680" t="s">
        <v>86</v>
      </c>
      <c r="C113" s="682" t="s">
        <v>87</v>
      </c>
      <c r="D113" s="682" t="s">
        <v>44</v>
      </c>
      <c r="E113" s="682" t="s">
        <v>28</v>
      </c>
      <c r="F113" s="682" t="s">
        <v>9</v>
      </c>
      <c r="G113" s="682" t="s">
        <v>84</v>
      </c>
      <c r="H113" s="681" t="s">
        <v>85</v>
      </c>
      <c r="I113" s="682" t="s">
        <v>86</v>
      </c>
      <c r="J113" s="682" t="s">
        <v>87</v>
      </c>
      <c r="K113" s="682" t="s">
        <v>44</v>
      </c>
      <c r="L113" s="682" t="s">
        <v>28</v>
      </c>
      <c r="M113" s="682" t="s">
        <v>9</v>
      </c>
      <c r="N113" s="682" t="s">
        <v>84</v>
      </c>
      <c r="O113" s="681" t="s">
        <v>85</v>
      </c>
      <c r="P113" s="682" t="s">
        <v>86</v>
      </c>
      <c r="Q113" s="682" t="s">
        <v>87</v>
      </c>
      <c r="R113" s="682" t="s">
        <v>44</v>
      </c>
      <c r="S113" s="682" t="s">
        <v>28</v>
      </c>
      <c r="T113" s="682" t="s">
        <v>9</v>
      </c>
      <c r="U113" s="682" t="s">
        <v>84</v>
      </c>
      <c r="V113" s="681" t="s">
        <v>85</v>
      </c>
      <c r="W113" s="682" t="s">
        <v>86</v>
      </c>
      <c r="X113" s="682" t="s">
        <v>87</v>
      </c>
      <c r="Y113" s="682" t="s">
        <v>44</v>
      </c>
      <c r="Z113" s="682" t="s">
        <v>28</v>
      </c>
      <c r="AA113" s="682" t="s">
        <v>9</v>
      </c>
      <c r="AB113" s="682" t="s">
        <v>84</v>
      </c>
      <c r="AC113" s="681" t="s">
        <v>85</v>
      </c>
      <c r="AD113" s="682" t="s">
        <v>86</v>
      </c>
      <c r="AE113" s="683" t="s">
        <v>87</v>
      </c>
    </row>
    <row r="114" spans="1:32" ht="25.5" customHeight="1">
      <c r="A114" s="870"/>
      <c r="B114" s="637">
        <v>1</v>
      </c>
      <c r="C114" s="638">
        <v>2</v>
      </c>
      <c r="D114" s="638">
        <v>3</v>
      </c>
      <c r="E114" s="638">
        <v>4</v>
      </c>
      <c r="F114" s="638">
        <v>5</v>
      </c>
      <c r="G114" s="639">
        <v>6</v>
      </c>
      <c r="H114" s="639">
        <v>7</v>
      </c>
      <c r="I114" s="638">
        <v>8</v>
      </c>
      <c r="J114" s="638">
        <v>9</v>
      </c>
      <c r="K114" s="638">
        <v>10</v>
      </c>
      <c r="L114" s="638">
        <v>11</v>
      </c>
      <c r="M114" s="638">
        <v>12</v>
      </c>
      <c r="N114" s="639">
        <v>13</v>
      </c>
      <c r="O114" s="639">
        <v>14</v>
      </c>
      <c r="P114" s="638">
        <v>15</v>
      </c>
      <c r="Q114" s="638">
        <v>16</v>
      </c>
      <c r="R114" s="638">
        <v>17</v>
      </c>
      <c r="S114" s="638">
        <v>18</v>
      </c>
      <c r="T114" s="638">
        <v>19</v>
      </c>
      <c r="U114" s="639">
        <v>20</v>
      </c>
      <c r="V114" s="639">
        <v>21</v>
      </c>
      <c r="W114" s="638">
        <v>22</v>
      </c>
      <c r="X114" s="638">
        <v>23</v>
      </c>
      <c r="Y114" s="638">
        <v>24</v>
      </c>
      <c r="Z114" s="638">
        <v>25</v>
      </c>
      <c r="AA114" s="638">
        <v>26</v>
      </c>
      <c r="AB114" s="639">
        <v>27</v>
      </c>
      <c r="AC114" s="639">
        <v>28</v>
      </c>
      <c r="AD114" s="640">
        <v>29</v>
      </c>
      <c r="AE114" s="641">
        <v>30</v>
      </c>
    </row>
    <row r="115" spans="1:32" ht="25.5" customHeight="1">
      <c r="A115" s="650" t="s">
        <v>345</v>
      </c>
      <c r="B115" s="752" t="s">
        <v>9</v>
      </c>
      <c r="C115" s="580" t="s">
        <v>9</v>
      </c>
      <c r="D115" s="580" t="s">
        <v>9</v>
      </c>
      <c r="E115" s="580" t="s">
        <v>9</v>
      </c>
      <c r="F115" s="580" t="s">
        <v>9</v>
      </c>
      <c r="G115" s="580" t="s">
        <v>9</v>
      </c>
      <c r="H115" s="580" t="s">
        <v>9</v>
      </c>
      <c r="I115" s="602" t="s">
        <v>329</v>
      </c>
      <c r="J115" s="602" t="s">
        <v>329</v>
      </c>
      <c r="K115" s="602" t="s">
        <v>329</v>
      </c>
      <c r="L115" s="602" t="s">
        <v>329</v>
      </c>
      <c r="M115" s="602" t="s">
        <v>329</v>
      </c>
      <c r="N115" s="579" t="s">
        <v>173</v>
      </c>
      <c r="O115" s="579" t="s">
        <v>173</v>
      </c>
      <c r="P115" s="602" t="s">
        <v>329</v>
      </c>
      <c r="Q115" s="602" t="s">
        <v>329</v>
      </c>
      <c r="R115" s="602" t="s">
        <v>329</v>
      </c>
      <c r="S115" s="598" t="s">
        <v>703</v>
      </c>
      <c r="T115" s="602" t="s">
        <v>329</v>
      </c>
      <c r="U115" s="598" t="s">
        <v>704</v>
      </c>
      <c r="V115" s="579" t="s">
        <v>173</v>
      </c>
      <c r="W115" s="602" t="s">
        <v>329</v>
      </c>
      <c r="X115" s="602" t="s">
        <v>329</v>
      </c>
      <c r="Y115" s="602" t="s">
        <v>329</v>
      </c>
      <c r="Z115" s="602" t="s">
        <v>329</v>
      </c>
      <c r="AA115" s="602" t="s">
        <v>329</v>
      </c>
      <c r="AB115" s="579" t="s">
        <v>173</v>
      </c>
      <c r="AC115" s="763" t="s">
        <v>705</v>
      </c>
      <c r="AD115" s="602" t="s">
        <v>329</v>
      </c>
      <c r="AE115" s="604" t="s">
        <v>329</v>
      </c>
    </row>
    <row r="116" spans="1:32" ht="25.5" customHeight="1">
      <c r="A116" s="678" t="s">
        <v>347</v>
      </c>
      <c r="B116" s="704" t="s">
        <v>329</v>
      </c>
      <c r="C116" s="600" t="s">
        <v>329</v>
      </c>
      <c r="D116" s="600" t="s">
        <v>329</v>
      </c>
      <c r="E116" s="600" t="s">
        <v>329</v>
      </c>
      <c r="F116" s="600" t="s">
        <v>329</v>
      </c>
      <c r="G116" s="574" t="s">
        <v>173</v>
      </c>
      <c r="H116" s="574" t="s">
        <v>173</v>
      </c>
      <c r="I116" s="600" t="s">
        <v>329</v>
      </c>
      <c r="J116" s="600" t="s">
        <v>329</v>
      </c>
      <c r="K116" s="600" t="s">
        <v>329</v>
      </c>
      <c r="L116" s="600" t="s">
        <v>329</v>
      </c>
      <c r="M116" s="600" t="s">
        <v>329</v>
      </c>
      <c r="N116" s="574" t="s">
        <v>173</v>
      </c>
      <c r="O116" s="574" t="s">
        <v>173</v>
      </c>
      <c r="P116" s="600" t="s">
        <v>329</v>
      </c>
      <c r="Q116" s="600" t="s">
        <v>329</v>
      </c>
      <c r="R116" s="600" t="s">
        <v>329</v>
      </c>
      <c r="S116" s="600" t="s">
        <v>329</v>
      </c>
      <c r="T116" s="600" t="s">
        <v>329</v>
      </c>
      <c r="U116" s="574" t="s">
        <v>173</v>
      </c>
      <c r="V116" s="574" t="s">
        <v>173</v>
      </c>
      <c r="W116" s="600" t="s">
        <v>329</v>
      </c>
      <c r="X116" s="600" t="s">
        <v>329</v>
      </c>
      <c r="Y116" s="600" t="s">
        <v>329</v>
      </c>
      <c r="Z116" s="600" t="s">
        <v>329</v>
      </c>
      <c r="AA116" s="600" t="s">
        <v>329</v>
      </c>
      <c r="AB116" s="574" t="s">
        <v>173</v>
      </c>
      <c r="AC116" s="574" t="s">
        <v>173</v>
      </c>
      <c r="AD116" s="600" t="s">
        <v>329</v>
      </c>
      <c r="AE116" s="606" t="s">
        <v>329</v>
      </c>
    </row>
    <row r="117" spans="1:32" ht="25.5" customHeight="1">
      <c r="A117" s="650" t="s">
        <v>349</v>
      </c>
      <c r="B117" s="762" t="s">
        <v>706</v>
      </c>
      <c r="C117" s="573" t="s">
        <v>327</v>
      </c>
      <c r="D117" s="573" t="s">
        <v>327</v>
      </c>
      <c r="E117" s="573" t="s">
        <v>327</v>
      </c>
      <c r="F117" s="573" t="s">
        <v>327</v>
      </c>
      <c r="G117" s="574" t="s">
        <v>173</v>
      </c>
      <c r="H117" s="574" t="s">
        <v>173</v>
      </c>
      <c r="I117" s="573" t="s">
        <v>327</v>
      </c>
      <c r="J117" s="573" t="s">
        <v>327</v>
      </c>
      <c r="K117" s="573" t="s">
        <v>327</v>
      </c>
      <c r="L117" s="573" t="s">
        <v>327</v>
      </c>
      <c r="M117" s="573" t="s">
        <v>327</v>
      </c>
      <c r="N117" s="574" t="s">
        <v>173</v>
      </c>
      <c r="O117" s="574" t="s">
        <v>173</v>
      </c>
      <c r="P117" s="597" t="s">
        <v>9</v>
      </c>
      <c r="Q117" s="573" t="s">
        <v>327</v>
      </c>
      <c r="R117" s="573" t="s">
        <v>327</v>
      </c>
      <c r="S117" s="573" t="s">
        <v>327</v>
      </c>
      <c r="T117" s="573" t="s">
        <v>327</v>
      </c>
      <c r="U117" s="574" t="s">
        <v>173</v>
      </c>
      <c r="V117" s="574" t="s">
        <v>173</v>
      </c>
      <c r="W117" s="756" t="s">
        <v>327</v>
      </c>
      <c r="X117" s="756" t="s">
        <v>327</v>
      </c>
      <c r="Y117" s="756" t="s">
        <v>327</v>
      </c>
      <c r="Z117" s="756" t="s">
        <v>327</v>
      </c>
      <c r="AA117" s="756" t="s">
        <v>327</v>
      </c>
      <c r="AB117" s="576" t="s">
        <v>14</v>
      </c>
      <c r="AC117" s="576" t="s">
        <v>14</v>
      </c>
      <c r="AD117" s="573" t="s">
        <v>327</v>
      </c>
      <c r="AE117" s="608" t="s">
        <v>327</v>
      </c>
    </row>
    <row r="118" spans="1:32" ht="25.5" customHeight="1">
      <c r="A118" s="654" t="s">
        <v>353</v>
      </c>
      <c r="B118" s="705" t="s">
        <v>327</v>
      </c>
      <c r="C118" s="573" t="s">
        <v>327</v>
      </c>
      <c r="D118" s="573" t="s">
        <v>327</v>
      </c>
      <c r="E118" s="573" t="s">
        <v>327</v>
      </c>
      <c r="F118" s="573" t="s">
        <v>327</v>
      </c>
      <c r="G118" s="574" t="s">
        <v>173</v>
      </c>
      <c r="H118" s="574" t="s">
        <v>173</v>
      </c>
      <c r="I118" s="573" t="s">
        <v>327</v>
      </c>
      <c r="J118" s="573" t="s">
        <v>327</v>
      </c>
      <c r="K118" s="573" t="s">
        <v>327</v>
      </c>
      <c r="L118" s="573" t="s">
        <v>327</v>
      </c>
      <c r="M118" s="573" t="s">
        <v>327</v>
      </c>
      <c r="N118" s="753"/>
      <c r="O118" s="574" t="s">
        <v>173</v>
      </c>
      <c r="P118" s="597" t="s">
        <v>9</v>
      </c>
      <c r="Q118" s="597" t="s">
        <v>9</v>
      </c>
      <c r="R118" s="597" t="s">
        <v>9</v>
      </c>
      <c r="S118" s="597" t="s">
        <v>9</v>
      </c>
      <c r="T118" s="597" t="s">
        <v>9</v>
      </c>
      <c r="U118" s="597" t="s">
        <v>9</v>
      </c>
      <c r="V118" s="597" t="s">
        <v>9</v>
      </c>
      <c r="W118" s="597" t="s">
        <v>9</v>
      </c>
      <c r="X118" s="597" t="s">
        <v>9</v>
      </c>
      <c r="Y118" s="597" t="s">
        <v>9</v>
      </c>
      <c r="Z118" s="597" t="s">
        <v>9</v>
      </c>
      <c r="AA118" s="597" t="s">
        <v>9</v>
      </c>
      <c r="AB118" s="597" t="s">
        <v>9</v>
      </c>
      <c r="AC118" s="597" t="s">
        <v>9</v>
      </c>
      <c r="AD118" s="573" t="s">
        <v>327</v>
      </c>
      <c r="AE118" s="608" t="s">
        <v>327</v>
      </c>
    </row>
    <row r="119" spans="1:32" ht="25.5" customHeight="1">
      <c r="A119" s="659" t="s">
        <v>707</v>
      </c>
      <c r="B119" s="709" t="s">
        <v>325</v>
      </c>
      <c r="C119" s="609" t="s">
        <v>325</v>
      </c>
      <c r="D119" s="609" t="s">
        <v>325</v>
      </c>
      <c r="E119" s="609" t="s">
        <v>325</v>
      </c>
      <c r="F119" s="609" t="s">
        <v>325</v>
      </c>
      <c r="G119" s="574" t="s">
        <v>173</v>
      </c>
      <c r="H119" s="574" t="s">
        <v>173</v>
      </c>
      <c r="I119" s="753"/>
      <c r="J119" s="753"/>
      <c r="K119" s="753"/>
      <c r="L119" s="753"/>
      <c r="M119" s="753"/>
      <c r="N119" s="753"/>
      <c r="O119" s="753"/>
      <c r="P119" s="753"/>
      <c r="Q119" s="753"/>
      <c r="R119" s="753"/>
      <c r="S119" s="754"/>
      <c r="T119" s="754"/>
      <c r="U119" s="754"/>
      <c r="V119" s="754"/>
      <c r="W119" s="754"/>
      <c r="X119" s="754"/>
      <c r="Y119" s="754"/>
      <c r="Z119" s="754"/>
      <c r="AA119" s="754"/>
      <c r="AB119" s="753"/>
      <c r="AC119" s="753"/>
      <c r="AD119" s="754"/>
      <c r="AE119" s="755"/>
    </row>
    <row r="120" spans="1:32" ht="25.5" customHeight="1">
      <c r="A120" s="659" t="s">
        <v>354</v>
      </c>
      <c r="B120" s="764"/>
      <c r="C120" s="753"/>
      <c r="D120" s="753"/>
      <c r="E120" s="753"/>
      <c r="F120" s="753"/>
      <c r="G120" s="574"/>
      <c r="H120" s="574"/>
      <c r="I120" s="609" t="s">
        <v>325</v>
      </c>
      <c r="J120" s="609" t="s">
        <v>325</v>
      </c>
      <c r="K120" s="609" t="s">
        <v>325</v>
      </c>
      <c r="L120" s="609" t="s">
        <v>325</v>
      </c>
      <c r="M120" s="609" t="s">
        <v>325</v>
      </c>
      <c r="N120" s="574" t="s">
        <v>173</v>
      </c>
      <c r="O120" s="574" t="s">
        <v>173</v>
      </c>
      <c r="P120" s="600" t="s">
        <v>329</v>
      </c>
      <c r="Q120" s="600" t="s">
        <v>329</v>
      </c>
      <c r="R120" s="572" t="s">
        <v>708</v>
      </c>
      <c r="S120" s="572" t="s">
        <v>703</v>
      </c>
      <c r="T120" s="600" t="s">
        <v>329</v>
      </c>
      <c r="U120" s="572" t="s">
        <v>704</v>
      </c>
      <c r="V120" s="574" t="s">
        <v>173</v>
      </c>
      <c r="W120" s="600" t="s">
        <v>329</v>
      </c>
      <c r="X120" s="600" t="s">
        <v>329</v>
      </c>
      <c r="Y120" s="600" t="s">
        <v>329</v>
      </c>
      <c r="Z120" s="600" t="s">
        <v>329</v>
      </c>
      <c r="AA120" s="600" t="s">
        <v>329</v>
      </c>
      <c r="AB120" s="574" t="s">
        <v>173</v>
      </c>
      <c r="AC120" s="574" t="s">
        <v>173</v>
      </c>
      <c r="AD120" s="600" t="s">
        <v>329</v>
      </c>
      <c r="AE120" s="606" t="s">
        <v>709</v>
      </c>
    </row>
    <row r="121" spans="1:32" ht="25.5" customHeight="1">
      <c r="A121" s="661" t="s">
        <v>360</v>
      </c>
      <c r="B121" s="739" t="s">
        <v>327</v>
      </c>
      <c r="C121" s="577" t="s">
        <v>327</v>
      </c>
      <c r="D121" s="597" t="s">
        <v>9</v>
      </c>
      <c r="E121" s="577" t="s">
        <v>327</v>
      </c>
      <c r="F121" s="577" t="s">
        <v>327</v>
      </c>
      <c r="G121" s="572" t="s">
        <v>702</v>
      </c>
      <c r="H121" s="574" t="s">
        <v>173</v>
      </c>
      <c r="I121" s="600" t="s">
        <v>329</v>
      </c>
      <c r="J121" s="600" t="s">
        <v>329</v>
      </c>
      <c r="K121" s="600" t="s">
        <v>329</v>
      </c>
      <c r="L121" s="600" t="s">
        <v>329</v>
      </c>
      <c r="M121" s="600" t="s">
        <v>329</v>
      </c>
      <c r="N121" s="574" t="s">
        <v>173</v>
      </c>
      <c r="O121" s="574" t="s">
        <v>173</v>
      </c>
      <c r="P121" s="576" t="s">
        <v>331</v>
      </c>
      <c r="Q121" s="576" t="s">
        <v>331</v>
      </c>
      <c r="R121" s="576" t="s">
        <v>331</v>
      </c>
      <c r="S121" s="576" t="s">
        <v>331</v>
      </c>
      <c r="T121" s="576" t="s">
        <v>331</v>
      </c>
      <c r="U121" s="576" t="s">
        <v>14</v>
      </c>
      <c r="V121" s="576" t="s">
        <v>14</v>
      </c>
      <c r="W121" s="609" t="s">
        <v>325</v>
      </c>
      <c r="X121" s="609" t="s">
        <v>325</v>
      </c>
      <c r="Y121" s="609" t="s">
        <v>325</v>
      </c>
      <c r="Z121" s="609" t="s">
        <v>325</v>
      </c>
      <c r="AA121" s="609" t="s">
        <v>325</v>
      </c>
      <c r="AB121" s="574"/>
      <c r="AC121" s="574"/>
      <c r="AD121" s="577" t="s">
        <v>327</v>
      </c>
      <c r="AE121" s="679" t="s">
        <v>327</v>
      </c>
    </row>
    <row r="122" spans="1:32" ht="25.5" customHeight="1">
      <c r="A122" s="659" t="s">
        <v>363</v>
      </c>
      <c r="B122" s="704" t="s">
        <v>383</v>
      </c>
      <c r="C122" s="600" t="s">
        <v>383</v>
      </c>
      <c r="D122" s="597" t="s">
        <v>9</v>
      </c>
      <c r="E122" s="597" t="s">
        <v>9</v>
      </c>
      <c r="F122" s="597" t="s">
        <v>9</v>
      </c>
      <c r="G122" s="574"/>
      <c r="H122" s="574"/>
      <c r="I122" s="576" t="s">
        <v>331</v>
      </c>
      <c r="J122" s="576" t="s">
        <v>331</v>
      </c>
      <c r="K122" s="576" t="s">
        <v>331</v>
      </c>
      <c r="L122" s="576" t="s">
        <v>331</v>
      </c>
      <c r="M122" s="576" t="s">
        <v>331</v>
      </c>
      <c r="N122" s="576" t="s">
        <v>14</v>
      </c>
      <c r="O122" s="576" t="s">
        <v>14</v>
      </c>
      <c r="P122" s="609" t="s">
        <v>325</v>
      </c>
      <c r="Q122" s="609" t="s">
        <v>325</v>
      </c>
      <c r="R122" s="609" t="s">
        <v>325</v>
      </c>
      <c r="S122" s="609" t="s">
        <v>325</v>
      </c>
      <c r="T122" s="572" t="s">
        <v>710</v>
      </c>
      <c r="U122" s="572" t="s">
        <v>352</v>
      </c>
      <c r="V122" s="574"/>
      <c r="W122" s="757" t="s">
        <v>331</v>
      </c>
      <c r="X122" s="757" t="s">
        <v>331</v>
      </c>
      <c r="Y122" s="572" t="s">
        <v>711</v>
      </c>
      <c r="Z122" s="757" t="s">
        <v>331</v>
      </c>
      <c r="AA122" s="757" t="s">
        <v>331</v>
      </c>
      <c r="AB122" s="574"/>
      <c r="AC122" s="574"/>
      <c r="AD122" s="609" t="s">
        <v>325</v>
      </c>
      <c r="AE122" s="613" t="s">
        <v>325</v>
      </c>
    </row>
    <row r="123" spans="1:32" ht="25.5" customHeight="1">
      <c r="A123" s="665" t="s">
        <v>364</v>
      </c>
      <c r="B123" s="740" t="s">
        <v>331</v>
      </c>
      <c r="C123" s="575" t="s">
        <v>331</v>
      </c>
      <c r="D123" s="575" t="s">
        <v>331</v>
      </c>
      <c r="E123" s="575" t="s">
        <v>331</v>
      </c>
      <c r="F123" s="575" t="s">
        <v>331</v>
      </c>
      <c r="G123" s="575" t="s">
        <v>14</v>
      </c>
      <c r="H123" s="575" t="s">
        <v>14</v>
      </c>
      <c r="I123" s="618" t="s">
        <v>325</v>
      </c>
      <c r="J123" s="618" t="s">
        <v>325</v>
      </c>
      <c r="K123" s="618" t="s">
        <v>325</v>
      </c>
      <c r="L123" s="618" t="s">
        <v>325</v>
      </c>
      <c r="M123" s="618" t="s">
        <v>325</v>
      </c>
      <c r="N123" s="617" t="s">
        <v>173</v>
      </c>
      <c r="O123" s="617" t="s">
        <v>173</v>
      </c>
      <c r="P123" s="620" t="s">
        <v>327</v>
      </c>
      <c r="Q123" s="620" t="s">
        <v>327</v>
      </c>
      <c r="R123" s="599" t="s">
        <v>712</v>
      </c>
      <c r="S123" s="620" t="s">
        <v>327</v>
      </c>
      <c r="T123" s="620" t="s">
        <v>327</v>
      </c>
      <c r="U123" s="617" t="s">
        <v>173</v>
      </c>
      <c r="V123" s="617" t="s">
        <v>173</v>
      </c>
      <c r="W123" s="734" t="s">
        <v>9</v>
      </c>
      <c r="X123" s="734" t="s">
        <v>9</v>
      </c>
      <c r="Y123" s="734" t="s">
        <v>9</v>
      </c>
      <c r="Z123" s="616" t="s">
        <v>329</v>
      </c>
      <c r="AA123" s="616" t="s">
        <v>329</v>
      </c>
      <c r="AB123" s="617" t="s">
        <v>173</v>
      </c>
      <c r="AC123" s="617" t="s">
        <v>173</v>
      </c>
      <c r="AD123" s="575" t="s">
        <v>331</v>
      </c>
      <c r="AE123" s="741" t="s">
        <v>713</v>
      </c>
    </row>
    <row r="124" spans="1:32" ht="25.5" customHeight="1"/>
    <row r="125" spans="1:32" ht="25.5" customHeight="1">
      <c r="B125" s="871" t="s">
        <v>429</v>
      </c>
      <c r="C125" s="872"/>
      <c r="D125" s="872"/>
      <c r="E125" s="872"/>
      <c r="F125" s="872"/>
      <c r="G125" s="872"/>
      <c r="H125" s="872"/>
      <c r="I125" s="872"/>
      <c r="J125" s="872"/>
      <c r="K125" s="872"/>
      <c r="L125" s="872"/>
      <c r="M125" s="872"/>
      <c r="N125" s="872"/>
      <c r="O125" s="872"/>
      <c r="P125" s="872"/>
      <c r="Q125" s="872"/>
      <c r="R125" s="872"/>
      <c r="S125" s="872"/>
      <c r="T125" s="872"/>
      <c r="U125" s="872"/>
      <c r="V125" s="872"/>
      <c r="W125" s="872"/>
      <c r="X125" s="872"/>
      <c r="Y125" s="872"/>
      <c r="Z125" s="872"/>
      <c r="AA125" s="872"/>
      <c r="AB125" s="872"/>
      <c r="AC125" s="872"/>
      <c r="AD125" s="872"/>
      <c r="AE125" s="872"/>
      <c r="AF125" s="873"/>
    </row>
    <row r="126" spans="1:32" ht="25.5" customHeight="1">
      <c r="A126" s="869" t="s">
        <v>341</v>
      </c>
      <c r="B126" s="633" t="s">
        <v>44</v>
      </c>
      <c r="C126" s="634" t="s">
        <v>28</v>
      </c>
      <c r="D126" s="634" t="s">
        <v>9</v>
      </c>
      <c r="E126" s="634" t="s">
        <v>84</v>
      </c>
      <c r="F126" s="635" t="s">
        <v>85</v>
      </c>
      <c r="G126" s="634" t="s">
        <v>86</v>
      </c>
      <c r="H126" s="634" t="s">
        <v>87</v>
      </c>
      <c r="I126" s="634" t="s">
        <v>44</v>
      </c>
      <c r="J126" s="634" t="s">
        <v>28</v>
      </c>
      <c r="K126" s="634" t="s">
        <v>9</v>
      </c>
      <c r="L126" s="634" t="s">
        <v>84</v>
      </c>
      <c r="M126" s="635" t="s">
        <v>85</v>
      </c>
      <c r="N126" s="634" t="s">
        <v>86</v>
      </c>
      <c r="O126" s="634" t="s">
        <v>87</v>
      </c>
      <c r="P126" s="634" t="s">
        <v>44</v>
      </c>
      <c r="Q126" s="634" t="s">
        <v>28</v>
      </c>
      <c r="R126" s="634" t="s">
        <v>9</v>
      </c>
      <c r="S126" s="634" t="s">
        <v>84</v>
      </c>
      <c r="T126" s="635" t="s">
        <v>85</v>
      </c>
      <c r="U126" s="634" t="s">
        <v>86</v>
      </c>
      <c r="V126" s="634" t="s">
        <v>87</v>
      </c>
      <c r="W126" s="634" t="s">
        <v>44</v>
      </c>
      <c r="X126" s="634" t="s">
        <v>28</v>
      </c>
      <c r="Y126" s="634" t="s">
        <v>9</v>
      </c>
      <c r="Z126" s="634" t="s">
        <v>84</v>
      </c>
      <c r="AA126" s="635" t="s">
        <v>85</v>
      </c>
      <c r="AB126" s="634" t="s">
        <v>86</v>
      </c>
      <c r="AC126" s="634" t="s">
        <v>87</v>
      </c>
      <c r="AD126" s="634" t="s">
        <v>44</v>
      </c>
      <c r="AE126" s="634" t="s">
        <v>28</v>
      </c>
      <c r="AF126" s="636" t="s">
        <v>9</v>
      </c>
    </row>
    <row r="127" spans="1:32" ht="25.5" customHeight="1">
      <c r="A127" s="890"/>
      <c r="B127" s="701">
        <v>1</v>
      </c>
      <c r="C127" s="640">
        <v>2</v>
      </c>
      <c r="D127" s="638">
        <v>3</v>
      </c>
      <c r="E127" s="639">
        <v>4</v>
      </c>
      <c r="F127" s="639">
        <v>5</v>
      </c>
      <c r="G127" s="638">
        <v>6</v>
      </c>
      <c r="H127" s="638">
        <v>7</v>
      </c>
      <c r="I127" s="638">
        <v>8</v>
      </c>
      <c r="J127" s="638">
        <v>9</v>
      </c>
      <c r="K127" s="638">
        <v>10</v>
      </c>
      <c r="L127" s="639">
        <v>11</v>
      </c>
      <c r="M127" s="639">
        <v>12</v>
      </c>
      <c r="N127" s="638">
        <v>13</v>
      </c>
      <c r="O127" s="638">
        <v>14</v>
      </c>
      <c r="P127" s="638">
        <v>15</v>
      </c>
      <c r="Q127" s="638">
        <v>16</v>
      </c>
      <c r="R127" s="638">
        <v>17</v>
      </c>
      <c r="S127" s="639">
        <v>18</v>
      </c>
      <c r="T127" s="639">
        <v>19</v>
      </c>
      <c r="U127" s="638">
        <v>20</v>
      </c>
      <c r="V127" s="638">
        <v>21</v>
      </c>
      <c r="W127" s="638">
        <v>22</v>
      </c>
      <c r="X127" s="638">
        <v>23</v>
      </c>
      <c r="Y127" s="638">
        <v>24</v>
      </c>
      <c r="Z127" s="639">
        <v>25</v>
      </c>
      <c r="AA127" s="639">
        <v>26</v>
      </c>
      <c r="AB127" s="638">
        <v>27</v>
      </c>
      <c r="AC127" s="638">
        <v>28</v>
      </c>
      <c r="AD127" s="638">
        <v>29</v>
      </c>
      <c r="AE127" s="640">
        <v>30</v>
      </c>
      <c r="AF127" s="641">
        <v>31</v>
      </c>
    </row>
    <row r="128" spans="1:32" ht="25.5" customHeight="1">
      <c r="A128" s="650" t="s">
        <v>345</v>
      </c>
      <c r="B128" s="703" t="s">
        <v>329</v>
      </c>
      <c r="C128" s="602" t="s">
        <v>329</v>
      </c>
      <c r="D128" s="602" t="s">
        <v>329</v>
      </c>
      <c r="E128" s="579" t="s">
        <v>173</v>
      </c>
      <c r="F128" s="579" t="s">
        <v>173</v>
      </c>
      <c r="G128" s="602" t="s">
        <v>329</v>
      </c>
      <c r="H128" s="602" t="s">
        <v>329</v>
      </c>
      <c r="I128" s="602" t="s">
        <v>329</v>
      </c>
      <c r="J128" s="602" t="s">
        <v>329</v>
      </c>
      <c r="K128" s="602" t="s">
        <v>329</v>
      </c>
      <c r="L128" s="579" t="s">
        <v>173</v>
      </c>
      <c r="M128" s="579" t="s">
        <v>173</v>
      </c>
      <c r="N128" s="602" t="s">
        <v>329</v>
      </c>
      <c r="O128" s="598" t="s">
        <v>714</v>
      </c>
      <c r="P128" s="598" t="s">
        <v>715</v>
      </c>
      <c r="Q128" s="602" t="s">
        <v>329</v>
      </c>
      <c r="R128" s="602" t="s">
        <v>329</v>
      </c>
      <c r="S128" s="579" t="s">
        <v>173</v>
      </c>
      <c r="T128" s="579" t="s">
        <v>173</v>
      </c>
      <c r="U128" s="602" t="s">
        <v>329</v>
      </c>
      <c r="V128" s="602" t="s">
        <v>329</v>
      </c>
      <c r="W128" s="598" t="s">
        <v>716</v>
      </c>
      <c r="X128" s="602" t="s">
        <v>329</v>
      </c>
      <c r="Y128" s="602" t="s">
        <v>329</v>
      </c>
      <c r="Z128" s="579" t="s">
        <v>173</v>
      </c>
      <c r="AA128" s="598" t="s">
        <v>717</v>
      </c>
      <c r="AB128" s="602" t="s">
        <v>329</v>
      </c>
      <c r="AC128" s="602" t="s">
        <v>329</v>
      </c>
      <c r="AD128" s="602" t="s">
        <v>329</v>
      </c>
      <c r="AE128" s="602" t="s">
        <v>329</v>
      </c>
      <c r="AF128" s="604" t="s">
        <v>329</v>
      </c>
    </row>
    <row r="129" spans="1:32" ht="25.5" customHeight="1">
      <c r="A129" s="678" t="s">
        <v>347</v>
      </c>
      <c r="B129" s="704" t="s">
        <v>329</v>
      </c>
      <c r="C129" s="600" t="s">
        <v>329</v>
      </c>
      <c r="D129" s="600" t="s">
        <v>329</v>
      </c>
      <c r="E129" s="574" t="s">
        <v>173</v>
      </c>
      <c r="F129" s="574" t="s">
        <v>173</v>
      </c>
      <c r="G129" s="600" t="s">
        <v>329</v>
      </c>
      <c r="H129" s="600" t="s">
        <v>329</v>
      </c>
      <c r="I129" s="600" t="s">
        <v>329</v>
      </c>
      <c r="J129" s="600" t="s">
        <v>329</v>
      </c>
      <c r="K129" s="600" t="s">
        <v>329</v>
      </c>
      <c r="L129" s="574" t="s">
        <v>173</v>
      </c>
      <c r="M129" s="574" t="s">
        <v>173</v>
      </c>
      <c r="N129" s="600" t="s">
        <v>329</v>
      </c>
      <c r="O129" s="600" t="s">
        <v>329</v>
      </c>
      <c r="P129" s="600" t="s">
        <v>329</v>
      </c>
      <c r="Q129" s="600" t="s">
        <v>329</v>
      </c>
      <c r="R129" s="600" t="s">
        <v>329</v>
      </c>
      <c r="S129" s="574" t="s">
        <v>173</v>
      </c>
      <c r="T129" s="574" t="s">
        <v>173</v>
      </c>
      <c r="U129" s="600" t="s">
        <v>329</v>
      </c>
      <c r="V129" s="600" t="s">
        <v>329</v>
      </c>
      <c r="W129" s="600" t="s">
        <v>329</v>
      </c>
      <c r="X129" s="600" t="s">
        <v>329</v>
      </c>
      <c r="Y129" s="600" t="s">
        <v>329</v>
      </c>
      <c r="Z129" s="574" t="s">
        <v>173</v>
      </c>
      <c r="AA129" s="574" t="s">
        <v>173</v>
      </c>
      <c r="AB129" s="600" t="s">
        <v>329</v>
      </c>
      <c r="AC129" s="600" t="s">
        <v>329</v>
      </c>
      <c r="AD129" s="600" t="s">
        <v>329</v>
      </c>
      <c r="AE129" s="600" t="s">
        <v>329</v>
      </c>
      <c r="AF129" s="606" t="s">
        <v>329</v>
      </c>
    </row>
    <row r="130" spans="1:32" ht="25.5" customHeight="1">
      <c r="A130" s="650" t="s">
        <v>349</v>
      </c>
      <c r="B130" s="705" t="s">
        <v>327</v>
      </c>
      <c r="C130" s="573" t="s">
        <v>327</v>
      </c>
      <c r="D130" s="573" t="s">
        <v>327</v>
      </c>
      <c r="E130" s="574" t="s">
        <v>173</v>
      </c>
      <c r="F130" s="574" t="s">
        <v>173</v>
      </c>
      <c r="G130" s="573" t="s">
        <v>327</v>
      </c>
      <c r="H130" s="573" t="s">
        <v>327</v>
      </c>
      <c r="I130" s="573" t="s">
        <v>327</v>
      </c>
      <c r="J130" s="573" t="s">
        <v>327</v>
      </c>
      <c r="K130" s="573" t="s">
        <v>327</v>
      </c>
      <c r="L130" s="574" t="s">
        <v>173</v>
      </c>
      <c r="M130" s="574" t="s">
        <v>173</v>
      </c>
      <c r="N130" s="573" t="s">
        <v>327</v>
      </c>
      <c r="O130" s="573" t="s">
        <v>327</v>
      </c>
      <c r="P130" s="573" t="s">
        <v>327</v>
      </c>
      <c r="Q130" s="573" t="s">
        <v>327</v>
      </c>
      <c r="R130" s="573" t="s">
        <v>327</v>
      </c>
      <c r="S130" s="574" t="s">
        <v>173</v>
      </c>
      <c r="T130" s="574" t="s">
        <v>173</v>
      </c>
      <c r="U130" s="573" t="s">
        <v>327</v>
      </c>
      <c r="V130" s="573" t="s">
        <v>327</v>
      </c>
      <c r="W130" s="573" t="s">
        <v>327</v>
      </c>
      <c r="X130" s="573" t="s">
        <v>327</v>
      </c>
      <c r="Y130" s="573" t="s">
        <v>327</v>
      </c>
      <c r="Z130" s="574" t="s">
        <v>173</v>
      </c>
      <c r="AA130" s="574" t="s">
        <v>173</v>
      </c>
      <c r="AB130" s="573" t="s">
        <v>327</v>
      </c>
      <c r="AC130" s="573" t="s">
        <v>327</v>
      </c>
      <c r="AD130" s="573" t="s">
        <v>327</v>
      </c>
      <c r="AE130" s="573" t="s">
        <v>327</v>
      </c>
      <c r="AF130" s="608" t="s">
        <v>327</v>
      </c>
    </row>
    <row r="131" spans="1:32" ht="25.5" customHeight="1">
      <c r="A131" s="654" t="s">
        <v>353</v>
      </c>
      <c r="B131" s="705" t="s">
        <v>327</v>
      </c>
      <c r="C131" s="573" t="s">
        <v>327</v>
      </c>
      <c r="D131" s="573" t="s">
        <v>327</v>
      </c>
      <c r="E131" s="574" t="s">
        <v>173</v>
      </c>
      <c r="F131" s="574" t="s">
        <v>173</v>
      </c>
      <c r="G131" s="600" t="s">
        <v>329</v>
      </c>
      <c r="H131" s="600" t="s">
        <v>329</v>
      </c>
      <c r="I131" s="600" t="s">
        <v>329</v>
      </c>
      <c r="J131" s="600" t="s">
        <v>329</v>
      </c>
      <c r="K131" s="600" t="s">
        <v>329</v>
      </c>
      <c r="L131" s="574" t="s">
        <v>173</v>
      </c>
      <c r="M131" s="574" t="s">
        <v>173</v>
      </c>
      <c r="N131" s="573" t="s">
        <v>327</v>
      </c>
      <c r="O131" s="573" t="s">
        <v>327</v>
      </c>
      <c r="P131" s="573" t="s">
        <v>327</v>
      </c>
      <c r="Q131" s="572" t="s">
        <v>718</v>
      </c>
      <c r="R131" s="573" t="s">
        <v>327</v>
      </c>
      <c r="S131" s="574" t="s">
        <v>173</v>
      </c>
      <c r="T131" s="574" t="s">
        <v>173</v>
      </c>
      <c r="U131" s="766" t="s">
        <v>329</v>
      </c>
      <c r="V131" s="766" t="s">
        <v>329</v>
      </c>
      <c r="W131" s="766" t="s">
        <v>329</v>
      </c>
      <c r="X131" s="766" t="s">
        <v>329</v>
      </c>
      <c r="Y131" s="766" t="s">
        <v>329</v>
      </c>
      <c r="Z131" s="576" t="s">
        <v>14</v>
      </c>
      <c r="AA131" s="576" t="s">
        <v>14</v>
      </c>
      <c r="AB131" s="573" t="s">
        <v>327</v>
      </c>
      <c r="AC131" s="572" t="s">
        <v>719</v>
      </c>
      <c r="AD131" s="573" t="s">
        <v>327</v>
      </c>
      <c r="AE131" s="573" t="s">
        <v>327</v>
      </c>
      <c r="AF131" s="608" t="s">
        <v>327</v>
      </c>
    </row>
    <row r="132" spans="1:32" ht="25.5" customHeight="1">
      <c r="A132" s="659" t="s">
        <v>354</v>
      </c>
      <c r="B132" s="704" t="s">
        <v>720</v>
      </c>
      <c r="C132" s="600" t="s">
        <v>329</v>
      </c>
      <c r="D132" s="600" t="s">
        <v>329</v>
      </c>
      <c r="E132" s="574" t="s">
        <v>173</v>
      </c>
      <c r="F132" s="574" t="s">
        <v>173</v>
      </c>
      <c r="G132" s="600" t="s">
        <v>329</v>
      </c>
      <c r="H132" s="572" t="s">
        <v>721</v>
      </c>
      <c r="I132" s="572" t="s">
        <v>722</v>
      </c>
      <c r="J132" s="572" t="s">
        <v>721</v>
      </c>
      <c r="K132" s="600" t="s">
        <v>329</v>
      </c>
      <c r="L132" s="574" t="s">
        <v>173</v>
      </c>
      <c r="M132" s="574" t="s">
        <v>173</v>
      </c>
      <c r="N132" s="600" t="s">
        <v>329</v>
      </c>
      <c r="O132" s="600" t="s">
        <v>329</v>
      </c>
      <c r="P132" s="600" t="s">
        <v>329</v>
      </c>
      <c r="Q132" s="600" t="s">
        <v>329</v>
      </c>
      <c r="R132" s="600" t="s">
        <v>329</v>
      </c>
      <c r="S132" s="574" t="s">
        <v>173</v>
      </c>
      <c r="T132" s="574" t="s">
        <v>173</v>
      </c>
      <c r="U132" s="757" t="s">
        <v>331</v>
      </c>
      <c r="V132" s="757" t="s">
        <v>331</v>
      </c>
      <c r="W132" s="757" t="s">
        <v>331</v>
      </c>
      <c r="X132" s="757" t="s">
        <v>331</v>
      </c>
      <c r="Y132" s="757" t="s">
        <v>331</v>
      </c>
      <c r="Z132" s="574" t="s">
        <v>173</v>
      </c>
      <c r="AA132" s="574" t="s">
        <v>173</v>
      </c>
      <c r="AB132" s="609" t="s">
        <v>325</v>
      </c>
      <c r="AC132" s="609" t="s">
        <v>325</v>
      </c>
      <c r="AD132" s="609" t="s">
        <v>325</v>
      </c>
      <c r="AE132" s="609" t="s">
        <v>325</v>
      </c>
      <c r="AF132" s="613" t="s">
        <v>325</v>
      </c>
    </row>
    <row r="133" spans="1:32" ht="25.5" customHeight="1">
      <c r="A133" s="661" t="s">
        <v>360</v>
      </c>
      <c r="B133" s="705" t="s">
        <v>327</v>
      </c>
      <c r="C133" s="577" t="s">
        <v>327</v>
      </c>
      <c r="D133" s="577" t="s">
        <v>327</v>
      </c>
      <c r="E133" s="572" t="s">
        <v>723</v>
      </c>
      <c r="F133" s="574" t="s">
        <v>173</v>
      </c>
      <c r="G133" s="576" t="s">
        <v>331</v>
      </c>
      <c r="H133" s="576" t="s">
        <v>331</v>
      </c>
      <c r="I133" s="576" t="s">
        <v>331</v>
      </c>
      <c r="J133" s="576" t="s">
        <v>331</v>
      </c>
      <c r="K133" s="576" t="s">
        <v>331</v>
      </c>
      <c r="L133" s="576" t="s">
        <v>14</v>
      </c>
      <c r="M133" s="576" t="s">
        <v>14</v>
      </c>
      <c r="N133" s="597" t="s">
        <v>9</v>
      </c>
      <c r="O133" s="597" t="s">
        <v>9</v>
      </c>
      <c r="P133" s="597" t="s">
        <v>9</v>
      </c>
      <c r="Q133" s="597" t="s">
        <v>9</v>
      </c>
      <c r="R133" s="597" t="s">
        <v>9</v>
      </c>
      <c r="S133" s="597" t="s">
        <v>9</v>
      </c>
      <c r="T133" s="597" t="s">
        <v>9</v>
      </c>
      <c r="U133" s="573" t="s">
        <v>327</v>
      </c>
      <c r="V133" s="573" t="s">
        <v>327</v>
      </c>
      <c r="W133" s="573" t="s">
        <v>327</v>
      </c>
      <c r="X133" s="573" t="s">
        <v>327</v>
      </c>
      <c r="Y133" s="573" t="s">
        <v>327</v>
      </c>
      <c r="Z133" s="574" t="s">
        <v>173</v>
      </c>
      <c r="AA133" s="574"/>
      <c r="AB133" s="609" t="s">
        <v>325</v>
      </c>
      <c r="AC133" s="609" t="s">
        <v>325</v>
      </c>
      <c r="AD133" s="609" t="s">
        <v>325</v>
      </c>
      <c r="AE133" s="609" t="s">
        <v>325</v>
      </c>
      <c r="AF133" s="613" t="s">
        <v>325</v>
      </c>
    </row>
    <row r="134" spans="1:32" ht="25.5" customHeight="1">
      <c r="A134" s="659" t="s">
        <v>363</v>
      </c>
      <c r="B134" s="709" t="s">
        <v>325</v>
      </c>
      <c r="C134" s="609" t="s">
        <v>325</v>
      </c>
      <c r="D134" s="572" t="s">
        <v>710</v>
      </c>
      <c r="E134" s="572" t="s">
        <v>352</v>
      </c>
      <c r="F134" s="574"/>
      <c r="G134" s="573" t="s">
        <v>327</v>
      </c>
      <c r="H134" s="573" t="s">
        <v>327</v>
      </c>
      <c r="I134" s="573" t="s">
        <v>327</v>
      </c>
      <c r="J134" s="573" t="s">
        <v>327</v>
      </c>
      <c r="K134" s="572" t="s">
        <v>668</v>
      </c>
      <c r="L134" s="572" t="s">
        <v>352</v>
      </c>
      <c r="M134" s="574" t="s">
        <v>173</v>
      </c>
      <c r="N134" s="576" t="s">
        <v>331</v>
      </c>
      <c r="O134" s="576" t="s">
        <v>331</v>
      </c>
      <c r="P134" s="576" t="s">
        <v>331</v>
      </c>
      <c r="Q134" s="576" t="s">
        <v>331</v>
      </c>
      <c r="R134" s="576" t="s">
        <v>331</v>
      </c>
      <c r="S134" s="576" t="s">
        <v>14</v>
      </c>
      <c r="T134" s="576" t="s">
        <v>14</v>
      </c>
      <c r="U134" s="609" t="s">
        <v>325</v>
      </c>
      <c r="V134" s="609" t="s">
        <v>325</v>
      </c>
      <c r="W134" s="609" t="s">
        <v>325</v>
      </c>
      <c r="X134" s="609" t="s">
        <v>325</v>
      </c>
      <c r="Y134" s="609" t="s">
        <v>325</v>
      </c>
      <c r="Z134" s="574" t="s">
        <v>173</v>
      </c>
      <c r="AA134" s="574" t="s">
        <v>173</v>
      </c>
      <c r="AB134" s="600" t="s">
        <v>383</v>
      </c>
      <c r="AC134" s="600" t="s">
        <v>383</v>
      </c>
      <c r="AD134" s="600" t="s">
        <v>383</v>
      </c>
      <c r="AE134" s="600" t="s">
        <v>383</v>
      </c>
      <c r="AF134" s="606" t="s">
        <v>383</v>
      </c>
    </row>
    <row r="135" spans="1:32" ht="25.5" customHeight="1">
      <c r="A135" s="665" t="s">
        <v>364</v>
      </c>
      <c r="B135" s="740" t="s">
        <v>724</v>
      </c>
      <c r="C135" s="575" t="s">
        <v>331</v>
      </c>
      <c r="D135" s="575" t="s">
        <v>331</v>
      </c>
      <c r="E135" s="575" t="s">
        <v>14</v>
      </c>
      <c r="F135" s="575" t="s">
        <v>14</v>
      </c>
      <c r="G135" s="618" t="s">
        <v>325</v>
      </c>
      <c r="H135" s="618" t="s">
        <v>325</v>
      </c>
      <c r="I135" s="618" t="s">
        <v>325</v>
      </c>
      <c r="J135" s="618" t="s">
        <v>325</v>
      </c>
      <c r="K135" s="618" t="s">
        <v>325</v>
      </c>
      <c r="L135" s="617" t="s">
        <v>173</v>
      </c>
      <c r="M135" s="617" t="s">
        <v>173</v>
      </c>
      <c r="N135" s="618" t="s">
        <v>325</v>
      </c>
      <c r="O135" s="618" t="s">
        <v>325</v>
      </c>
      <c r="P135" s="618" t="s">
        <v>325</v>
      </c>
      <c r="Q135" s="599" t="s">
        <v>725</v>
      </c>
      <c r="R135" s="618" t="s">
        <v>325</v>
      </c>
      <c r="S135" s="617"/>
      <c r="T135" s="617"/>
      <c r="U135" s="616" t="s">
        <v>329</v>
      </c>
      <c r="V135" s="616" t="s">
        <v>329</v>
      </c>
      <c r="W135" s="616" t="s">
        <v>329</v>
      </c>
      <c r="X135" s="616" t="s">
        <v>329</v>
      </c>
      <c r="Y135" s="616" t="s">
        <v>329</v>
      </c>
      <c r="Z135" s="617" t="s">
        <v>173</v>
      </c>
      <c r="AA135" s="617" t="s">
        <v>173</v>
      </c>
      <c r="AB135" s="575" t="s">
        <v>331</v>
      </c>
      <c r="AC135" s="575" t="s">
        <v>331</v>
      </c>
      <c r="AD135" s="575" t="s">
        <v>331</v>
      </c>
      <c r="AE135" s="575" t="s">
        <v>331</v>
      </c>
      <c r="AF135" s="741" t="s">
        <v>331</v>
      </c>
    </row>
    <row r="136" spans="1:32" ht="25.5" customHeight="1"/>
    <row r="137" spans="1:32" ht="25.5" customHeight="1">
      <c r="B137" s="871" t="s">
        <v>430</v>
      </c>
      <c r="C137" s="872"/>
      <c r="D137" s="872"/>
      <c r="E137" s="872"/>
      <c r="F137" s="872"/>
      <c r="G137" s="872"/>
      <c r="H137" s="872"/>
      <c r="I137" s="872"/>
      <c r="J137" s="872"/>
      <c r="K137" s="872"/>
      <c r="L137" s="872"/>
      <c r="M137" s="872"/>
      <c r="N137" s="872"/>
      <c r="O137" s="872"/>
      <c r="P137" s="872"/>
      <c r="Q137" s="872"/>
      <c r="R137" s="872"/>
      <c r="S137" s="872"/>
      <c r="T137" s="872"/>
      <c r="U137" s="872"/>
      <c r="V137" s="872"/>
      <c r="W137" s="872"/>
      <c r="X137" s="872"/>
      <c r="Y137" s="872"/>
      <c r="Z137" s="872"/>
      <c r="AA137" s="872"/>
      <c r="AB137" s="872"/>
      <c r="AC137" s="872"/>
      <c r="AD137" s="872"/>
      <c r="AE137" s="873"/>
    </row>
    <row r="138" spans="1:32" ht="25.5" customHeight="1">
      <c r="A138" s="869" t="s">
        <v>341</v>
      </c>
      <c r="B138" s="742" t="s">
        <v>84</v>
      </c>
      <c r="C138" s="635" t="s">
        <v>85</v>
      </c>
      <c r="D138" s="743" t="s">
        <v>86</v>
      </c>
      <c r="E138" s="743" t="s">
        <v>87</v>
      </c>
      <c r="F138" s="743" t="s">
        <v>44</v>
      </c>
      <c r="G138" s="743" t="s">
        <v>28</v>
      </c>
      <c r="H138" s="743" t="s">
        <v>9</v>
      </c>
      <c r="I138" s="743" t="s">
        <v>84</v>
      </c>
      <c r="J138" s="635" t="s">
        <v>85</v>
      </c>
      <c r="K138" s="743" t="s">
        <v>86</v>
      </c>
      <c r="L138" s="743" t="s">
        <v>87</v>
      </c>
      <c r="M138" s="743" t="s">
        <v>44</v>
      </c>
      <c r="N138" s="743" t="s">
        <v>28</v>
      </c>
      <c r="O138" s="743" t="s">
        <v>9</v>
      </c>
      <c r="P138" s="743" t="s">
        <v>84</v>
      </c>
      <c r="Q138" s="635" t="s">
        <v>85</v>
      </c>
      <c r="R138" s="743" t="s">
        <v>86</v>
      </c>
      <c r="S138" s="743" t="s">
        <v>87</v>
      </c>
      <c r="T138" s="743" t="s">
        <v>44</v>
      </c>
      <c r="U138" s="743" t="s">
        <v>28</v>
      </c>
      <c r="V138" s="743" t="s">
        <v>9</v>
      </c>
      <c r="W138" s="743" t="s">
        <v>84</v>
      </c>
      <c r="X138" s="635" t="s">
        <v>85</v>
      </c>
      <c r="Y138" s="743" t="s">
        <v>86</v>
      </c>
      <c r="Z138" s="743" t="s">
        <v>87</v>
      </c>
      <c r="AA138" s="743" t="s">
        <v>44</v>
      </c>
      <c r="AB138" s="743" t="s">
        <v>28</v>
      </c>
      <c r="AC138" s="743" t="s">
        <v>9</v>
      </c>
      <c r="AD138" s="743" t="s">
        <v>84</v>
      </c>
      <c r="AE138" s="744" t="s">
        <v>85</v>
      </c>
    </row>
    <row r="139" spans="1:32" ht="25.5" customHeight="1">
      <c r="A139" s="890"/>
      <c r="B139" s="765">
        <v>1</v>
      </c>
      <c r="C139" s="685">
        <v>2</v>
      </c>
      <c r="D139" s="638">
        <v>3</v>
      </c>
      <c r="E139" s="638">
        <v>4</v>
      </c>
      <c r="F139" s="638">
        <v>5</v>
      </c>
      <c r="G139" s="638">
        <v>6</v>
      </c>
      <c r="H139" s="638">
        <v>7</v>
      </c>
      <c r="I139" s="639">
        <v>8</v>
      </c>
      <c r="J139" s="639">
        <v>9</v>
      </c>
      <c r="K139" s="638">
        <v>10</v>
      </c>
      <c r="L139" s="638">
        <v>11</v>
      </c>
      <c r="M139" s="638">
        <v>12</v>
      </c>
      <c r="N139" s="638">
        <v>13</v>
      </c>
      <c r="O139" s="638">
        <v>14</v>
      </c>
      <c r="P139" s="639">
        <v>15</v>
      </c>
      <c r="Q139" s="639">
        <v>16</v>
      </c>
      <c r="R139" s="638">
        <v>17</v>
      </c>
      <c r="S139" s="638">
        <v>18</v>
      </c>
      <c r="T139" s="638">
        <v>19</v>
      </c>
      <c r="U139" s="638">
        <v>20</v>
      </c>
      <c r="V139" s="638">
        <v>21</v>
      </c>
      <c r="W139" s="639">
        <v>22</v>
      </c>
      <c r="X139" s="639">
        <v>23</v>
      </c>
      <c r="Y139" s="640">
        <v>24</v>
      </c>
      <c r="Z139" s="640">
        <v>25</v>
      </c>
      <c r="AA139" s="640">
        <v>26</v>
      </c>
      <c r="AB139" s="640">
        <v>27</v>
      </c>
      <c r="AC139" s="640">
        <v>28</v>
      </c>
      <c r="AD139" s="685">
        <v>29</v>
      </c>
      <c r="AE139" s="737">
        <v>30</v>
      </c>
    </row>
    <row r="140" spans="1:32" ht="25.5" customHeight="1">
      <c r="A140" s="650" t="s">
        <v>345</v>
      </c>
      <c r="B140" s="601" t="s">
        <v>173</v>
      </c>
      <c r="C140" s="579" t="s">
        <v>173</v>
      </c>
      <c r="D140" s="602" t="s">
        <v>329</v>
      </c>
      <c r="E140" s="602" t="s">
        <v>329</v>
      </c>
      <c r="F140" s="602" t="s">
        <v>329</v>
      </c>
      <c r="G140" s="602" t="s">
        <v>329</v>
      </c>
      <c r="H140" s="602" t="s">
        <v>329</v>
      </c>
      <c r="I140" s="598" t="s">
        <v>726</v>
      </c>
      <c r="J140" s="579" t="s">
        <v>173</v>
      </c>
      <c r="K140" s="731" t="s">
        <v>173</v>
      </c>
      <c r="L140" s="602" t="s">
        <v>329</v>
      </c>
      <c r="M140" s="602" t="s">
        <v>329</v>
      </c>
      <c r="N140" s="602" t="s">
        <v>329</v>
      </c>
      <c r="O140" s="602" t="s">
        <v>329</v>
      </c>
      <c r="P140" s="579" t="s">
        <v>173</v>
      </c>
      <c r="Q140" s="579" t="s">
        <v>173</v>
      </c>
      <c r="R140" s="602" t="s">
        <v>329</v>
      </c>
      <c r="S140" s="598" t="s">
        <v>727</v>
      </c>
      <c r="T140" s="602" t="s">
        <v>329</v>
      </c>
      <c r="U140" s="598" t="s">
        <v>728</v>
      </c>
      <c r="V140" s="602" t="s">
        <v>329</v>
      </c>
      <c r="W140" s="579" t="s">
        <v>173</v>
      </c>
      <c r="X140" s="579" t="s">
        <v>173</v>
      </c>
      <c r="Y140" s="602" t="s">
        <v>329</v>
      </c>
      <c r="Z140" s="602" t="s">
        <v>329</v>
      </c>
      <c r="AA140" s="602" t="s">
        <v>329</v>
      </c>
      <c r="AB140" s="602" t="s">
        <v>329</v>
      </c>
      <c r="AC140" s="602" t="s">
        <v>329</v>
      </c>
      <c r="AD140" s="579" t="s">
        <v>173</v>
      </c>
      <c r="AE140" s="711" t="s">
        <v>173</v>
      </c>
    </row>
    <row r="141" spans="1:32" ht="25.5" customHeight="1">
      <c r="A141" s="678" t="s">
        <v>347</v>
      </c>
      <c r="B141" s="605" t="s">
        <v>173</v>
      </c>
      <c r="C141" s="574" t="s">
        <v>173</v>
      </c>
      <c r="D141" s="600" t="s">
        <v>329</v>
      </c>
      <c r="E141" s="600" t="s">
        <v>329</v>
      </c>
      <c r="F141" s="600" t="s">
        <v>329</v>
      </c>
      <c r="G141" s="600" t="s">
        <v>329</v>
      </c>
      <c r="H141" s="600" t="s">
        <v>329</v>
      </c>
      <c r="I141" s="574" t="s">
        <v>173</v>
      </c>
      <c r="J141" s="574" t="s">
        <v>173</v>
      </c>
      <c r="K141" s="706" t="s">
        <v>173</v>
      </c>
      <c r="L141" s="600" t="s">
        <v>329</v>
      </c>
      <c r="M141" s="600" t="s">
        <v>329</v>
      </c>
      <c r="N141" s="600" t="s">
        <v>329</v>
      </c>
      <c r="O141" s="600" t="s">
        <v>329</v>
      </c>
      <c r="P141" s="574" t="s">
        <v>173</v>
      </c>
      <c r="Q141" s="574" t="s">
        <v>173</v>
      </c>
      <c r="R141" s="600" t="s">
        <v>329</v>
      </c>
      <c r="S141" s="600" t="s">
        <v>329</v>
      </c>
      <c r="T141" s="600" t="s">
        <v>329</v>
      </c>
      <c r="U141" s="600" t="s">
        <v>329</v>
      </c>
      <c r="V141" s="600" t="s">
        <v>329</v>
      </c>
      <c r="W141" s="574" t="s">
        <v>173</v>
      </c>
      <c r="X141" s="574" t="s">
        <v>173</v>
      </c>
      <c r="Y141" s="600" t="s">
        <v>329</v>
      </c>
      <c r="Z141" s="600" t="s">
        <v>329</v>
      </c>
      <c r="AA141" s="600" t="s">
        <v>329</v>
      </c>
      <c r="AB141" s="600" t="s">
        <v>329</v>
      </c>
      <c r="AC141" s="600" t="s">
        <v>329</v>
      </c>
      <c r="AD141" s="574" t="s">
        <v>173</v>
      </c>
      <c r="AE141" s="712" t="s">
        <v>173</v>
      </c>
    </row>
    <row r="142" spans="1:32" ht="25.5" customHeight="1">
      <c r="A142" s="650" t="s">
        <v>349</v>
      </c>
      <c r="B142" s="605" t="s">
        <v>173</v>
      </c>
      <c r="C142" s="574" t="s">
        <v>173</v>
      </c>
      <c r="D142" s="573" t="s">
        <v>327</v>
      </c>
      <c r="E142" s="573" t="s">
        <v>327</v>
      </c>
      <c r="F142" s="573" t="s">
        <v>327</v>
      </c>
      <c r="G142" s="573" t="s">
        <v>327</v>
      </c>
      <c r="H142" s="573" t="s">
        <v>327</v>
      </c>
      <c r="I142" s="574" t="s">
        <v>173</v>
      </c>
      <c r="J142" s="574" t="s">
        <v>173</v>
      </c>
      <c r="K142" s="706" t="s">
        <v>173</v>
      </c>
      <c r="L142" s="573" t="s">
        <v>327</v>
      </c>
      <c r="M142" s="573" t="s">
        <v>327</v>
      </c>
      <c r="N142" s="573" t="s">
        <v>327</v>
      </c>
      <c r="O142" s="573" t="s">
        <v>327</v>
      </c>
      <c r="P142" s="574" t="s">
        <v>173</v>
      </c>
      <c r="Q142" s="574" t="s">
        <v>173</v>
      </c>
      <c r="R142" s="573" t="s">
        <v>327</v>
      </c>
      <c r="S142" s="572" t="s">
        <v>729</v>
      </c>
      <c r="T142" s="573" t="s">
        <v>327</v>
      </c>
      <c r="U142" s="573" t="s">
        <v>327</v>
      </c>
      <c r="V142" s="573" t="s">
        <v>327</v>
      </c>
      <c r="W142" s="574" t="s">
        <v>173</v>
      </c>
      <c r="X142" s="574" t="s">
        <v>173</v>
      </c>
      <c r="Y142" s="573" t="s">
        <v>327</v>
      </c>
      <c r="Z142" s="573" t="s">
        <v>327</v>
      </c>
      <c r="AA142" s="573" t="s">
        <v>327</v>
      </c>
      <c r="AB142" s="573" t="s">
        <v>327</v>
      </c>
      <c r="AC142" s="573" t="s">
        <v>327</v>
      </c>
      <c r="AD142" s="574" t="s">
        <v>173</v>
      </c>
      <c r="AE142" s="712" t="s">
        <v>173</v>
      </c>
    </row>
    <row r="143" spans="1:32" ht="25.5" customHeight="1">
      <c r="A143" s="654" t="s">
        <v>353</v>
      </c>
      <c r="B143" s="605" t="s">
        <v>173</v>
      </c>
      <c r="C143" s="574" t="s">
        <v>173</v>
      </c>
      <c r="D143" s="600" t="s">
        <v>329</v>
      </c>
      <c r="E143" s="600" t="s">
        <v>329</v>
      </c>
      <c r="F143" s="600" t="s">
        <v>329</v>
      </c>
      <c r="G143" s="600" t="s">
        <v>329</v>
      </c>
      <c r="H143" s="572" t="s">
        <v>694</v>
      </c>
      <c r="I143" s="572" t="s">
        <v>352</v>
      </c>
      <c r="J143" s="574" t="s">
        <v>173</v>
      </c>
      <c r="K143" s="706" t="s">
        <v>173</v>
      </c>
      <c r="L143" s="573" t="s">
        <v>327</v>
      </c>
      <c r="M143" s="573" t="s">
        <v>327</v>
      </c>
      <c r="N143" s="573" t="s">
        <v>327</v>
      </c>
      <c r="O143" s="573" t="s">
        <v>327</v>
      </c>
      <c r="P143" s="574" t="s">
        <v>173</v>
      </c>
      <c r="Q143" s="574" t="s">
        <v>173</v>
      </c>
      <c r="R143" s="600" t="s">
        <v>329</v>
      </c>
      <c r="S143" s="572" t="s">
        <v>730</v>
      </c>
      <c r="T143" s="572" t="s">
        <v>731</v>
      </c>
      <c r="U143" s="600" t="s">
        <v>329</v>
      </c>
      <c r="V143" s="600" t="s">
        <v>329</v>
      </c>
      <c r="W143" s="574" t="s">
        <v>173</v>
      </c>
      <c r="X143" s="574" t="s">
        <v>173</v>
      </c>
      <c r="Y143" s="573" t="s">
        <v>327</v>
      </c>
      <c r="Z143" s="573" t="s">
        <v>327</v>
      </c>
      <c r="AA143" s="573" t="s">
        <v>327</v>
      </c>
      <c r="AB143" s="573" t="s">
        <v>327</v>
      </c>
      <c r="AC143" s="573" t="s">
        <v>327</v>
      </c>
      <c r="AD143" s="574" t="s">
        <v>173</v>
      </c>
      <c r="AE143" s="712" t="s">
        <v>173</v>
      </c>
    </row>
    <row r="144" spans="1:32" ht="25.5" customHeight="1">
      <c r="A144" s="659" t="s">
        <v>354</v>
      </c>
      <c r="B144" s="605" t="s">
        <v>173</v>
      </c>
      <c r="C144" s="574" t="s">
        <v>173</v>
      </c>
      <c r="D144" s="597" t="s">
        <v>9</v>
      </c>
      <c r="E144" s="597" t="s">
        <v>9</v>
      </c>
      <c r="F144" s="597" t="s">
        <v>9</v>
      </c>
      <c r="G144" s="597" t="s">
        <v>9</v>
      </c>
      <c r="H144" s="597" t="s">
        <v>9</v>
      </c>
      <c r="I144" s="597" t="s">
        <v>9</v>
      </c>
      <c r="J144" s="597" t="s">
        <v>9</v>
      </c>
      <c r="K144" s="597" t="s">
        <v>9</v>
      </c>
      <c r="L144" s="597" t="s">
        <v>9</v>
      </c>
      <c r="M144" s="597" t="s">
        <v>9</v>
      </c>
      <c r="N144" s="597" t="s">
        <v>9</v>
      </c>
      <c r="O144" s="597" t="s">
        <v>9</v>
      </c>
      <c r="P144" s="597" t="s">
        <v>9</v>
      </c>
      <c r="Q144" s="597" t="s">
        <v>9</v>
      </c>
      <c r="R144" s="576" t="s">
        <v>331</v>
      </c>
      <c r="S144" s="576" t="s">
        <v>331</v>
      </c>
      <c r="T144" s="576" t="s">
        <v>331</v>
      </c>
      <c r="U144" s="576" t="s">
        <v>331</v>
      </c>
      <c r="V144" s="576" t="s">
        <v>331</v>
      </c>
      <c r="W144" s="576" t="s">
        <v>14</v>
      </c>
      <c r="X144" s="576" t="s">
        <v>14</v>
      </c>
      <c r="Y144" s="609" t="s">
        <v>325</v>
      </c>
      <c r="Z144" s="609" t="s">
        <v>325</v>
      </c>
      <c r="AA144" s="609" t="s">
        <v>325</v>
      </c>
      <c r="AB144" s="609" t="s">
        <v>325</v>
      </c>
      <c r="AC144" s="609" t="s">
        <v>325</v>
      </c>
      <c r="AD144" s="574" t="s">
        <v>173</v>
      </c>
      <c r="AE144" s="712" t="s">
        <v>173</v>
      </c>
    </row>
    <row r="145" spans="1:37" ht="25.5" customHeight="1">
      <c r="A145" s="661" t="s">
        <v>360</v>
      </c>
      <c r="B145" s="605" t="s">
        <v>173</v>
      </c>
      <c r="C145" s="574" t="s">
        <v>173</v>
      </c>
      <c r="D145" s="600" t="s">
        <v>329</v>
      </c>
      <c r="E145" s="572" t="s">
        <v>732</v>
      </c>
      <c r="F145" s="600" t="s">
        <v>329</v>
      </c>
      <c r="G145" s="600" t="s">
        <v>329</v>
      </c>
      <c r="H145" s="600" t="s">
        <v>329</v>
      </c>
      <c r="I145" s="574" t="s">
        <v>173</v>
      </c>
      <c r="J145" s="574" t="s">
        <v>173</v>
      </c>
      <c r="K145" s="576" t="s">
        <v>14</v>
      </c>
      <c r="L145" s="576" t="s">
        <v>331</v>
      </c>
      <c r="M145" s="576" t="s">
        <v>331</v>
      </c>
      <c r="N145" s="576" t="s">
        <v>331</v>
      </c>
      <c r="O145" s="576" t="s">
        <v>331</v>
      </c>
      <c r="P145" s="576" t="s">
        <v>14</v>
      </c>
      <c r="Q145" s="576" t="s">
        <v>14</v>
      </c>
      <c r="R145" s="609" t="s">
        <v>325</v>
      </c>
      <c r="S145" s="609" t="s">
        <v>325</v>
      </c>
      <c r="T145" s="597" t="s">
        <v>9</v>
      </c>
      <c r="U145" s="572" t="s">
        <v>733</v>
      </c>
      <c r="V145" s="609" t="s">
        <v>325</v>
      </c>
      <c r="W145" s="572" t="s">
        <v>734</v>
      </c>
      <c r="X145" s="574"/>
      <c r="Y145" s="609" t="s">
        <v>325</v>
      </c>
      <c r="Z145" s="609" t="s">
        <v>325</v>
      </c>
      <c r="AA145" s="609" t="s">
        <v>325</v>
      </c>
      <c r="AB145" s="609" t="s">
        <v>325</v>
      </c>
      <c r="AC145" s="609" t="s">
        <v>325</v>
      </c>
      <c r="AD145" s="574" t="s">
        <v>173</v>
      </c>
      <c r="AE145" s="712" t="s">
        <v>173</v>
      </c>
    </row>
    <row r="146" spans="1:37" ht="25.5" customHeight="1">
      <c r="A146" s="659" t="s">
        <v>363</v>
      </c>
      <c r="B146" s="605"/>
      <c r="C146" s="574"/>
      <c r="D146" s="576" t="s">
        <v>331</v>
      </c>
      <c r="E146" s="576" t="s">
        <v>331</v>
      </c>
      <c r="F146" s="576" t="s">
        <v>331</v>
      </c>
      <c r="G146" s="576" t="s">
        <v>331</v>
      </c>
      <c r="H146" s="576" t="s">
        <v>331</v>
      </c>
      <c r="I146" s="576" t="s">
        <v>14</v>
      </c>
      <c r="J146" s="576" t="s">
        <v>14</v>
      </c>
      <c r="K146" s="706" t="s">
        <v>173</v>
      </c>
      <c r="L146" s="609" t="s">
        <v>325</v>
      </c>
      <c r="M146" s="609" t="s">
        <v>325</v>
      </c>
      <c r="N146" s="609" t="s">
        <v>325</v>
      </c>
      <c r="O146" s="609" t="s">
        <v>325</v>
      </c>
      <c r="P146" s="574"/>
      <c r="Q146" s="574"/>
      <c r="R146" s="609" t="s">
        <v>325</v>
      </c>
      <c r="S146" s="609" t="s">
        <v>325</v>
      </c>
      <c r="T146" s="609" t="s">
        <v>325</v>
      </c>
      <c r="U146" s="609" t="s">
        <v>325</v>
      </c>
      <c r="V146" s="609" t="s">
        <v>325</v>
      </c>
      <c r="W146" s="574"/>
      <c r="X146" s="574"/>
      <c r="Y146" s="600" t="s">
        <v>383</v>
      </c>
      <c r="Z146" s="600" t="s">
        <v>383</v>
      </c>
      <c r="AA146" s="600" t="s">
        <v>383</v>
      </c>
      <c r="AB146" s="600" t="s">
        <v>383</v>
      </c>
      <c r="AC146" s="600" t="s">
        <v>383</v>
      </c>
      <c r="AD146" s="574"/>
      <c r="AE146" s="712"/>
    </row>
    <row r="147" spans="1:37" ht="25.5" customHeight="1">
      <c r="A147" s="665" t="s">
        <v>364</v>
      </c>
      <c r="B147" s="740" t="s">
        <v>14</v>
      </c>
      <c r="C147" s="575" t="s">
        <v>14</v>
      </c>
      <c r="D147" s="618" t="s">
        <v>325</v>
      </c>
      <c r="E147" s="618" t="s">
        <v>325</v>
      </c>
      <c r="F147" s="618" t="s">
        <v>325</v>
      </c>
      <c r="G147" s="618" t="s">
        <v>325</v>
      </c>
      <c r="H147" s="618" t="s">
        <v>325</v>
      </c>
      <c r="I147" s="617" t="s">
        <v>173</v>
      </c>
      <c r="J147" s="617" t="s">
        <v>173</v>
      </c>
      <c r="K147" s="734" t="s">
        <v>9</v>
      </c>
      <c r="L147" s="734" t="s">
        <v>9</v>
      </c>
      <c r="M147" s="734" t="s">
        <v>9</v>
      </c>
      <c r="N147" s="734" t="s">
        <v>9</v>
      </c>
      <c r="O147" s="734" t="s">
        <v>9</v>
      </c>
      <c r="P147" s="734" t="s">
        <v>9</v>
      </c>
      <c r="Q147" s="734" t="s">
        <v>9</v>
      </c>
      <c r="R147" s="599" t="s">
        <v>727</v>
      </c>
      <c r="S147" s="616" t="s">
        <v>329</v>
      </c>
      <c r="T147" s="616" t="s">
        <v>329</v>
      </c>
      <c r="U147" s="616" t="s">
        <v>329</v>
      </c>
      <c r="V147" s="616" t="s">
        <v>329</v>
      </c>
      <c r="W147" s="617" t="s">
        <v>173</v>
      </c>
      <c r="X147" s="617" t="s">
        <v>173</v>
      </c>
      <c r="Y147" s="575" t="s">
        <v>331</v>
      </c>
      <c r="Z147" s="575" t="s">
        <v>331</v>
      </c>
      <c r="AA147" s="575" t="s">
        <v>331</v>
      </c>
      <c r="AB147" s="575" t="s">
        <v>331</v>
      </c>
      <c r="AC147" s="575" t="s">
        <v>331</v>
      </c>
      <c r="AD147" s="575" t="s">
        <v>14</v>
      </c>
      <c r="AE147" s="741" t="s">
        <v>14</v>
      </c>
    </row>
    <row r="148" spans="1:37" ht="25.5" customHeight="1"/>
    <row r="149" spans="1:37" ht="25.5" customHeight="1" thickBot="1">
      <c r="B149" s="877" t="s">
        <v>431</v>
      </c>
      <c r="C149" s="878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  <c r="O149" s="878"/>
      <c r="P149" s="878"/>
      <c r="Q149" s="878"/>
      <c r="R149" s="878"/>
      <c r="S149" s="878"/>
      <c r="T149" s="878"/>
      <c r="U149" s="878"/>
      <c r="V149" s="878"/>
      <c r="W149" s="878"/>
      <c r="X149" s="878"/>
      <c r="Y149" s="878"/>
      <c r="Z149" s="878"/>
      <c r="AA149" s="878"/>
      <c r="AB149" s="878"/>
      <c r="AC149" s="878"/>
      <c r="AD149" s="878"/>
      <c r="AE149" s="878"/>
      <c r="AF149" s="879"/>
    </row>
    <row r="150" spans="1:37" ht="25.5" customHeight="1">
      <c r="A150" s="869" t="s">
        <v>341</v>
      </c>
      <c r="B150" s="633" t="s">
        <v>86</v>
      </c>
      <c r="C150" s="634" t="s">
        <v>87</v>
      </c>
      <c r="D150" s="634" t="s">
        <v>44</v>
      </c>
      <c r="E150" s="634" t="s">
        <v>28</v>
      </c>
      <c r="F150" s="634" t="s">
        <v>9</v>
      </c>
      <c r="G150" s="634" t="s">
        <v>84</v>
      </c>
      <c r="H150" s="635" t="s">
        <v>85</v>
      </c>
      <c r="I150" s="634" t="s">
        <v>86</v>
      </c>
      <c r="J150" s="634" t="s">
        <v>87</v>
      </c>
      <c r="K150" s="634" t="s">
        <v>44</v>
      </c>
      <c r="L150" s="634" t="s">
        <v>28</v>
      </c>
      <c r="M150" s="634" t="s">
        <v>9</v>
      </c>
      <c r="N150" s="634" t="s">
        <v>84</v>
      </c>
      <c r="O150" s="635" t="s">
        <v>85</v>
      </c>
      <c r="P150" s="634" t="s">
        <v>86</v>
      </c>
      <c r="Q150" s="634" t="s">
        <v>87</v>
      </c>
      <c r="R150" s="634" t="s">
        <v>44</v>
      </c>
      <c r="S150" s="634" t="s">
        <v>28</v>
      </c>
      <c r="T150" s="634" t="s">
        <v>9</v>
      </c>
      <c r="U150" s="634" t="s">
        <v>84</v>
      </c>
      <c r="V150" s="635" t="s">
        <v>85</v>
      </c>
      <c r="W150" s="634" t="s">
        <v>86</v>
      </c>
      <c r="X150" s="634" t="s">
        <v>87</v>
      </c>
      <c r="Y150" s="634" t="s">
        <v>44</v>
      </c>
      <c r="Z150" s="635" t="s">
        <v>28</v>
      </c>
      <c r="AA150" s="634" t="s">
        <v>9</v>
      </c>
      <c r="AB150" s="634" t="s">
        <v>84</v>
      </c>
      <c r="AC150" s="635" t="s">
        <v>85</v>
      </c>
      <c r="AD150" s="634" t="s">
        <v>86</v>
      </c>
      <c r="AE150" s="634" t="s">
        <v>87</v>
      </c>
      <c r="AF150" s="636" t="s">
        <v>44</v>
      </c>
    </row>
    <row r="151" spans="1:37" ht="25.5" customHeight="1">
      <c r="A151" s="890"/>
      <c r="B151" s="701">
        <v>1</v>
      </c>
      <c r="C151" s="640">
        <v>2</v>
      </c>
      <c r="D151" s="638">
        <v>3</v>
      </c>
      <c r="E151" s="638">
        <v>4</v>
      </c>
      <c r="F151" s="638">
        <v>5</v>
      </c>
      <c r="G151" s="639">
        <v>6</v>
      </c>
      <c r="H151" s="639">
        <v>7</v>
      </c>
      <c r="I151" s="638">
        <v>8</v>
      </c>
      <c r="J151" s="638">
        <v>9</v>
      </c>
      <c r="K151" s="638">
        <v>10</v>
      </c>
      <c r="L151" s="638">
        <v>11</v>
      </c>
      <c r="M151" s="638">
        <v>12</v>
      </c>
      <c r="N151" s="639">
        <v>13</v>
      </c>
      <c r="O151" s="639">
        <v>14</v>
      </c>
      <c r="P151" s="638">
        <v>15</v>
      </c>
      <c r="Q151" s="638">
        <v>16</v>
      </c>
      <c r="R151" s="638">
        <v>17</v>
      </c>
      <c r="S151" s="640">
        <v>18</v>
      </c>
      <c r="T151" s="640">
        <v>19</v>
      </c>
      <c r="U151" s="685">
        <v>20</v>
      </c>
      <c r="V151" s="685">
        <v>21</v>
      </c>
      <c r="W151" s="640">
        <v>22</v>
      </c>
      <c r="X151" s="640">
        <v>23</v>
      </c>
      <c r="Y151" s="640">
        <v>24</v>
      </c>
      <c r="Z151" s="685">
        <v>25</v>
      </c>
      <c r="AA151" s="640">
        <v>26</v>
      </c>
      <c r="AB151" s="685">
        <v>27</v>
      </c>
      <c r="AC151" s="685">
        <v>28</v>
      </c>
      <c r="AD151" s="640">
        <v>29</v>
      </c>
      <c r="AE151" s="640">
        <v>30</v>
      </c>
      <c r="AF151" s="641">
        <v>31</v>
      </c>
      <c r="AG151" s="812"/>
      <c r="AH151" s="812"/>
      <c r="AI151" s="812"/>
      <c r="AJ151" s="812"/>
      <c r="AK151" s="812"/>
    </row>
    <row r="152" spans="1:37" ht="25.5" customHeight="1">
      <c r="A152" s="650" t="s">
        <v>345</v>
      </c>
      <c r="B152" s="703" t="s">
        <v>329</v>
      </c>
      <c r="C152" s="602" t="s">
        <v>329</v>
      </c>
      <c r="D152" s="598" t="s">
        <v>735</v>
      </c>
      <c r="E152" s="602" t="s">
        <v>329</v>
      </c>
      <c r="F152" s="602" t="s">
        <v>329</v>
      </c>
      <c r="G152" s="579" t="s">
        <v>173</v>
      </c>
      <c r="H152" s="579" t="s">
        <v>173</v>
      </c>
      <c r="I152" s="731" t="s">
        <v>173</v>
      </c>
      <c r="J152" s="598" t="s">
        <v>736</v>
      </c>
      <c r="K152" s="602" t="s">
        <v>329</v>
      </c>
      <c r="L152" s="598" t="s">
        <v>736</v>
      </c>
      <c r="M152" s="598" t="s">
        <v>737</v>
      </c>
      <c r="N152" s="579" t="s">
        <v>173</v>
      </c>
      <c r="O152" s="579" t="s">
        <v>173</v>
      </c>
      <c r="P152" s="598" t="s">
        <v>738</v>
      </c>
      <c r="Q152" s="602" t="s">
        <v>329</v>
      </c>
      <c r="R152" s="602" t="s">
        <v>329</v>
      </c>
      <c r="S152" s="580" t="s">
        <v>9</v>
      </c>
      <c r="T152" s="580" t="s">
        <v>9</v>
      </c>
      <c r="U152" s="579" t="s">
        <v>173</v>
      </c>
      <c r="V152" s="579" t="s">
        <v>173</v>
      </c>
      <c r="W152" s="602" t="s">
        <v>329</v>
      </c>
      <c r="X152" s="602" t="s">
        <v>329</v>
      </c>
      <c r="Y152" s="602" t="s">
        <v>329</v>
      </c>
      <c r="Z152" s="731" t="s">
        <v>173</v>
      </c>
      <c r="AA152" s="602" t="s">
        <v>329</v>
      </c>
      <c r="AB152" s="579" t="s">
        <v>173</v>
      </c>
      <c r="AC152" s="579" t="s">
        <v>173</v>
      </c>
      <c r="AD152" s="602" t="s">
        <v>329</v>
      </c>
      <c r="AE152" s="602" t="s">
        <v>329</v>
      </c>
      <c r="AF152" s="604" t="s">
        <v>329</v>
      </c>
      <c r="AG152" s="812"/>
      <c r="AH152" s="812"/>
      <c r="AI152" s="812"/>
      <c r="AJ152" s="812"/>
      <c r="AK152" s="812"/>
    </row>
    <row r="153" spans="1:37" ht="25.5" customHeight="1">
      <c r="A153" s="678" t="s">
        <v>347</v>
      </c>
      <c r="B153" s="704" t="s">
        <v>329</v>
      </c>
      <c r="C153" s="600" t="s">
        <v>329</v>
      </c>
      <c r="D153" s="600" t="s">
        <v>329</v>
      </c>
      <c r="E153" s="600" t="s">
        <v>329</v>
      </c>
      <c r="F153" s="600" t="s">
        <v>329</v>
      </c>
      <c r="G153" s="574" t="s">
        <v>173</v>
      </c>
      <c r="H153" s="574" t="s">
        <v>173</v>
      </c>
      <c r="I153" s="706" t="s">
        <v>173</v>
      </c>
      <c r="J153" s="600" t="s">
        <v>329</v>
      </c>
      <c r="K153" s="600" t="s">
        <v>329</v>
      </c>
      <c r="L153" s="600" t="s">
        <v>329</v>
      </c>
      <c r="M153" s="600" t="s">
        <v>329</v>
      </c>
      <c r="N153" s="574" t="s">
        <v>173</v>
      </c>
      <c r="O153" s="574" t="s">
        <v>173</v>
      </c>
      <c r="P153" s="600" t="s">
        <v>329</v>
      </c>
      <c r="Q153" s="600" t="s">
        <v>329</v>
      </c>
      <c r="R153" s="600" t="s">
        <v>329</v>
      </c>
      <c r="S153" s="600" t="s">
        <v>329</v>
      </c>
      <c r="T153" s="600" t="s">
        <v>329</v>
      </c>
      <c r="U153" s="574" t="s">
        <v>173</v>
      </c>
      <c r="V153" s="574" t="s">
        <v>173</v>
      </c>
      <c r="W153" s="600" t="s">
        <v>329</v>
      </c>
      <c r="X153" s="600" t="s">
        <v>329</v>
      </c>
      <c r="Y153" s="600" t="s">
        <v>329</v>
      </c>
      <c r="Z153" s="706" t="s">
        <v>173</v>
      </c>
      <c r="AA153" s="600" t="s">
        <v>329</v>
      </c>
      <c r="AB153" s="574" t="s">
        <v>173</v>
      </c>
      <c r="AC153" s="574" t="s">
        <v>173</v>
      </c>
      <c r="AD153" s="779" t="s">
        <v>9</v>
      </c>
      <c r="AE153" s="779" t="s">
        <v>9</v>
      </c>
      <c r="AF153" s="780" t="s">
        <v>9</v>
      </c>
      <c r="AG153" s="812"/>
      <c r="AH153" s="812"/>
      <c r="AI153" s="812"/>
      <c r="AJ153" s="812"/>
      <c r="AK153" s="812"/>
    </row>
    <row r="154" spans="1:37" ht="25.5" customHeight="1">
      <c r="A154" s="650" t="s">
        <v>349</v>
      </c>
      <c r="B154" s="705" t="s">
        <v>327</v>
      </c>
      <c r="C154" s="573" t="s">
        <v>327</v>
      </c>
      <c r="D154" s="572" t="s">
        <v>739</v>
      </c>
      <c r="E154" s="573" t="s">
        <v>327</v>
      </c>
      <c r="F154" s="572" t="s">
        <v>740</v>
      </c>
      <c r="G154" s="574" t="s">
        <v>173</v>
      </c>
      <c r="H154" s="574" t="s">
        <v>173</v>
      </c>
      <c r="I154" s="706" t="s">
        <v>173</v>
      </c>
      <c r="J154" s="573" t="s">
        <v>327</v>
      </c>
      <c r="K154" s="573" t="s">
        <v>327</v>
      </c>
      <c r="L154" s="573" t="s">
        <v>327</v>
      </c>
      <c r="M154" s="573" t="s">
        <v>327</v>
      </c>
      <c r="N154" s="574" t="s">
        <v>173</v>
      </c>
      <c r="O154" s="574" t="s">
        <v>173</v>
      </c>
      <c r="P154" s="573" t="s">
        <v>327</v>
      </c>
      <c r="Q154" s="572" t="s">
        <v>739</v>
      </c>
      <c r="R154" s="573" t="s">
        <v>327</v>
      </c>
      <c r="S154" s="573" t="s">
        <v>327</v>
      </c>
      <c r="T154" s="573" t="s">
        <v>327</v>
      </c>
      <c r="U154" s="574" t="s">
        <v>173</v>
      </c>
      <c r="V154" s="574" t="s">
        <v>173</v>
      </c>
      <c r="W154" s="573" t="s">
        <v>327</v>
      </c>
      <c r="X154" s="573" t="s">
        <v>327</v>
      </c>
      <c r="Y154" s="573" t="s">
        <v>327</v>
      </c>
      <c r="Z154" s="706" t="s">
        <v>173</v>
      </c>
      <c r="AA154" s="573" t="s">
        <v>327</v>
      </c>
      <c r="AB154" s="574" t="s">
        <v>173</v>
      </c>
      <c r="AC154" s="574" t="s">
        <v>173</v>
      </c>
      <c r="AD154" s="573" t="s">
        <v>327</v>
      </c>
      <c r="AE154" s="573" t="s">
        <v>327</v>
      </c>
      <c r="AF154" s="608" t="s">
        <v>327</v>
      </c>
      <c r="AG154" s="812"/>
      <c r="AH154" s="812"/>
      <c r="AI154" s="812"/>
      <c r="AJ154" s="812"/>
      <c r="AK154" s="812"/>
    </row>
    <row r="155" spans="1:37" ht="25.5" customHeight="1">
      <c r="A155" s="654" t="s">
        <v>353</v>
      </c>
      <c r="B155" s="704" t="s">
        <v>329</v>
      </c>
      <c r="C155" s="600" t="s">
        <v>329</v>
      </c>
      <c r="D155" s="600" t="s">
        <v>329</v>
      </c>
      <c r="E155" s="600" t="s">
        <v>329</v>
      </c>
      <c r="F155" s="600" t="s">
        <v>329</v>
      </c>
      <c r="G155" s="574" t="s">
        <v>173</v>
      </c>
      <c r="H155" s="574" t="s">
        <v>173</v>
      </c>
      <c r="I155" s="706" t="s">
        <v>173</v>
      </c>
      <c r="J155" s="573" t="s">
        <v>327</v>
      </c>
      <c r="K155" s="573" t="s">
        <v>327</v>
      </c>
      <c r="L155" s="572" t="s">
        <v>741</v>
      </c>
      <c r="M155" s="573" t="s">
        <v>327</v>
      </c>
      <c r="N155" s="574" t="s">
        <v>173</v>
      </c>
      <c r="O155" s="574" t="s">
        <v>173</v>
      </c>
      <c r="P155" s="572" t="s">
        <v>742</v>
      </c>
      <c r="Q155" s="572" t="s">
        <v>742</v>
      </c>
      <c r="R155" s="600" t="s">
        <v>329</v>
      </c>
      <c r="S155" s="600" t="s">
        <v>329</v>
      </c>
      <c r="T155" s="600" t="s">
        <v>329</v>
      </c>
      <c r="U155" s="574" t="s">
        <v>173</v>
      </c>
      <c r="V155" s="574" t="s">
        <v>173</v>
      </c>
      <c r="W155" s="779" t="s">
        <v>9</v>
      </c>
      <c r="X155" s="779" t="s">
        <v>9</v>
      </c>
      <c r="Y155" s="779" t="s">
        <v>9</v>
      </c>
      <c r="Z155" s="779" t="s">
        <v>9</v>
      </c>
      <c r="AA155" s="779" t="s">
        <v>9</v>
      </c>
      <c r="AB155" s="779" t="s">
        <v>9</v>
      </c>
      <c r="AC155" s="779" t="s">
        <v>9</v>
      </c>
      <c r="AD155" s="779" t="s">
        <v>9</v>
      </c>
      <c r="AE155" s="779" t="s">
        <v>9</v>
      </c>
      <c r="AF155" s="780" t="s">
        <v>9</v>
      </c>
      <c r="AG155" s="812"/>
      <c r="AH155" s="812"/>
      <c r="AI155" s="812"/>
      <c r="AJ155" s="812"/>
      <c r="AK155" s="812"/>
    </row>
    <row r="156" spans="1:37" ht="25.5" customHeight="1">
      <c r="A156" s="659" t="s">
        <v>354</v>
      </c>
      <c r="B156" s="709" t="s">
        <v>325</v>
      </c>
      <c r="C156" s="609" t="s">
        <v>325</v>
      </c>
      <c r="D156" s="572" t="s">
        <v>743</v>
      </c>
      <c r="E156" s="572" t="s">
        <v>744</v>
      </c>
      <c r="F156" s="609" t="s">
        <v>325</v>
      </c>
      <c r="G156" s="572" t="s">
        <v>745</v>
      </c>
      <c r="H156" s="574" t="s">
        <v>173</v>
      </c>
      <c r="I156" s="706" t="s">
        <v>173</v>
      </c>
      <c r="J156" s="572" t="s">
        <v>746</v>
      </c>
      <c r="K156" s="572" t="s">
        <v>747</v>
      </c>
      <c r="L156" s="600" t="s">
        <v>329</v>
      </c>
      <c r="M156" s="600" t="s">
        <v>329</v>
      </c>
      <c r="N156" s="574" t="s">
        <v>173</v>
      </c>
      <c r="O156" s="574" t="s">
        <v>173</v>
      </c>
      <c r="P156" s="576" t="s">
        <v>331</v>
      </c>
      <c r="Q156" s="576" t="s">
        <v>331</v>
      </c>
      <c r="R156" s="576" t="s">
        <v>331</v>
      </c>
      <c r="S156" s="576" t="s">
        <v>331</v>
      </c>
      <c r="T156" s="576" t="s">
        <v>331</v>
      </c>
      <c r="U156" s="576" t="s">
        <v>14</v>
      </c>
      <c r="V156" s="576" t="s">
        <v>14</v>
      </c>
      <c r="W156" s="609" t="s">
        <v>325</v>
      </c>
      <c r="X156" s="609" t="s">
        <v>325</v>
      </c>
      <c r="Y156" s="609" t="s">
        <v>325</v>
      </c>
      <c r="Z156" s="706" t="s">
        <v>173</v>
      </c>
      <c r="AA156" s="609" t="s">
        <v>325</v>
      </c>
      <c r="AB156" s="574" t="s">
        <v>173</v>
      </c>
      <c r="AC156" s="574" t="s">
        <v>173</v>
      </c>
      <c r="AD156" s="609" t="s">
        <v>325</v>
      </c>
      <c r="AE156" s="609" t="s">
        <v>325</v>
      </c>
      <c r="AF156" s="613" t="s">
        <v>325</v>
      </c>
      <c r="AG156" s="812"/>
      <c r="AH156" s="812"/>
      <c r="AI156" s="812"/>
      <c r="AJ156" s="812"/>
      <c r="AK156" s="812"/>
    </row>
    <row r="157" spans="1:37" ht="25.5" customHeight="1">
      <c r="A157" s="661" t="s">
        <v>360</v>
      </c>
      <c r="B157" s="704" t="s">
        <v>329</v>
      </c>
      <c r="C157" s="600" t="s">
        <v>329</v>
      </c>
      <c r="D157" s="600" t="s">
        <v>329</v>
      </c>
      <c r="E157" s="572" t="s">
        <v>748</v>
      </c>
      <c r="F157" s="600" t="s">
        <v>329</v>
      </c>
      <c r="G157" s="574" t="s">
        <v>173</v>
      </c>
      <c r="H157" s="574" t="s">
        <v>173</v>
      </c>
      <c r="I157" s="576" t="s">
        <v>14</v>
      </c>
      <c r="J157" s="576" t="s">
        <v>331</v>
      </c>
      <c r="K157" s="576" t="s">
        <v>331</v>
      </c>
      <c r="L157" s="576" t="s">
        <v>331</v>
      </c>
      <c r="M157" s="576" t="s">
        <v>331</v>
      </c>
      <c r="N157" s="576" t="s">
        <v>14</v>
      </c>
      <c r="O157" s="576" t="s">
        <v>14</v>
      </c>
      <c r="P157" s="609" t="s">
        <v>325</v>
      </c>
      <c r="Q157" s="609" t="s">
        <v>325</v>
      </c>
      <c r="R157" s="609" t="s">
        <v>325</v>
      </c>
      <c r="S157" s="609" t="s">
        <v>325</v>
      </c>
      <c r="T157" s="609" t="s">
        <v>325</v>
      </c>
      <c r="U157" s="574"/>
      <c r="V157" s="574"/>
      <c r="W157" s="609" t="s">
        <v>325</v>
      </c>
      <c r="X157" s="609" t="s">
        <v>325</v>
      </c>
      <c r="Y157" s="609" t="s">
        <v>325</v>
      </c>
      <c r="Z157" s="706" t="s">
        <v>173</v>
      </c>
      <c r="AA157" s="609" t="s">
        <v>325</v>
      </c>
      <c r="AB157" s="574" t="s">
        <v>173</v>
      </c>
      <c r="AC157" s="574" t="s">
        <v>173</v>
      </c>
      <c r="AD157" s="600" t="s">
        <v>329</v>
      </c>
      <c r="AE157" s="600" t="s">
        <v>329</v>
      </c>
      <c r="AF157" s="606" t="s">
        <v>329</v>
      </c>
      <c r="AG157" s="812"/>
      <c r="AH157" s="812"/>
      <c r="AI157" s="812"/>
      <c r="AJ157" s="812"/>
      <c r="AK157" s="812"/>
    </row>
    <row r="158" spans="1:37" ht="25.5" customHeight="1">
      <c r="A158" s="659" t="s">
        <v>363</v>
      </c>
      <c r="B158" s="611" t="s">
        <v>331</v>
      </c>
      <c r="C158" s="576" t="s">
        <v>331</v>
      </c>
      <c r="D158" s="576" t="s">
        <v>331</v>
      </c>
      <c r="E158" s="576" t="s">
        <v>331</v>
      </c>
      <c r="F158" s="576" t="s">
        <v>331</v>
      </c>
      <c r="G158" s="576" t="s">
        <v>14</v>
      </c>
      <c r="H158" s="576" t="s">
        <v>14</v>
      </c>
      <c r="I158" s="706" t="s">
        <v>173</v>
      </c>
      <c r="J158" s="609" t="s">
        <v>325</v>
      </c>
      <c r="K158" s="609" t="s">
        <v>325</v>
      </c>
      <c r="L158" s="609" t="s">
        <v>325</v>
      </c>
      <c r="M158" s="609" t="s">
        <v>325</v>
      </c>
      <c r="N158" s="574"/>
      <c r="O158" s="574"/>
      <c r="P158" s="609" t="s">
        <v>325</v>
      </c>
      <c r="Q158" s="572" t="s">
        <v>749</v>
      </c>
      <c r="R158" s="609" t="s">
        <v>325</v>
      </c>
      <c r="S158" s="609" t="s">
        <v>325</v>
      </c>
      <c r="T158" s="609" t="s">
        <v>325</v>
      </c>
      <c r="U158" s="574"/>
      <c r="V158" s="574"/>
      <c r="W158" s="779" t="s">
        <v>9</v>
      </c>
      <c r="X158" s="779" t="s">
        <v>9</v>
      </c>
      <c r="Y158" s="779" t="s">
        <v>9</v>
      </c>
      <c r="Z158" s="779" t="s">
        <v>9</v>
      </c>
      <c r="AA158" s="779" t="s">
        <v>9</v>
      </c>
      <c r="AB158" s="779" t="s">
        <v>9</v>
      </c>
      <c r="AC158" s="779" t="s">
        <v>9</v>
      </c>
      <c r="AD158" s="576" t="s">
        <v>331</v>
      </c>
      <c r="AE158" s="576" t="s">
        <v>331</v>
      </c>
      <c r="AF158" s="610" t="s">
        <v>331</v>
      </c>
    </row>
    <row r="159" spans="1:37" ht="25.5" customHeight="1">
      <c r="A159" s="665" t="s">
        <v>364</v>
      </c>
      <c r="B159" s="745" t="s">
        <v>325</v>
      </c>
      <c r="C159" s="618" t="s">
        <v>325</v>
      </c>
      <c r="D159" s="618" t="s">
        <v>325</v>
      </c>
      <c r="E159" s="618" t="s">
        <v>325</v>
      </c>
      <c r="F159" s="599" t="s">
        <v>743</v>
      </c>
      <c r="G159" s="617" t="s">
        <v>173</v>
      </c>
      <c r="H159" s="617" t="s">
        <v>173</v>
      </c>
      <c r="I159" s="667" t="s">
        <v>173</v>
      </c>
      <c r="J159" s="618" t="s">
        <v>325</v>
      </c>
      <c r="K159" s="599" t="s">
        <v>743</v>
      </c>
      <c r="L159" s="618" t="s">
        <v>325</v>
      </c>
      <c r="M159" s="618" t="s">
        <v>325</v>
      </c>
      <c r="N159" s="617" t="s">
        <v>173</v>
      </c>
      <c r="O159" s="617" t="s">
        <v>173</v>
      </c>
      <c r="P159" s="616" t="s">
        <v>329</v>
      </c>
      <c r="Q159" s="616" t="s">
        <v>329</v>
      </c>
      <c r="R159" s="686" t="s">
        <v>329</v>
      </c>
      <c r="S159" s="686" t="s">
        <v>329</v>
      </c>
      <c r="T159" s="686" t="s">
        <v>329</v>
      </c>
      <c r="U159" s="649" t="s">
        <v>173</v>
      </c>
      <c r="V159" s="649" t="s">
        <v>173</v>
      </c>
      <c r="W159" s="807" t="s">
        <v>331</v>
      </c>
      <c r="X159" s="807" t="s">
        <v>331</v>
      </c>
      <c r="Y159" s="807" t="s">
        <v>331</v>
      </c>
      <c r="Z159" s="807" t="s">
        <v>14</v>
      </c>
      <c r="AA159" s="807" t="s">
        <v>331</v>
      </c>
      <c r="AB159" s="807" t="s">
        <v>14</v>
      </c>
      <c r="AC159" s="807" t="s">
        <v>14</v>
      </c>
      <c r="AD159" s="715" t="s">
        <v>325</v>
      </c>
      <c r="AE159" s="715" t="s">
        <v>325</v>
      </c>
      <c r="AF159" s="746" t="s">
        <v>325</v>
      </c>
    </row>
    <row r="160" spans="1:37" ht="20.25" customHeight="1">
      <c r="R160" s="929" t="s">
        <v>750</v>
      </c>
      <c r="S160" s="930"/>
      <c r="T160" s="931"/>
      <c r="U160" s="931"/>
      <c r="V160" s="931"/>
      <c r="W160" s="930"/>
      <c r="X160" s="930"/>
      <c r="Y160" s="931"/>
      <c r="Z160" s="931"/>
      <c r="AA160" s="931"/>
      <c r="AB160" s="931"/>
      <c r="AC160" s="931"/>
      <c r="AD160" s="930"/>
      <c r="AE160" s="932"/>
      <c r="AF160" s="781"/>
    </row>
    <row r="161" spans="14:35" ht="20.25" customHeight="1">
      <c r="R161" s="810" t="s">
        <v>751</v>
      </c>
      <c r="S161" s="811" t="s">
        <v>752</v>
      </c>
      <c r="T161" s="781"/>
      <c r="U161" s="781"/>
      <c r="V161" s="781"/>
      <c r="W161" s="810" t="s">
        <v>751</v>
      </c>
      <c r="X161" s="811" t="s">
        <v>752</v>
      </c>
      <c r="Y161" s="781"/>
      <c r="Z161" s="781"/>
      <c r="AA161" s="781"/>
      <c r="AB161" s="781"/>
      <c r="AC161" s="781"/>
      <c r="AD161" s="810" t="s">
        <v>753</v>
      </c>
      <c r="AE161" s="811" t="s">
        <v>753</v>
      </c>
      <c r="AF161" s="804"/>
    </row>
    <row r="162" spans="14:35" ht="20.25" customHeight="1">
      <c r="Q162" s="805"/>
      <c r="R162" s="809" t="s">
        <v>754</v>
      </c>
      <c r="S162" s="809" t="s">
        <v>754</v>
      </c>
      <c r="T162" s="806"/>
      <c r="U162" s="806"/>
      <c r="V162" s="806"/>
      <c r="W162" s="808" t="s">
        <v>755</v>
      </c>
      <c r="X162" s="808" t="s">
        <v>755</v>
      </c>
      <c r="Y162" s="806"/>
      <c r="Z162" s="806"/>
      <c r="AA162" s="806"/>
      <c r="AB162" s="806"/>
      <c r="AC162" s="806"/>
      <c r="AD162" s="809" t="s">
        <v>756</v>
      </c>
      <c r="AE162" s="809" t="s">
        <v>756</v>
      </c>
      <c r="AF162" s="805"/>
    </row>
    <row r="163" spans="14:35" ht="20.25" customHeight="1">
      <c r="Q163" s="805"/>
      <c r="R163" s="808" t="s">
        <v>757</v>
      </c>
      <c r="S163" s="808" t="s">
        <v>757</v>
      </c>
      <c r="T163" s="806"/>
      <c r="U163" s="806"/>
      <c r="V163" s="806"/>
      <c r="W163" s="808" t="s">
        <v>758</v>
      </c>
      <c r="X163" s="808" t="s">
        <v>758</v>
      </c>
      <c r="Y163" s="806"/>
      <c r="Z163" s="806"/>
      <c r="AA163" s="806"/>
      <c r="AB163" s="806"/>
      <c r="AC163" s="806"/>
      <c r="AD163" s="808" t="s">
        <v>759</v>
      </c>
      <c r="AE163" s="808" t="s">
        <v>757</v>
      </c>
      <c r="AF163" s="805"/>
    </row>
    <row r="164" spans="14:35" ht="20.25" customHeight="1">
      <c r="Q164" s="805"/>
      <c r="S164" s="806"/>
      <c r="T164" s="806"/>
      <c r="U164" s="806"/>
      <c r="V164" s="806"/>
      <c r="Y164" s="806"/>
      <c r="Z164" s="806"/>
      <c r="AA164" s="806"/>
      <c r="AB164" s="806"/>
      <c r="AC164" s="806"/>
      <c r="AD164" s="808" t="s">
        <v>758</v>
      </c>
      <c r="AE164" s="808" t="s">
        <v>760</v>
      </c>
      <c r="AF164" s="805"/>
    </row>
    <row r="165" spans="14:35" ht="20.25" customHeight="1"/>
    <row r="166" spans="14:35" ht="20.25" customHeight="1">
      <c r="R166" s="933" t="s">
        <v>761</v>
      </c>
      <c r="S166" s="934"/>
      <c r="T166" s="934"/>
      <c r="U166" s="934"/>
      <c r="V166" s="934"/>
      <c r="W166" s="934"/>
      <c r="X166" s="934"/>
      <c r="Y166" s="934"/>
      <c r="Z166" s="934"/>
      <c r="AA166" s="934"/>
      <c r="AB166" s="934"/>
      <c r="AC166" s="934"/>
      <c r="AD166" s="934"/>
      <c r="AE166" s="935"/>
    </row>
    <row r="167" spans="14:35" ht="20.25" customHeight="1">
      <c r="N167" s="804"/>
      <c r="O167" s="804"/>
      <c r="P167" s="804"/>
      <c r="Q167" s="805"/>
      <c r="R167" s="809" t="s">
        <v>756</v>
      </c>
      <c r="S167" s="809" t="s">
        <v>756</v>
      </c>
      <c r="T167" s="806"/>
      <c r="U167" s="806"/>
      <c r="V167" s="806"/>
      <c r="W167" s="809" t="s">
        <v>756</v>
      </c>
      <c r="X167" s="809" t="s">
        <v>756</v>
      </c>
      <c r="Y167" s="806"/>
      <c r="Z167" s="806"/>
      <c r="AA167" s="806"/>
      <c r="AB167" s="806"/>
      <c r="AC167" s="806"/>
      <c r="AD167" s="809" t="s">
        <v>755</v>
      </c>
      <c r="AE167" s="809" t="s">
        <v>755</v>
      </c>
      <c r="AF167" s="805"/>
      <c r="AG167" s="804"/>
      <c r="AH167" s="804"/>
      <c r="AI167" s="804"/>
    </row>
    <row r="168" spans="14:35" ht="20.25" customHeight="1">
      <c r="Q168" s="805"/>
      <c r="R168" s="808" t="s">
        <v>758</v>
      </c>
      <c r="S168" s="808" t="s">
        <v>758</v>
      </c>
      <c r="T168" s="806"/>
      <c r="U168" s="806"/>
      <c r="V168" s="806"/>
      <c r="W168" s="808" t="s">
        <v>757</v>
      </c>
      <c r="X168" s="808" t="s">
        <v>757</v>
      </c>
      <c r="Y168" s="806"/>
      <c r="Z168" s="806"/>
      <c r="AA168" s="806"/>
      <c r="AB168" s="806"/>
      <c r="AC168" s="806"/>
      <c r="AD168" s="808" t="s">
        <v>757</v>
      </c>
      <c r="AE168" s="808" t="s">
        <v>759</v>
      </c>
      <c r="AF168" s="805"/>
    </row>
    <row r="169" spans="14:35" ht="20.25" customHeight="1">
      <c r="Q169" s="805"/>
      <c r="R169" s="808" t="s">
        <v>759</v>
      </c>
      <c r="S169" s="808" t="s">
        <v>759</v>
      </c>
      <c r="T169" s="806"/>
      <c r="U169" s="806"/>
      <c r="V169" s="806"/>
      <c r="W169" s="808" t="s">
        <v>759</v>
      </c>
      <c r="X169" s="808" t="s">
        <v>759</v>
      </c>
      <c r="Y169" s="806"/>
      <c r="Z169" s="806"/>
      <c r="AA169" s="806"/>
      <c r="AB169" s="806"/>
      <c r="AC169" s="806"/>
      <c r="AD169" s="808" t="s">
        <v>760</v>
      </c>
      <c r="AE169" s="808" t="s">
        <v>758</v>
      </c>
      <c r="AF169" s="805"/>
    </row>
    <row r="170" spans="14:35" ht="18" customHeight="1">
      <c r="Q170" s="805"/>
      <c r="R170" s="808" t="s">
        <v>760</v>
      </c>
      <c r="S170" s="808" t="s">
        <v>760</v>
      </c>
      <c r="T170" s="805"/>
      <c r="U170" s="805"/>
      <c r="V170" s="805"/>
      <c r="W170" s="805"/>
      <c r="X170" s="805"/>
      <c r="Y170" s="805"/>
      <c r="Z170" s="805"/>
      <c r="AA170" s="805"/>
      <c r="AB170" s="805"/>
      <c r="AC170" s="805"/>
      <c r="AD170" s="805"/>
      <c r="AE170" s="805"/>
      <c r="AF170" s="805"/>
    </row>
    <row r="171" spans="14:35" ht="18" customHeight="1">
      <c r="R171" s="808" t="s">
        <v>755</v>
      </c>
    </row>
  </sheetData>
  <mergeCells count="44">
    <mergeCell ref="R160:AE160"/>
    <mergeCell ref="R166:AE166"/>
    <mergeCell ref="A138:A139"/>
    <mergeCell ref="B149:AF149"/>
    <mergeCell ref="A150:A151"/>
    <mergeCell ref="B112:AE112"/>
    <mergeCell ref="A113:A114"/>
    <mergeCell ref="B125:AF125"/>
    <mergeCell ref="A126:A127"/>
    <mergeCell ref="B137:AE137"/>
    <mergeCell ref="A101:A102"/>
    <mergeCell ref="A65:A66"/>
    <mergeCell ref="B76:AE76"/>
    <mergeCell ref="A77:A78"/>
    <mergeCell ref="B88:AF88"/>
    <mergeCell ref="A89:A90"/>
    <mergeCell ref="B9:AF9"/>
    <mergeCell ref="B10:AF10"/>
    <mergeCell ref="B11:AF11"/>
    <mergeCell ref="A14:AF14"/>
    <mergeCell ref="B16:AF16"/>
    <mergeCell ref="B12:AF12"/>
    <mergeCell ref="B8:AF8"/>
    <mergeCell ref="B7:AF7"/>
    <mergeCell ref="B2:AF2"/>
    <mergeCell ref="B3:AF3"/>
    <mergeCell ref="B4:AF4"/>
    <mergeCell ref="B5:AF5"/>
    <mergeCell ref="B6:AF6"/>
    <mergeCell ref="B64:AF64"/>
    <mergeCell ref="A53:A54"/>
    <mergeCell ref="B100:AF100"/>
    <mergeCell ref="A17:A18"/>
    <mergeCell ref="A29:A30"/>
    <mergeCell ref="B40:AF40"/>
    <mergeCell ref="A41:A42"/>
    <mergeCell ref="B52:AE52"/>
    <mergeCell ref="N27:P27"/>
    <mergeCell ref="U27:W27"/>
    <mergeCell ref="K39:M39"/>
    <mergeCell ref="Y39:AA39"/>
    <mergeCell ref="D51:F51"/>
    <mergeCell ref="K51:M51"/>
    <mergeCell ref="B28:AC28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B739-2EDC-47C3-9BA6-264983691FE5}">
  <dimension ref="A2:AH171"/>
  <sheetViews>
    <sheetView topLeftCell="A57" workbookViewId="0">
      <selection activeCell="F72" sqref="F72"/>
    </sheetView>
  </sheetViews>
  <sheetFormatPr defaultColWidth="9.140625" defaultRowHeight="27.75" customHeight="1"/>
  <cols>
    <col min="1" max="1" width="32.140625" customWidth="1"/>
    <col min="2" max="32" width="7.85546875" customWidth="1"/>
    <col min="33" max="33" width="2.42578125" customWidth="1"/>
  </cols>
  <sheetData>
    <row r="2" spans="1:32" ht="27.75" customHeight="1">
      <c r="A2" s="467" t="s">
        <v>325</v>
      </c>
      <c r="B2" s="938" t="s">
        <v>326</v>
      </c>
      <c r="C2" s="938"/>
      <c r="D2" s="938"/>
      <c r="E2" s="938"/>
      <c r="F2" s="938"/>
      <c r="G2" s="938"/>
      <c r="H2" s="938"/>
      <c r="I2" s="938"/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938"/>
      <c r="AA2" s="938"/>
      <c r="AB2" s="938"/>
      <c r="AC2" s="938"/>
      <c r="AD2" s="938"/>
      <c r="AE2" s="938"/>
      <c r="AF2" s="939"/>
    </row>
    <row r="3" spans="1:32" ht="27.75" customHeight="1">
      <c r="A3" s="468" t="s">
        <v>327</v>
      </c>
      <c r="B3" s="940" t="s">
        <v>328</v>
      </c>
      <c r="C3" s="940"/>
      <c r="D3" s="940"/>
      <c r="E3" s="940"/>
      <c r="F3" s="940"/>
      <c r="G3" s="940"/>
      <c r="H3" s="940"/>
      <c r="I3" s="940"/>
      <c r="J3" s="940"/>
      <c r="K3" s="940"/>
      <c r="L3" s="940"/>
      <c r="M3" s="940"/>
      <c r="N3" s="940"/>
      <c r="O3" s="940"/>
      <c r="P3" s="940"/>
      <c r="Q3" s="940"/>
      <c r="R3" s="940"/>
      <c r="S3" s="940"/>
      <c r="T3" s="940"/>
      <c r="U3" s="940"/>
      <c r="V3" s="940"/>
      <c r="W3" s="940"/>
      <c r="X3" s="940"/>
      <c r="Y3" s="940"/>
      <c r="Z3" s="940"/>
      <c r="AA3" s="940"/>
      <c r="AB3" s="940"/>
      <c r="AC3" s="940"/>
      <c r="AD3" s="940"/>
      <c r="AE3" s="940"/>
      <c r="AF3" s="941"/>
    </row>
    <row r="4" spans="1:32" ht="27.75" customHeight="1">
      <c r="A4" s="214" t="s">
        <v>329</v>
      </c>
      <c r="B4" s="940" t="s">
        <v>330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940"/>
      <c r="S4" s="940"/>
      <c r="T4" s="940"/>
      <c r="U4" s="940"/>
      <c r="V4" s="940"/>
      <c r="W4" s="940"/>
      <c r="X4" s="940"/>
      <c r="Y4" s="940"/>
      <c r="Z4" s="940"/>
      <c r="AA4" s="940"/>
      <c r="AB4" s="940"/>
      <c r="AC4" s="940"/>
      <c r="AD4" s="940"/>
      <c r="AE4" s="940"/>
      <c r="AF4" s="941"/>
    </row>
    <row r="5" spans="1:32" ht="27.75" customHeight="1">
      <c r="A5" s="469" t="s">
        <v>331</v>
      </c>
      <c r="B5" s="942" t="s">
        <v>762</v>
      </c>
      <c r="C5" s="940"/>
      <c r="D5" s="940"/>
      <c r="E5" s="940"/>
      <c r="F5" s="940"/>
      <c r="G5" s="940"/>
      <c r="H5" s="940"/>
      <c r="I5" s="940"/>
      <c r="J5" s="940"/>
      <c r="K5" s="940"/>
      <c r="L5" s="940"/>
      <c r="M5" s="940"/>
      <c r="N5" s="940"/>
      <c r="O5" s="940"/>
      <c r="P5" s="940"/>
      <c r="Q5" s="940"/>
      <c r="R5" s="940"/>
      <c r="S5" s="940"/>
      <c r="T5" s="940"/>
      <c r="U5" s="940"/>
      <c r="V5" s="940"/>
      <c r="W5" s="940"/>
      <c r="X5" s="940"/>
      <c r="Y5" s="940"/>
      <c r="Z5" s="940"/>
      <c r="AA5" s="940"/>
      <c r="AB5" s="940"/>
      <c r="AC5" s="940"/>
      <c r="AD5" s="940"/>
      <c r="AE5" s="940"/>
      <c r="AF5" s="941"/>
    </row>
    <row r="6" spans="1:32" ht="27.75" customHeight="1">
      <c r="A6" s="207" t="s">
        <v>14</v>
      </c>
      <c r="B6" s="936" t="s">
        <v>46</v>
      </c>
      <c r="C6" s="936"/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  <c r="O6" s="936"/>
      <c r="P6" s="936"/>
      <c r="Q6" s="936"/>
      <c r="R6" s="936"/>
      <c r="S6" s="936"/>
      <c r="T6" s="936"/>
      <c r="U6" s="936"/>
      <c r="V6" s="936"/>
      <c r="W6" s="936"/>
      <c r="X6" s="936"/>
      <c r="Y6" s="936"/>
      <c r="Z6" s="936"/>
      <c r="AA6" s="936"/>
      <c r="AB6" s="936"/>
      <c r="AC6" s="936"/>
      <c r="AD6" s="936"/>
      <c r="AE6" s="936"/>
      <c r="AF6" s="937"/>
    </row>
    <row r="7" spans="1:32" ht="27.75" customHeight="1">
      <c r="A7" s="244" t="s">
        <v>9</v>
      </c>
      <c r="B7" s="936" t="s">
        <v>763</v>
      </c>
      <c r="C7" s="936"/>
      <c r="D7" s="936"/>
      <c r="E7" s="936"/>
      <c r="F7" s="936"/>
      <c r="G7" s="936"/>
      <c r="H7" s="936"/>
      <c r="I7" s="936"/>
      <c r="J7" s="936"/>
      <c r="K7" s="936"/>
      <c r="L7" s="936"/>
      <c r="M7" s="936"/>
      <c r="N7" s="936"/>
      <c r="O7" s="936"/>
      <c r="P7" s="936"/>
      <c r="Q7" s="936"/>
      <c r="R7" s="936"/>
      <c r="S7" s="936"/>
      <c r="T7" s="936"/>
      <c r="U7" s="936"/>
      <c r="V7" s="936"/>
      <c r="W7" s="936"/>
      <c r="X7" s="936"/>
      <c r="Y7" s="936"/>
      <c r="Z7" s="936"/>
      <c r="AA7" s="936"/>
      <c r="AB7" s="936"/>
      <c r="AC7" s="936"/>
      <c r="AD7" s="936"/>
      <c r="AE7" s="936"/>
      <c r="AF7" s="937"/>
    </row>
    <row r="8" spans="1:32" ht="27.75" customHeight="1">
      <c r="A8" s="470" t="s">
        <v>9</v>
      </c>
      <c r="B8" s="936" t="s">
        <v>764</v>
      </c>
      <c r="C8" s="936"/>
      <c r="D8" s="936"/>
      <c r="E8" s="936"/>
      <c r="F8" s="936"/>
      <c r="G8" s="936"/>
      <c r="H8" s="936"/>
      <c r="I8" s="936"/>
      <c r="J8" s="936"/>
      <c r="K8" s="936"/>
      <c r="L8" s="936"/>
      <c r="M8" s="936"/>
      <c r="N8" s="936"/>
      <c r="O8" s="936"/>
      <c r="P8" s="936"/>
      <c r="Q8" s="936"/>
      <c r="R8" s="936"/>
      <c r="S8" s="936"/>
      <c r="T8" s="936"/>
      <c r="U8" s="936"/>
      <c r="V8" s="936"/>
      <c r="W8" s="936"/>
      <c r="X8" s="936"/>
      <c r="Y8" s="936"/>
      <c r="Z8" s="936"/>
      <c r="AA8" s="936"/>
      <c r="AB8" s="936"/>
      <c r="AC8" s="936"/>
      <c r="AD8" s="936"/>
      <c r="AE8" s="936"/>
      <c r="AF8" s="937"/>
    </row>
    <row r="9" spans="1:32" ht="27.75" customHeight="1">
      <c r="A9" s="245" t="s">
        <v>93</v>
      </c>
      <c r="B9" s="946" t="s">
        <v>335</v>
      </c>
      <c r="C9" s="946"/>
      <c r="D9" s="946"/>
      <c r="E9" s="946"/>
      <c r="F9" s="946"/>
      <c r="G9" s="946"/>
      <c r="H9" s="946"/>
      <c r="I9" s="946"/>
      <c r="J9" s="946"/>
      <c r="K9" s="946"/>
      <c r="L9" s="946"/>
      <c r="M9" s="946"/>
      <c r="N9" s="946"/>
      <c r="O9" s="946"/>
      <c r="P9" s="946"/>
      <c r="Q9" s="946"/>
      <c r="R9" s="946"/>
      <c r="S9" s="946"/>
      <c r="T9" s="946"/>
      <c r="U9" s="946"/>
      <c r="V9" s="946"/>
      <c r="W9" s="946"/>
      <c r="X9" s="946"/>
      <c r="Y9" s="946"/>
      <c r="Z9" s="946"/>
      <c r="AA9" s="946"/>
      <c r="AB9" s="946"/>
      <c r="AC9" s="946"/>
      <c r="AD9" s="946"/>
      <c r="AE9" s="946"/>
      <c r="AF9" s="947"/>
    </row>
    <row r="10" spans="1:32" ht="27.75" customHeight="1">
      <c r="A10" s="246" t="s">
        <v>336</v>
      </c>
      <c r="B10" s="946" t="s">
        <v>337</v>
      </c>
      <c r="C10" s="946"/>
      <c r="D10" s="946"/>
      <c r="E10" s="946"/>
      <c r="F10" s="946"/>
      <c r="G10" s="946"/>
      <c r="H10" s="946"/>
      <c r="I10" s="946"/>
      <c r="J10" s="946"/>
      <c r="K10" s="946"/>
      <c r="L10" s="946"/>
      <c r="M10" s="946"/>
      <c r="N10" s="946"/>
      <c r="O10" s="946"/>
      <c r="P10" s="946"/>
      <c r="Q10" s="946"/>
      <c r="R10" s="946"/>
      <c r="S10" s="946"/>
      <c r="T10" s="946"/>
      <c r="U10" s="946"/>
      <c r="V10" s="946"/>
      <c r="W10" s="946"/>
      <c r="X10" s="946"/>
      <c r="Y10" s="946"/>
      <c r="Z10" s="946"/>
      <c r="AA10" s="946"/>
      <c r="AB10" s="946"/>
      <c r="AC10" s="946"/>
      <c r="AD10" s="946"/>
      <c r="AE10" s="946"/>
      <c r="AF10" s="947"/>
    </row>
    <row r="11" spans="1:32" ht="27.75" customHeight="1">
      <c r="A11" s="471" t="s">
        <v>12</v>
      </c>
      <c r="B11" s="948" t="s">
        <v>338</v>
      </c>
      <c r="C11" s="948"/>
      <c r="D11" s="948"/>
      <c r="E11" s="948"/>
      <c r="F11" s="948"/>
      <c r="G11" s="948"/>
      <c r="H11" s="948"/>
      <c r="I11" s="948"/>
      <c r="J11" s="948"/>
      <c r="K11" s="948"/>
      <c r="L11" s="948"/>
      <c r="M11" s="948"/>
      <c r="N11" s="948"/>
      <c r="O11" s="948"/>
      <c r="P11" s="948"/>
      <c r="Q11" s="948"/>
      <c r="R11" s="948"/>
      <c r="S11" s="948"/>
      <c r="T11" s="948"/>
      <c r="U11" s="948"/>
      <c r="V11" s="948"/>
      <c r="W11" s="948"/>
      <c r="X11" s="948"/>
      <c r="Y11" s="948"/>
      <c r="Z11" s="948"/>
      <c r="AA11" s="948"/>
      <c r="AB11" s="948"/>
      <c r="AC11" s="948"/>
      <c r="AD11" s="948"/>
      <c r="AE11" s="948"/>
      <c r="AF11" s="949"/>
    </row>
    <row r="13" spans="1:32" ht="53.25" customHeight="1">
      <c r="A13" s="950">
        <v>2024</v>
      </c>
      <c r="B13" s="951"/>
      <c r="C13" s="951"/>
      <c r="D13" s="951"/>
      <c r="E13" s="951"/>
      <c r="F13" s="951"/>
      <c r="G13" s="951"/>
      <c r="H13" s="951"/>
      <c r="I13" s="951"/>
      <c r="J13" s="951"/>
      <c r="K13" s="951"/>
      <c r="L13" s="951"/>
      <c r="M13" s="951"/>
      <c r="N13" s="951"/>
      <c r="O13" s="951"/>
      <c r="P13" s="951"/>
      <c r="Q13" s="951"/>
      <c r="R13" s="951"/>
      <c r="S13" s="951"/>
      <c r="T13" s="951"/>
      <c r="U13" s="951"/>
      <c r="V13" s="951"/>
      <c r="W13" s="951"/>
      <c r="X13" s="951"/>
      <c r="Y13" s="951"/>
      <c r="Z13" s="951"/>
      <c r="AA13" s="951"/>
      <c r="AB13" s="951"/>
      <c r="AC13" s="951"/>
      <c r="AD13" s="951"/>
      <c r="AE13" s="951"/>
      <c r="AF13" s="952"/>
    </row>
    <row r="15" spans="1:32" ht="27.75" customHeight="1">
      <c r="A15" s="472" t="s">
        <v>173</v>
      </c>
      <c r="B15" s="953" t="s">
        <v>340</v>
      </c>
      <c r="C15" s="954"/>
      <c r="D15" s="954"/>
      <c r="E15" s="954"/>
      <c r="F15" s="954"/>
      <c r="G15" s="954"/>
      <c r="H15" s="954"/>
      <c r="I15" s="954"/>
      <c r="J15" s="954"/>
      <c r="K15" s="954"/>
      <c r="L15" s="954"/>
      <c r="M15" s="954"/>
      <c r="N15" s="954"/>
      <c r="O15" s="954"/>
      <c r="P15" s="954"/>
      <c r="Q15" s="954"/>
      <c r="R15" s="954"/>
      <c r="S15" s="954"/>
      <c r="T15" s="954"/>
      <c r="U15" s="954"/>
      <c r="V15" s="954"/>
      <c r="W15" s="954"/>
      <c r="X15" s="954"/>
      <c r="Y15" s="954"/>
      <c r="Z15" s="954"/>
      <c r="AA15" s="954"/>
      <c r="AB15" s="954"/>
      <c r="AC15" s="954"/>
      <c r="AD15" s="954"/>
      <c r="AE15" s="954"/>
      <c r="AF15" s="955"/>
    </row>
    <row r="16" spans="1:32" ht="27.75" customHeight="1">
      <c r="A16" s="956" t="s">
        <v>341</v>
      </c>
      <c r="B16" s="473" t="s">
        <v>86</v>
      </c>
      <c r="C16" s="474" t="s">
        <v>87</v>
      </c>
      <c r="D16" s="474" t="s">
        <v>44</v>
      </c>
      <c r="E16" s="474" t="s">
        <v>28</v>
      </c>
      <c r="F16" s="474" t="s">
        <v>9</v>
      </c>
      <c r="G16" s="474" t="s">
        <v>84</v>
      </c>
      <c r="H16" s="169" t="s">
        <v>85</v>
      </c>
      <c r="I16" s="474" t="s">
        <v>86</v>
      </c>
      <c r="J16" s="474" t="s">
        <v>87</v>
      </c>
      <c r="K16" s="474" t="s">
        <v>44</v>
      </c>
      <c r="L16" s="474" t="s">
        <v>28</v>
      </c>
      <c r="M16" s="474" t="s">
        <v>9</v>
      </c>
      <c r="N16" s="474" t="s">
        <v>84</v>
      </c>
      <c r="O16" s="169" t="s">
        <v>85</v>
      </c>
      <c r="P16" s="474" t="s">
        <v>86</v>
      </c>
      <c r="Q16" s="474" t="s">
        <v>87</v>
      </c>
      <c r="R16" s="474" t="s">
        <v>44</v>
      </c>
      <c r="S16" s="474" t="s">
        <v>28</v>
      </c>
      <c r="T16" s="474" t="s">
        <v>9</v>
      </c>
      <c r="U16" s="474" t="s">
        <v>84</v>
      </c>
      <c r="V16" s="169" t="s">
        <v>85</v>
      </c>
      <c r="W16" s="474" t="s">
        <v>86</v>
      </c>
      <c r="X16" s="474" t="s">
        <v>87</v>
      </c>
      <c r="Y16" s="474" t="s">
        <v>44</v>
      </c>
      <c r="Z16" s="474" t="s">
        <v>28</v>
      </c>
      <c r="AA16" s="474" t="s">
        <v>9</v>
      </c>
      <c r="AB16" s="474" t="s">
        <v>84</v>
      </c>
      <c r="AC16" s="169" t="s">
        <v>85</v>
      </c>
      <c r="AD16" s="474" t="s">
        <v>86</v>
      </c>
      <c r="AE16" s="474" t="s">
        <v>87</v>
      </c>
      <c r="AF16" s="475" t="s">
        <v>44</v>
      </c>
    </row>
    <row r="17" spans="1:32" ht="27.75" customHeight="1">
      <c r="A17" s="957"/>
      <c r="B17" s="476">
        <v>1</v>
      </c>
      <c r="C17" s="477">
        <v>2</v>
      </c>
      <c r="D17" s="477">
        <v>3</v>
      </c>
      <c r="E17" s="477">
        <v>4</v>
      </c>
      <c r="F17" s="477">
        <v>5</v>
      </c>
      <c r="G17" s="478">
        <v>6</v>
      </c>
      <c r="H17" s="478">
        <v>7</v>
      </c>
      <c r="I17" s="477">
        <v>8</v>
      </c>
      <c r="J17" s="477">
        <v>9</v>
      </c>
      <c r="K17" s="477">
        <v>10</v>
      </c>
      <c r="L17" s="477">
        <v>11</v>
      </c>
      <c r="M17" s="477">
        <v>12</v>
      </c>
      <c r="N17" s="477">
        <v>13</v>
      </c>
      <c r="O17" s="478">
        <v>14</v>
      </c>
      <c r="P17" s="477">
        <v>15</v>
      </c>
      <c r="Q17" s="477">
        <v>16</v>
      </c>
      <c r="R17" s="477">
        <v>17</v>
      </c>
      <c r="S17" s="477">
        <v>18</v>
      </c>
      <c r="T17" s="477">
        <v>19</v>
      </c>
      <c r="U17" s="477">
        <v>20</v>
      </c>
      <c r="V17" s="478">
        <v>21</v>
      </c>
      <c r="W17" s="477">
        <v>22</v>
      </c>
      <c r="X17" s="477">
        <v>23</v>
      </c>
      <c r="Y17" s="477">
        <v>24</v>
      </c>
      <c r="Z17" s="477">
        <v>25</v>
      </c>
      <c r="AA17" s="477">
        <v>26</v>
      </c>
      <c r="AB17" s="477">
        <v>27</v>
      </c>
      <c r="AC17" s="478">
        <v>28</v>
      </c>
      <c r="AD17" s="477">
        <v>29</v>
      </c>
      <c r="AE17" s="477">
        <v>30</v>
      </c>
      <c r="AF17" s="479">
        <v>31</v>
      </c>
    </row>
    <row r="18" spans="1:32" ht="27.75" customHeight="1">
      <c r="A18" s="480" t="s">
        <v>345</v>
      </c>
      <c r="B18" s="201" t="s">
        <v>173</v>
      </c>
      <c r="C18" s="202" t="s">
        <v>329</v>
      </c>
      <c r="D18" s="202" t="s">
        <v>329</v>
      </c>
      <c r="E18" s="202" t="s">
        <v>329</v>
      </c>
      <c r="F18" s="202" t="s">
        <v>329</v>
      </c>
      <c r="G18" s="481" t="s">
        <v>173</v>
      </c>
      <c r="H18" s="203" t="s">
        <v>173</v>
      </c>
      <c r="I18" s="202" t="s">
        <v>329</v>
      </c>
      <c r="J18" s="202" t="s">
        <v>329</v>
      </c>
      <c r="K18" s="202" t="s">
        <v>329</v>
      </c>
      <c r="L18" s="202" t="s">
        <v>329</v>
      </c>
      <c r="M18" s="202" t="s">
        <v>329</v>
      </c>
      <c r="N18" s="293" t="s">
        <v>765</v>
      </c>
      <c r="O18" s="203" t="s">
        <v>173</v>
      </c>
      <c r="P18" s="202" t="s">
        <v>329</v>
      </c>
      <c r="Q18" s="202" t="s">
        <v>329</v>
      </c>
      <c r="R18" s="202" t="s">
        <v>329</v>
      </c>
      <c r="S18" s="202" t="s">
        <v>329</v>
      </c>
      <c r="T18" s="202" t="s">
        <v>329</v>
      </c>
      <c r="U18" s="203" t="s">
        <v>173</v>
      </c>
      <c r="V18" s="203" t="s">
        <v>173</v>
      </c>
      <c r="W18" s="202" t="s">
        <v>329</v>
      </c>
      <c r="X18" s="202" t="s">
        <v>329</v>
      </c>
      <c r="Y18" s="202" t="s">
        <v>766</v>
      </c>
      <c r="Z18" s="202" t="s">
        <v>766</v>
      </c>
      <c r="AA18" s="202" t="s">
        <v>766</v>
      </c>
      <c r="AB18" s="293" t="s">
        <v>767</v>
      </c>
      <c r="AC18" s="203" t="s">
        <v>173</v>
      </c>
      <c r="AD18" s="202" t="s">
        <v>329</v>
      </c>
      <c r="AE18" s="202" t="s">
        <v>329</v>
      </c>
      <c r="AF18" s="204" t="s">
        <v>329</v>
      </c>
    </row>
    <row r="19" spans="1:32" ht="27.75" customHeight="1">
      <c r="A19" s="482" t="s">
        <v>452</v>
      </c>
      <c r="B19" s="205" t="s">
        <v>173</v>
      </c>
      <c r="C19" s="170" t="s">
        <v>329</v>
      </c>
      <c r="D19" s="170" t="s">
        <v>329</v>
      </c>
      <c r="E19" s="170" t="s">
        <v>329</v>
      </c>
      <c r="F19" s="170" t="s">
        <v>329</v>
      </c>
      <c r="G19" s="483" t="s">
        <v>173</v>
      </c>
      <c r="H19" s="171" t="s">
        <v>173</v>
      </c>
      <c r="I19" s="170" t="s">
        <v>329</v>
      </c>
      <c r="J19" s="170" t="s">
        <v>329</v>
      </c>
      <c r="K19" s="170" t="s">
        <v>329</v>
      </c>
      <c r="L19" s="170" t="s">
        <v>329</v>
      </c>
      <c r="M19" s="170" t="s">
        <v>329</v>
      </c>
      <c r="N19" s="171" t="s">
        <v>173</v>
      </c>
      <c r="O19" s="171" t="s">
        <v>173</v>
      </c>
      <c r="P19" s="170" t="s">
        <v>329</v>
      </c>
      <c r="Q19" s="170" t="s">
        <v>329</v>
      </c>
      <c r="R19" s="170" t="s">
        <v>329</v>
      </c>
      <c r="S19" s="170" t="s">
        <v>329</v>
      </c>
      <c r="T19" s="170" t="s">
        <v>329</v>
      </c>
      <c r="U19" s="171" t="s">
        <v>173</v>
      </c>
      <c r="V19" s="171" t="s">
        <v>173</v>
      </c>
      <c r="W19" s="170" t="s">
        <v>329</v>
      </c>
      <c r="X19" s="170" t="s">
        <v>329</v>
      </c>
      <c r="Y19" s="170" t="s">
        <v>329</v>
      </c>
      <c r="Z19" s="170" t="s">
        <v>329</v>
      </c>
      <c r="AA19" s="170" t="s">
        <v>329</v>
      </c>
      <c r="AB19" s="171" t="s">
        <v>173</v>
      </c>
      <c r="AC19" s="171" t="s">
        <v>173</v>
      </c>
      <c r="AD19" s="170" t="s">
        <v>329</v>
      </c>
      <c r="AE19" s="170" t="s">
        <v>329</v>
      </c>
      <c r="AF19" s="206" t="s">
        <v>329</v>
      </c>
    </row>
    <row r="20" spans="1:32" ht="27.75" customHeight="1">
      <c r="A20" s="484" t="s">
        <v>349</v>
      </c>
      <c r="B20" s="207" t="s">
        <v>14</v>
      </c>
      <c r="C20" s="485" t="s">
        <v>768</v>
      </c>
      <c r="D20" s="485" t="s">
        <v>768</v>
      </c>
      <c r="E20" s="485" t="s">
        <v>768</v>
      </c>
      <c r="F20" s="485" t="s">
        <v>768</v>
      </c>
      <c r="G20" s="486" t="s">
        <v>14</v>
      </c>
      <c r="H20" s="172" t="s">
        <v>14</v>
      </c>
      <c r="I20" s="170" t="s">
        <v>329</v>
      </c>
      <c r="J20" s="170" t="s">
        <v>329</v>
      </c>
      <c r="K20" s="294" t="s">
        <v>329</v>
      </c>
      <c r="L20" s="170" t="s">
        <v>329</v>
      </c>
      <c r="M20" s="170" t="s">
        <v>329</v>
      </c>
      <c r="N20" s="171" t="s">
        <v>173</v>
      </c>
      <c r="O20" s="171" t="s">
        <v>173</v>
      </c>
      <c r="P20" s="487" t="s">
        <v>768</v>
      </c>
      <c r="Q20" s="487" t="s">
        <v>768</v>
      </c>
      <c r="R20" s="487" t="s">
        <v>768</v>
      </c>
      <c r="S20" s="487" t="s">
        <v>768</v>
      </c>
      <c r="T20" s="488" t="s">
        <v>9</v>
      </c>
      <c r="U20" s="172" t="s">
        <v>14</v>
      </c>
      <c r="V20" s="172" t="s">
        <v>14</v>
      </c>
      <c r="W20" s="485" t="s">
        <v>768</v>
      </c>
      <c r="X20" s="173" t="s">
        <v>327</v>
      </c>
      <c r="Y20" s="294" t="s">
        <v>327</v>
      </c>
      <c r="Z20" s="173" t="s">
        <v>327</v>
      </c>
      <c r="AA20" s="173" t="s">
        <v>327</v>
      </c>
      <c r="AB20" s="171" t="s">
        <v>173</v>
      </c>
      <c r="AC20" s="171" t="s">
        <v>173</v>
      </c>
      <c r="AD20" s="489" t="s">
        <v>769</v>
      </c>
      <c r="AE20" s="485" t="s">
        <v>768</v>
      </c>
      <c r="AF20" s="490" t="s">
        <v>768</v>
      </c>
    </row>
    <row r="21" spans="1:32" ht="27.75" customHeight="1">
      <c r="A21" s="484" t="s">
        <v>592</v>
      </c>
      <c r="B21" s="205" t="s">
        <v>173</v>
      </c>
      <c r="C21" s="173" t="s">
        <v>327</v>
      </c>
      <c r="D21" s="173" t="s">
        <v>327</v>
      </c>
      <c r="E21" s="173" t="s">
        <v>327</v>
      </c>
      <c r="F21" s="173" t="s">
        <v>327</v>
      </c>
      <c r="G21" s="483" t="s">
        <v>173</v>
      </c>
      <c r="H21" s="171" t="s">
        <v>173</v>
      </c>
      <c r="I21" s="487" t="s">
        <v>770</v>
      </c>
      <c r="J21" s="487" t="s">
        <v>770</v>
      </c>
      <c r="K21" s="487" t="s">
        <v>770</v>
      </c>
      <c r="L21" s="487" t="s">
        <v>770</v>
      </c>
      <c r="M21" s="487" t="s">
        <v>770</v>
      </c>
      <c r="N21" s="172" t="s">
        <v>14</v>
      </c>
      <c r="O21" s="172" t="s">
        <v>14</v>
      </c>
      <c r="P21" s="173" t="s">
        <v>327</v>
      </c>
      <c r="Q21" s="173" t="s">
        <v>327</v>
      </c>
      <c r="R21" s="173" t="s">
        <v>327</v>
      </c>
      <c r="S21" s="173" t="s">
        <v>327</v>
      </c>
      <c r="T21" s="485" t="s">
        <v>768</v>
      </c>
      <c r="U21" s="171" t="s">
        <v>173</v>
      </c>
      <c r="V21" s="171" t="s">
        <v>173</v>
      </c>
      <c r="W21" s="170" t="s">
        <v>329</v>
      </c>
      <c r="X21" s="487" t="s">
        <v>770</v>
      </c>
      <c r="Y21" s="487" t="s">
        <v>770</v>
      </c>
      <c r="Z21" s="487" t="s">
        <v>770</v>
      </c>
      <c r="AA21" s="487" t="s">
        <v>770</v>
      </c>
      <c r="AB21" s="172" t="s">
        <v>14</v>
      </c>
      <c r="AC21" s="172" t="s">
        <v>14</v>
      </c>
      <c r="AD21" s="173" t="s">
        <v>327</v>
      </c>
      <c r="AE21" s="173" t="s">
        <v>327</v>
      </c>
      <c r="AF21" s="208" t="s">
        <v>327</v>
      </c>
    </row>
    <row r="22" spans="1:32" ht="27.75" customHeight="1">
      <c r="A22" s="491" t="s">
        <v>771</v>
      </c>
      <c r="B22" s="209" t="s">
        <v>173</v>
      </c>
      <c r="C22" s="173" t="s">
        <v>327</v>
      </c>
      <c r="D22" s="174" t="s">
        <v>772</v>
      </c>
      <c r="E22" s="174" t="s">
        <v>325</v>
      </c>
      <c r="F22" s="174" t="s">
        <v>325</v>
      </c>
      <c r="G22" s="492" t="s">
        <v>173</v>
      </c>
      <c r="H22" s="171" t="s">
        <v>173</v>
      </c>
      <c r="I22" s="170" t="s">
        <v>329</v>
      </c>
      <c r="J22" s="170" t="s">
        <v>329</v>
      </c>
      <c r="K22" s="170" t="s">
        <v>329</v>
      </c>
      <c r="L22" s="170" t="s">
        <v>329</v>
      </c>
      <c r="M22" s="170" t="s">
        <v>329</v>
      </c>
      <c r="N22" s="171" t="s">
        <v>173</v>
      </c>
      <c r="O22" s="171" t="s">
        <v>173</v>
      </c>
      <c r="P22" s="493" t="s">
        <v>331</v>
      </c>
      <c r="Q22" s="493" t="s">
        <v>331</v>
      </c>
      <c r="R22" s="493" t="s">
        <v>331</v>
      </c>
      <c r="S22" s="294" t="s">
        <v>331</v>
      </c>
      <c r="T22" s="493" t="s">
        <v>331</v>
      </c>
      <c r="U22" s="171" t="s">
        <v>173</v>
      </c>
      <c r="V22" s="171" t="s">
        <v>173</v>
      </c>
      <c r="W22" s="174" t="s">
        <v>325</v>
      </c>
      <c r="X22" s="174" t="s">
        <v>325</v>
      </c>
      <c r="Y22" s="174" t="s">
        <v>325</v>
      </c>
      <c r="Z22" s="174" t="s">
        <v>325</v>
      </c>
      <c r="AA22" s="174" t="s">
        <v>325</v>
      </c>
      <c r="AB22" s="294" t="s">
        <v>767</v>
      </c>
      <c r="AC22" s="171" t="s">
        <v>173</v>
      </c>
      <c r="AD22" s="493" t="s">
        <v>331</v>
      </c>
      <c r="AE22" s="493" t="s">
        <v>331</v>
      </c>
      <c r="AF22" s="494" t="s">
        <v>331</v>
      </c>
    </row>
    <row r="23" spans="1:32" ht="27.75" customHeight="1">
      <c r="A23" s="495" t="s">
        <v>360</v>
      </c>
      <c r="B23" s="209" t="s">
        <v>173</v>
      </c>
      <c r="C23" s="174" t="s">
        <v>325</v>
      </c>
      <c r="D23" s="170" t="s">
        <v>329</v>
      </c>
      <c r="E23" s="170" t="s">
        <v>329</v>
      </c>
      <c r="F23" s="170" t="s">
        <v>329</v>
      </c>
      <c r="G23" s="492" t="s">
        <v>173</v>
      </c>
      <c r="H23" s="171" t="s">
        <v>173</v>
      </c>
      <c r="I23" s="173" t="s">
        <v>327</v>
      </c>
      <c r="J23" s="173" t="s">
        <v>327</v>
      </c>
      <c r="K23" s="173" t="s">
        <v>327</v>
      </c>
      <c r="L23" s="493" t="s">
        <v>331</v>
      </c>
      <c r="M23" s="493" t="s">
        <v>331</v>
      </c>
      <c r="N23" s="171" t="s">
        <v>173</v>
      </c>
      <c r="O23" s="171" t="s">
        <v>173</v>
      </c>
      <c r="P23" s="174" t="s">
        <v>325</v>
      </c>
      <c r="Q23" s="174" t="s">
        <v>325</v>
      </c>
      <c r="R23" s="174" t="s">
        <v>325</v>
      </c>
      <c r="S23" s="174" t="s">
        <v>325</v>
      </c>
      <c r="T23" s="174" t="s">
        <v>325</v>
      </c>
      <c r="U23" s="171" t="s">
        <v>173</v>
      </c>
      <c r="V23" s="294" t="s">
        <v>773</v>
      </c>
      <c r="W23" s="173" t="s">
        <v>774</v>
      </c>
      <c r="X23" s="173" t="s">
        <v>774</v>
      </c>
      <c r="Y23" s="173" t="s">
        <v>327</v>
      </c>
      <c r="Z23" s="488" t="s">
        <v>9</v>
      </c>
      <c r="AA23" s="294" t="s">
        <v>327</v>
      </c>
      <c r="AB23" s="171" t="s">
        <v>173</v>
      </c>
      <c r="AC23" s="171" t="s">
        <v>173</v>
      </c>
      <c r="AD23" s="170" t="s">
        <v>329</v>
      </c>
      <c r="AE23" s="170" t="s">
        <v>329</v>
      </c>
      <c r="AF23" s="206" t="s">
        <v>329</v>
      </c>
    </row>
    <row r="24" spans="1:32" ht="27.75" customHeight="1">
      <c r="A24" s="491" t="s">
        <v>775</v>
      </c>
      <c r="B24" s="209" t="s">
        <v>173</v>
      </c>
      <c r="C24" s="493" t="s">
        <v>331</v>
      </c>
      <c r="D24" s="493" t="s">
        <v>331</v>
      </c>
      <c r="E24" s="493" t="s">
        <v>331</v>
      </c>
      <c r="F24" s="493" t="s">
        <v>331</v>
      </c>
      <c r="G24" s="492" t="s">
        <v>173</v>
      </c>
      <c r="H24" s="171" t="s">
        <v>173</v>
      </c>
      <c r="I24" s="174" t="s">
        <v>325</v>
      </c>
      <c r="J24" s="174" t="s">
        <v>325</v>
      </c>
      <c r="K24" s="294" t="s">
        <v>325</v>
      </c>
      <c r="L24" s="174" t="s">
        <v>325</v>
      </c>
      <c r="M24" s="174" t="s">
        <v>325</v>
      </c>
      <c r="N24" s="171" t="s">
        <v>173</v>
      </c>
      <c r="O24" s="171" t="s">
        <v>173</v>
      </c>
      <c r="P24" s="173" t="s">
        <v>327</v>
      </c>
      <c r="Q24" s="173" t="s">
        <v>327</v>
      </c>
      <c r="R24" s="488" t="s">
        <v>9</v>
      </c>
      <c r="S24" s="488" t="s">
        <v>9</v>
      </c>
      <c r="T24" s="488" t="s">
        <v>9</v>
      </c>
      <c r="U24" s="171" t="s">
        <v>173</v>
      </c>
      <c r="V24" s="171" t="s">
        <v>173</v>
      </c>
      <c r="W24" s="170"/>
      <c r="X24" s="170"/>
      <c r="Y24" s="170"/>
      <c r="Z24" s="170"/>
      <c r="AA24" s="170"/>
      <c r="AB24" s="171" t="s">
        <v>173</v>
      </c>
      <c r="AC24" s="171" t="s">
        <v>173</v>
      </c>
      <c r="AD24" s="493"/>
      <c r="AE24" s="493"/>
      <c r="AF24" s="494"/>
    </row>
    <row r="25" spans="1:32" ht="27.75" customHeight="1">
      <c r="A25" s="496" t="s">
        <v>776</v>
      </c>
      <c r="B25" s="210" t="s">
        <v>173</v>
      </c>
      <c r="C25" s="175" t="s">
        <v>329</v>
      </c>
      <c r="D25" s="175" t="s">
        <v>329</v>
      </c>
      <c r="E25" s="175" t="s">
        <v>329</v>
      </c>
      <c r="F25" s="175" t="s">
        <v>329</v>
      </c>
      <c r="G25" s="497" t="s">
        <v>173</v>
      </c>
      <c r="H25" s="176" t="s">
        <v>173</v>
      </c>
      <c r="I25" s="463" t="s">
        <v>331</v>
      </c>
      <c r="J25" s="177" t="s">
        <v>331</v>
      </c>
      <c r="K25" s="177" t="s">
        <v>331</v>
      </c>
      <c r="L25" s="498" t="s">
        <v>9</v>
      </c>
      <c r="M25" s="498" t="s">
        <v>9</v>
      </c>
      <c r="N25" s="176" t="s">
        <v>173</v>
      </c>
      <c r="O25" s="176" t="s">
        <v>173</v>
      </c>
      <c r="P25" s="175" t="s">
        <v>329</v>
      </c>
      <c r="Q25" s="175" t="s">
        <v>329</v>
      </c>
      <c r="R25" s="175" t="s">
        <v>329</v>
      </c>
      <c r="S25" s="175" t="s">
        <v>329</v>
      </c>
      <c r="T25" s="175" t="s">
        <v>329</v>
      </c>
      <c r="U25" s="176" t="s">
        <v>173</v>
      </c>
      <c r="V25" s="176" t="s">
        <v>173</v>
      </c>
      <c r="W25" s="177" t="s">
        <v>331</v>
      </c>
      <c r="X25" s="177" t="s">
        <v>331</v>
      </c>
      <c r="Y25" s="177" t="s">
        <v>331</v>
      </c>
      <c r="Z25" s="177" t="s">
        <v>331</v>
      </c>
      <c r="AA25" s="177" t="s">
        <v>331</v>
      </c>
      <c r="AB25" s="176" t="s">
        <v>173</v>
      </c>
      <c r="AC25" s="176" t="s">
        <v>173</v>
      </c>
      <c r="AD25" s="178" t="s">
        <v>325</v>
      </c>
      <c r="AE25" s="178" t="s">
        <v>325</v>
      </c>
      <c r="AF25" s="211" t="s">
        <v>325</v>
      </c>
    </row>
    <row r="27" spans="1:32" ht="27.75" customHeight="1">
      <c r="A27" s="179" t="s">
        <v>173</v>
      </c>
      <c r="B27" s="958" t="s">
        <v>366</v>
      </c>
      <c r="C27" s="959"/>
      <c r="D27" s="959"/>
      <c r="E27" s="959"/>
      <c r="F27" s="959"/>
      <c r="G27" s="959"/>
      <c r="H27" s="959"/>
      <c r="I27" s="959"/>
      <c r="J27" s="959"/>
      <c r="K27" s="959"/>
      <c r="L27" s="959"/>
      <c r="M27" s="959"/>
      <c r="N27" s="959"/>
      <c r="O27" s="959"/>
      <c r="P27" s="959"/>
      <c r="Q27" s="959"/>
      <c r="R27" s="959"/>
      <c r="S27" s="959"/>
      <c r="T27" s="959"/>
      <c r="U27" s="959"/>
      <c r="V27" s="959"/>
      <c r="W27" s="959"/>
      <c r="X27" s="959"/>
      <c r="Y27" s="959"/>
      <c r="Z27" s="959"/>
      <c r="AA27" s="959"/>
      <c r="AB27" s="959"/>
      <c r="AC27" s="959"/>
      <c r="AD27" s="960"/>
    </row>
    <row r="28" spans="1:32" ht="27.75" customHeight="1">
      <c r="A28" s="961" t="s">
        <v>341</v>
      </c>
      <c r="B28" s="180" t="s">
        <v>28</v>
      </c>
      <c r="C28" s="181" t="s">
        <v>9</v>
      </c>
      <c r="D28" s="181" t="s">
        <v>84</v>
      </c>
      <c r="E28" s="169" t="s">
        <v>85</v>
      </c>
      <c r="F28" s="181" t="s">
        <v>86</v>
      </c>
      <c r="G28" s="181" t="s">
        <v>777</v>
      </c>
      <c r="H28" s="181" t="s">
        <v>44</v>
      </c>
      <c r="I28" s="181" t="s">
        <v>28</v>
      </c>
      <c r="J28" s="181" t="s">
        <v>9</v>
      </c>
      <c r="K28" s="181" t="s">
        <v>84</v>
      </c>
      <c r="L28" s="169" t="s">
        <v>85</v>
      </c>
      <c r="M28" s="181" t="s">
        <v>86</v>
      </c>
      <c r="N28" s="181" t="s">
        <v>87</v>
      </c>
      <c r="O28" s="181" t="s">
        <v>44</v>
      </c>
      <c r="P28" s="181" t="s">
        <v>28</v>
      </c>
      <c r="Q28" s="181" t="s">
        <v>9</v>
      </c>
      <c r="R28" s="181" t="s">
        <v>84</v>
      </c>
      <c r="S28" s="169" t="s">
        <v>85</v>
      </c>
      <c r="T28" s="181" t="s">
        <v>86</v>
      </c>
      <c r="U28" s="181" t="s">
        <v>87</v>
      </c>
      <c r="V28" s="181" t="s">
        <v>44</v>
      </c>
      <c r="W28" s="181" t="s">
        <v>28</v>
      </c>
      <c r="X28" s="181" t="s">
        <v>9</v>
      </c>
      <c r="Y28" s="181" t="s">
        <v>84</v>
      </c>
      <c r="Z28" s="169" t="s">
        <v>85</v>
      </c>
      <c r="AA28" s="181" t="s">
        <v>86</v>
      </c>
      <c r="AB28" s="181" t="s">
        <v>87</v>
      </c>
      <c r="AC28" s="181" t="s">
        <v>44</v>
      </c>
      <c r="AD28" s="182" t="s">
        <v>28</v>
      </c>
    </row>
    <row r="29" spans="1:32" ht="27.75" customHeight="1">
      <c r="A29" s="962"/>
      <c r="B29" s="499">
        <v>1</v>
      </c>
      <c r="C29" s="197">
        <v>2</v>
      </c>
      <c r="D29" s="197">
        <v>3</v>
      </c>
      <c r="E29" s="197">
        <v>4</v>
      </c>
      <c r="F29" s="197">
        <v>5</v>
      </c>
      <c r="G29" s="197">
        <v>6</v>
      </c>
      <c r="H29" s="197">
        <v>7</v>
      </c>
      <c r="I29" s="197">
        <v>8</v>
      </c>
      <c r="J29" s="197">
        <v>9</v>
      </c>
      <c r="K29" s="197">
        <v>10</v>
      </c>
      <c r="L29" s="197">
        <v>11</v>
      </c>
      <c r="M29" s="197">
        <v>12</v>
      </c>
      <c r="N29" s="197">
        <v>13</v>
      </c>
      <c r="O29" s="197">
        <v>14</v>
      </c>
      <c r="P29" s="197">
        <v>15</v>
      </c>
      <c r="Q29" s="197">
        <v>16</v>
      </c>
      <c r="R29" s="197">
        <v>17</v>
      </c>
      <c r="S29" s="197">
        <v>18</v>
      </c>
      <c r="T29" s="197">
        <v>19</v>
      </c>
      <c r="U29" s="197">
        <v>20</v>
      </c>
      <c r="V29" s="197">
        <v>21</v>
      </c>
      <c r="W29" s="197">
        <v>22</v>
      </c>
      <c r="X29" s="197">
        <v>23</v>
      </c>
      <c r="Y29" s="197">
        <v>24</v>
      </c>
      <c r="Z29" s="197">
        <v>25</v>
      </c>
      <c r="AA29" s="197">
        <v>26</v>
      </c>
      <c r="AB29" s="197">
        <v>27</v>
      </c>
      <c r="AC29" s="197">
        <v>28</v>
      </c>
      <c r="AD29" s="198">
        <v>29</v>
      </c>
    </row>
    <row r="30" spans="1:32" ht="27.75" customHeight="1">
      <c r="A30" s="480" t="s">
        <v>345</v>
      </c>
      <c r="B30" s="500" t="s">
        <v>329</v>
      </c>
      <c r="C30" s="501" t="s">
        <v>329</v>
      </c>
      <c r="D30" s="203" t="s">
        <v>173</v>
      </c>
      <c r="E30" s="203" t="s">
        <v>173</v>
      </c>
      <c r="F30" s="202" t="s">
        <v>329</v>
      </c>
      <c r="G30" s="202" t="s">
        <v>329</v>
      </c>
      <c r="H30" s="202" t="s">
        <v>329</v>
      </c>
      <c r="I30" s="202" t="s">
        <v>329</v>
      </c>
      <c r="J30" s="202" t="s">
        <v>329</v>
      </c>
      <c r="K30" s="203" t="s">
        <v>173</v>
      </c>
      <c r="L30" s="203" t="s">
        <v>173</v>
      </c>
      <c r="M30" s="202" t="s">
        <v>329</v>
      </c>
      <c r="N30" s="202" t="s">
        <v>329</v>
      </c>
      <c r="O30" s="202" t="s">
        <v>329</v>
      </c>
      <c r="P30" s="202" t="s">
        <v>329</v>
      </c>
      <c r="Q30" s="202" t="s">
        <v>329</v>
      </c>
      <c r="R30" s="203" t="s">
        <v>173</v>
      </c>
      <c r="S30" s="203" t="s">
        <v>173</v>
      </c>
      <c r="T30" s="202" t="s">
        <v>329</v>
      </c>
      <c r="U30" s="202" t="s">
        <v>329</v>
      </c>
      <c r="V30" s="202" t="s">
        <v>329</v>
      </c>
      <c r="W30" s="170" t="s">
        <v>329</v>
      </c>
      <c r="X30" s="170" t="s">
        <v>329</v>
      </c>
      <c r="Y30" s="171" t="s">
        <v>173</v>
      </c>
      <c r="Z30" s="171" t="s">
        <v>173</v>
      </c>
      <c r="AA30" s="170" t="s">
        <v>329</v>
      </c>
      <c r="AB30" s="170" t="s">
        <v>329</v>
      </c>
      <c r="AC30" s="202" t="s">
        <v>329</v>
      </c>
      <c r="AD30" s="204" t="s">
        <v>329</v>
      </c>
    </row>
    <row r="31" spans="1:32" ht="27.75" customHeight="1">
      <c r="A31" s="482" t="s">
        <v>452</v>
      </c>
      <c r="B31" s="502" t="s">
        <v>329</v>
      </c>
      <c r="C31" s="503" t="s">
        <v>329</v>
      </c>
      <c r="D31" s="171" t="s">
        <v>173</v>
      </c>
      <c r="E31" s="171" t="s">
        <v>173</v>
      </c>
      <c r="F31" s="170" t="s">
        <v>329</v>
      </c>
      <c r="G31" s="170" t="s">
        <v>329</v>
      </c>
      <c r="H31" s="170" t="s">
        <v>329</v>
      </c>
      <c r="I31" s="170" t="s">
        <v>329</v>
      </c>
      <c r="J31" s="170" t="s">
        <v>329</v>
      </c>
      <c r="K31" s="171" t="s">
        <v>173</v>
      </c>
      <c r="L31" s="171" t="s">
        <v>173</v>
      </c>
      <c r="M31" s="170" t="s">
        <v>329</v>
      </c>
      <c r="N31" s="170" t="s">
        <v>329</v>
      </c>
      <c r="O31" s="170" t="s">
        <v>329</v>
      </c>
      <c r="P31" s="170" t="s">
        <v>329</v>
      </c>
      <c r="Q31" s="170" t="s">
        <v>329</v>
      </c>
      <c r="R31" s="171" t="s">
        <v>173</v>
      </c>
      <c r="S31" s="171" t="s">
        <v>173</v>
      </c>
      <c r="T31" s="170" t="s">
        <v>329</v>
      </c>
      <c r="U31" s="170" t="s">
        <v>329</v>
      </c>
      <c r="V31" s="170" t="s">
        <v>329</v>
      </c>
      <c r="W31" s="170" t="s">
        <v>329</v>
      </c>
      <c r="X31" s="170" t="s">
        <v>329</v>
      </c>
      <c r="Y31" s="171" t="s">
        <v>173</v>
      </c>
      <c r="Z31" s="171" t="s">
        <v>173</v>
      </c>
      <c r="AA31" s="170" t="s">
        <v>329</v>
      </c>
      <c r="AB31" s="170" t="s">
        <v>329</v>
      </c>
      <c r="AC31" s="170" t="s">
        <v>329</v>
      </c>
      <c r="AD31" s="206" t="s">
        <v>329</v>
      </c>
    </row>
    <row r="32" spans="1:32" ht="27.75" customHeight="1">
      <c r="A32" s="484" t="s">
        <v>349</v>
      </c>
      <c r="B32" s="504" t="s">
        <v>768</v>
      </c>
      <c r="C32" s="485" t="s">
        <v>768</v>
      </c>
      <c r="D32" s="172" t="s">
        <v>14</v>
      </c>
      <c r="E32" s="172" t="s">
        <v>14</v>
      </c>
      <c r="F32" s="173" t="s">
        <v>327</v>
      </c>
      <c r="G32" s="173" t="s">
        <v>327</v>
      </c>
      <c r="H32" s="173" t="s">
        <v>327</v>
      </c>
      <c r="I32" s="173" t="s">
        <v>327</v>
      </c>
      <c r="J32" s="173" t="s">
        <v>327</v>
      </c>
      <c r="K32" s="294" t="s">
        <v>778</v>
      </c>
      <c r="L32" s="171" t="s">
        <v>173</v>
      </c>
      <c r="M32" s="505" t="s">
        <v>768</v>
      </c>
      <c r="N32" s="505" t="s">
        <v>768</v>
      </c>
      <c r="O32" s="505" t="s">
        <v>768</v>
      </c>
      <c r="P32" s="505" t="s">
        <v>768</v>
      </c>
      <c r="Q32" s="505" t="s">
        <v>768</v>
      </c>
      <c r="R32" s="295" t="s">
        <v>14</v>
      </c>
      <c r="S32" s="172" t="s">
        <v>14</v>
      </c>
      <c r="T32" s="183" t="s">
        <v>327</v>
      </c>
      <c r="U32" s="183" t="s">
        <v>327</v>
      </c>
      <c r="V32" s="183" t="s">
        <v>327</v>
      </c>
      <c r="W32" s="183" t="s">
        <v>327</v>
      </c>
      <c r="X32" s="183" t="s">
        <v>327</v>
      </c>
      <c r="Y32" s="294" t="s">
        <v>778</v>
      </c>
      <c r="Z32" s="171" t="s">
        <v>173</v>
      </c>
      <c r="AA32" s="183" t="s">
        <v>327</v>
      </c>
      <c r="AB32" s="183" t="s">
        <v>327</v>
      </c>
      <c r="AC32" s="183" t="s">
        <v>327</v>
      </c>
      <c r="AD32" s="213" t="s">
        <v>327</v>
      </c>
    </row>
    <row r="33" spans="1:32" ht="27.75" customHeight="1">
      <c r="A33" s="484" t="s">
        <v>592</v>
      </c>
      <c r="B33" s="212" t="s">
        <v>327</v>
      </c>
      <c r="C33" s="173" t="s">
        <v>327</v>
      </c>
      <c r="D33" s="171" t="s">
        <v>173</v>
      </c>
      <c r="E33" s="171" t="s">
        <v>173</v>
      </c>
      <c r="F33" s="487" t="s">
        <v>770</v>
      </c>
      <c r="G33" s="487" t="s">
        <v>770</v>
      </c>
      <c r="H33" s="487" t="s">
        <v>770</v>
      </c>
      <c r="I33" s="487" t="s">
        <v>770</v>
      </c>
      <c r="J33" s="487" t="s">
        <v>770</v>
      </c>
      <c r="K33" s="295" t="s">
        <v>14</v>
      </c>
      <c r="L33" s="172" t="s">
        <v>14</v>
      </c>
      <c r="M33" s="183" t="s">
        <v>327</v>
      </c>
      <c r="N33" s="183" t="s">
        <v>327</v>
      </c>
      <c r="O33" s="183" t="s">
        <v>327</v>
      </c>
      <c r="P33" s="183" t="s">
        <v>327</v>
      </c>
      <c r="Q33" s="183" t="s">
        <v>327</v>
      </c>
      <c r="R33" s="171" t="s">
        <v>173</v>
      </c>
      <c r="S33" s="171" t="s">
        <v>173</v>
      </c>
      <c r="T33" s="487" t="s">
        <v>770</v>
      </c>
      <c r="U33" s="487" t="s">
        <v>770</v>
      </c>
      <c r="V33" s="487" t="s">
        <v>770</v>
      </c>
      <c r="W33" s="487" t="s">
        <v>770</v>
      </c>
      <c r="X33" s="487" t="s">
        <v>770</v>
      </c>
      <c r="Y33" s="295" t="s">
        <v>14</v>
      </c>
      <c r="Z33" s="172" t="s">
        <v>14</v>
      </c>
      <c r="AA33" s="183" t="s">
        <v>327</v>
      </c>
      <c r="AB33" s="183" t="s">
        <v>327</v>
      </c>
      <c r="AC33" s="183" t="s">
        <v>327</v>
      </c>
      <c r="AD33" s="213" t="s">
        <v>327</v>
      </c>
    </row>
    <row r="34" spans="1:32" ht="27.75" customHeight="1">
      <c r="A34" s="491" t="s">
        <v>771</v>
      </c>
      <c r="B34" s="469" t="s">
        <v>331</v>
      </c>
      <c r="C34" s="493" t="s">
        <v>331</v>
      </c>
      <c r="D34" s="171" t="s">
        <v>173</v>
      </c>
      <c r="E34" s="171" t="s">
        <v>173</v>
      </c>
      <c r="F34" s="170" t="s">
        <v>329</v>
      </c>
      <c r="G34" s="170" t="s">
        <v>329</v>
      </c>
      <c r="H34" s="170" t="s">
        <v>329</v>
      </c>
      <c r="I34" s="170" t="s">
        <v>329</v>
      </c>
      <c r="J34" s="170" t="s">
        <v>329</v>
      </c>
      <c r="K34" s="171" t="s">
        <v>173</v>
      </c>
      <c r="L34" s="171" t="s">
        <v>173</v>
      </c>
      <c r="M34" s="493" t="s">
        <v>331</v>
      </c>
      <c r="N34" s="493" t="s">
        <v>331</v>
      </c>
      <c r="O34" s="493" t="s">
        <v>331</v>
      </c>
      <c r="P34" s="493" t="s">
        <v>331</v>
      </c>
      <c r="Q34" s="493" t="s">
        <v>331</v>
      </c>
      <c r="R34" s="171" t="s">
        <v>173</v>
      </c>
      <c r="S34" s="171" t="s">
        <v>173</v>
      </c>
      <c r="T34" s="174" t="s">
        <v>325</v>
      </c>
      <c r="U34" s="174" t="s">
        <v>325</v>
      </c>
      <c r="V34" s="174" t="s">
        <v>779</v>
      </c>
      <c r="W34" s="174" t="s">
        <v>325</v>
      </c>
      <c r="X34" s="174" t="s">
        <v>325</v>
      </c>
      <c r="Y34" s="294" t="s">
        <v>778</v>
      </c>
      <c r="Z34" s="171" t="s">
        <v>173</v>
      </c>
      <c r="AA34" s="172" t="s">
        <v>331</v>
      </c>
      <c r="AB34" s="172" t="s">
        <v>331</v>
      </c>
      <c r="AC34" s="172" t="s">
        <v>331</v>
      </c>
      <c r="AD34" s="232" t="s">
        <v>331</v>
      </c>
    </row>
    <row r="35" spans="1:32" ht="27.75" customHeight="1">
      <c r="A35" s="495" t="s">
        <v>360</v>
      </c>
      <c r="B35" s="214" t="s">
        <v>329</v>
      </c>
      <c r="C35" s="170" t="s">
        <v>329</v>
      </c>
      <c r="D35" s="171" t="s">
        <v>173</v>
      </c>
      <c r="E35" s="171" t="s">
        <v>173</v>
      </c>
      <c r="F35" s="493" t="s">
        <v>331</v>
      </c>
      <c r="G35" s="493" t="s">
        <v>331</v>
      </c>
      <c r="H35" s="493" t="s">
        <v>331</v>
      </c>
      <c r="I35" s="493" t="s">
        <v>331</v>
      </c>
      <c r="J35" s="493" t="s">
        <v>331</v>
      </c>
      <c r="K35" s="171" t="s">
        <v>173</v>
      </c>
      <c r="L35" s="171" t="s">
        <v>173</v>
      </c>
      <c r="M35" s="174" t="s">
        <v>325</v>
      </c>
      <c r="N35" s="174" t="s">
        <v>325</v>
      </c>
      <c r="O35" s="174" t="s">
        <v>325</v>
      </c>
      <c r="P35" s="174" t="s">
        <v>325</v>
      </c>
      <c r="Q35" s="174" t="s">
        <v>325</v>
      </c>
      <c r="R35" s="171" t="s">
        <v>173</v>
      </c>
      <c r="S35" s="294" t="s">
        <v>778</v>
      </c>
      <c r="T35" s="183" t="s">
        <v>327</v>
      </c>
      <c r="U35" s="183" t="s">
        <v>327</v>
      </c>
      <c r="V35" s="183" t="s">
        <v>327</v>
      </c>
      <c r="W35" s="183" t="s">
        <v>327</v>
      </c>
      <c r="X35" s="183" t="s">
        <v>327</v>
      </c>
      <c r="Y35" s="171" t="s">
        <v>173</v>
      </c>
      <c r="Z35" s="171" t="s">
        <v>173</v>
      </c>
      <c r="AA35" s="170" t="s">
        <v>329</v>
      </c>
      <c r="AB35" s="170" t="s">
        <v>329</v>
      </c>
      <c r="AC35" s="170" t="s">
        <v>329</v>
      </c>
      <c r="AD35" s="206" t="s">
        <v>329</v>
      </c>
    </row>
    <row r="36" spans="1:32" ht="27.75" customHeight="1">
      <c r="A36" s="491" t="s">
        <v>707</v>
      </c>
      <c r="B36" s="469"/>
      <c r="C36" s="493"/>
      <c r="D36" s="171"/>
      <c r="E36" s="171"/>
      <c r="F36" s="174"/>
      <c r="G36" s="174"/>
      <c r="H36" s="174"/>
      <c r="I36" s="174"/>
      <c r="J36" s="174"/>
      <c r="K36" s="171"/>
      <c r="L36" s="171"/>
      <c r="M36" s="183"/>
      <c r="N36" s="183"/>
      <c r="O36" s="183"/>
      <c r="P36" s="183"/>
      <c r="Q36" s="183"/>
      <c r="R36" s="171"/>
      <c r="S36" s="171"/>
      <c r="T36" s="170"/>
      <c r="U36" s="170" t="s">
        <v>383</v>
      </c>
      <c r="V36" s="170" t="s">
        <v>383</v>
      </c>
      <c r="W36" s="170" t="s">
        <v>383</v>
      </c>
      <c r="X36" s="170" t="s">
        <v>383</v>
      </c>
      <c r="Y36" s="171"/>
      <c r="Z36" s="171"/>
      <c r="AA36" s="170" t="s">
        <v>329</v>
      </c>
      <c r="AB36" s="170" t="s">
        <v>329</v>
      </c>
      <c r="AC36" s="170" t="s">
        <v>329</v>
      </c>
      <c r="AD36" s="206" t="s">
        <v>329</v>
      </c>
    </row>
    <row r="37" spans="1:32" ht="27.75" customHeight="1">
      <c r="A37" s="496" t="s">
        <v>776</v>
      </c>
      <c r="B37" s="215" t="s">
        <v>325</v>
      </c>
      <c r="C37" s="178" t="s">
        <v>325</v>
      </c>
      <c r="D37" s="176" t="s">
        <v>173</v>
      </c>
      <c r="E37" s="176" t="s">
        <v>173</v>
      </c>
      <c r="F37" s="178" t="s">
        <v>325</v>
      </c>
      <c r="G37" s="178" t="s">
        <v>325</v>
      </c>
      <c r="H37" s="178" t="s">
        <v>325</v>
      </c>
      <c r="I37" s="178" t="s">
        <v>325</v>
      </c>
      <c r="J37" s="178" t="s">
        <v>325</v>
      </c>
      <c r="K37" s="463" t="s">
        <v>780</v>
      </c>
      <c r="L37" s="176" t="s">
        <v>173</v>
      </c>
      <c r="M37" s="175" t="s">
        <v>329</v>
      </c>
      <c r="N37" s="175" t="s">
        <v>329</v>
      </c>
      <c r="O37" s="175" t="s">
        <v>329</v>
      </c>
      <c r="P37" s="175" t="s">
        <v>329</v>
      </c>
      <c r="Q37" s="175" t="s">
        <v>329</v>
      </c>
      <c r="R37" s="463" t="s">
        <v>778</v>
      </c>
      <c r="S37" s="176" t="s">
        <v>173</v>
      </c>
      <c r="T37" s="177" t="s">
        <v>331</v>
      </c>
      <c r="U37" s="177" t="s">
        <v>331</v>
      </c>
      <c r="V37" s="177" t="s">
        <v>331</v>
      </c>
      <c r="W37" s="177" t="s">
        <v>331</v>
      </c>
      <c r="X37" s="177" t="s">
        <v>331</v>
      </c>
      <c r="Y37" s="176" t="s">
        <v>173</v>
      </c>
      <c r="Z37" s="176" t="s">
        <v>173</v>
      </c>
      <c r="AA37" s="178" t="s">
        <v>325</v>
      </c>
      <c r="AB37" s="178" t="s">
        <v>325</v>
      </c>
      <c r="AC37" s="178" t="s">
        <v>325</v>
      </c>
      <c r="AD37" s="211" t="s">
        <v>325</v>
      </c>
    </row>
    <row r="39" spans="1:32" ht="27.75" customHeight="1">
      <c r="B39" s="963" t="s">
        <v>385</v>
      </c>
      <c r="C39" s="964"/>
      <c r="D39" s="964"/>
      <c r="E39" s="964"/>
      <c r="F39" s="964"/>
      <c r="G39" s="964"/>
      <c r="H39" s="964"/>
      <c r="I39" s="964"/>
      <c r="J39" s="964"/>
      <c r="K39" s="964"/>
      <c r="L39" s="964"/>
      <c r="M39" s="964"/>
      <c r="N39" s="964"/>
      <c r="O39" s="964"/>
      <c r="P39" s="964"/>
      <c r="Q39" s="964"/>
      <c r="R39" s="964"/>
      <c r="S39" s="964"/>
      <c r="T39" s="964"/>
      <c r="U39" s="964"/>
      <c r="V39" s="964"/>
      <c r="W39" s="964"/>
      <c r="X39" s="964"/>
      <c r="Y39" s="964"/>
      <c r="Z39" s="964"/>
      <c r="AA39" s="964"/>
      <c r="AB39" s="964"/>
      <c r="AC39" s="964"/>
      <c r="AD39" s="964"/>
      <c r="AE39" s="964"/>
      <c r="AF39" s="965"/>
    </row>
    <row r="40" spans="1:32" ht="27.75" customHeight="1">
      <c r="A40" s="966" t="s">
        <v>341</v>
      </c>
      <c r="B40" s="180" t="s">
        <v>9</v>
      </c>
      <c r="C40" s="181" t="s">
        <v>84</v>
      </c>
      <c r="D40" s="169" t="s">
        <v>85</v>
      </c>
      <c r="E40" s="181" t="s">
        <v>86</v>
      </c>
      <c r="F40" s="181" t="s">
        <v>87</v>
      </c>
      <c r="G40" s="181" t="s">
        <v>44</v>
      </c>
      <c r="H40" s="181" t="s">
        <v>28</v>
      </c>
      <c r="I40" s="181" t="s">
        <v>9</v>
      </c>
      <c r="J40" s="181" t="s">
        <v>84</v>
      </c>
      <c r="K40" s="169" t="s">
        <v>85</v>
      </c>
      <c r="L40" s="181" t="s">
        <v>86</v>
      </c>
      <c r="M40" s="181" t="s">
        <v>87</v>
      </c>
      <c r="N40" s="181" t="s">
        <v>44</v>
      </c>
      <c r="O40" s="181" t="s">
        <v>28</v>
      </c>
      <c r="P40" s="181" t="s">
        <v>9</v>
      </c>
      <c r="Q40" s="181" t="s">
        <v>84</v>
      </c>
      <c r="R40" s="169" t="s">
        <v>85</v>
      </c>
      <c r="S40" s="181" t="s">
        <v>86</v>
      </c>
      <c r="T40" s="181" t="s">
        <v>87</v>
      </c>
      <c r="U40" s="181" t="s">
        <v>44</v>
      </c>
      <c r="V40" s="181" t="s">
        <v>28</v>
      </c>
      <c r="W40" s="181" t="s">
        <v>9</v>
      </c>
      <c r="X40" s="181" t="s">
        <v>84</v>
      </c>
      <c r="Y40" s="169" t="s">
        <v>85</v>
      </c>
      <c r="Z40" s="181" t="s">
        <v>86</v>
      </c>
      <c r="AA40" s="181" t="s">
        <v>87</v>
      </c>
      <c r="AB40" s="181" t="s">
        <v>44</v>
      </c>
      <c r="AC40" s="181" t="s">
        <v>28</v>
      </c>
      <c r="AD40" s="181" t="s">
        <v>9</v>
      </c>
      <c r="AE40" s="181" t="s">
        <v>84</v>
      </c>
      <c r="AF40" s="185" t="s">
        <v>85</v>
      </c>
    </row>
    <row r="41" spans="1:32" ht="27.75" customHeight="1">
      <c r="A41" s="967"/>
      <c r="B41" s="499">
        <v>1</v>
      </c>
      <c r="C41" s="197">
        <v>2</v>
      </c>
      <c r="D41" s="216">
        <v>3</v>
      </c>
      <c r="E41" s="197">
        <v>4</v>
      </c>
      <c r="F41" s="197">
        <v>5</v>
      </c>
      <c r="G41" s="197">
        <v>6</v>
      </c>
      <c r="H41" s="197">
        <v>7</v>
      </c>
      <c r="I41" s="197">
        <v>8</v>
      </c>
      <c r="J41" s="197">
        <v>9</v>
      </c>
      <c r="K41" s="216">
        <v>10</v>
      </c>
      <c r="L41" s="197">
        <v>11</v>
      </c>
      <c r="M41" s="197">
        <v>12</v>
      </c>
      <c r="N41" s="197">
        <v>13</v>
      </c>
      <c r="O41" s="197">
        <v>14</v>
      </c>
      <c r="P41" s="197">
        <v>15</v>
      </c>
      <c r="Q41" s="197">
        <v>16</v>
      </c>
      <c r="R41" s="216">
        <v>17</v>
      </c>
      <c r="S41" s="197">
        <v>18</v>
      </c>
      <c r="T41" s="197">
        <v>19</v>
      </c>
      <c r="U41" s="197">
        <v>20</v>
      </c>
      <c r="V41" s="197">
        <v>21</v>
      </c>
      <c r="W41" s="197">
        <v>22</v>
      </c>
      <c r="X41" s="197">
        <v>23</v>
      </c>
      <c r="Y41" s="216">
        <v>24</v>
      </c>
      <c r="Z41" s="197">
        <v>25</v>
      </c>
      <c r="AA41" s="197">
        <v>26</v>
      </c>
      <c r="AB41" s="197">
        <v>27</v>
      </c>
      <c r="AC41" s="240">
        <v>28</v>
      </c>
      <c r="AD41" s="216">
        <v>29</v>
      </c>
      <c r="AE41" s="197">
        <v>30</v>
      </c>
      <c r="AF41" s="217">
        <v>31</v>
      </c>
    </row>
    <row r="42" spans="1:32" ht="27.75" customHeight="1">
      <c r="A42" s="506" t="s">
        <v>781</v>
      </c>
      <c r="B42" s="218" t="s">
        <v>329</v>
      </c>
      <c r="C42" s="203" t="s">
        <v>173</v>
      </c>
      <c r="D42" s="203" t="s">
        <v>173</v>
      </c>
      <c r="E42" s="202" t="s">
        <v>329</v>
      </c>
      <c r="F42" s="202" t="s">
        <v>329</v>
      </c>
      <c r="G42" s="202" t="s">
        <v>329</v>
      </c>
      <c r="H42" s="202" t="s">
        <v>329</v>
      </c>
      <c r="I42" s="202" t="s">
        <v>329</v>
      </c>
      <c r="J42" s="203" t="s">
        <v>173</v>
      </c>
      <c r="K42" s="203" t="s">
        <v>173</v>
      </c>
      <c r="L42" s="202" t="s">
        <v>329</v>
      </c>
      <c r="M42" s="202" t="s">
        <v>329</v>
      </c>
      <c r="N42" s="202" t="s">
        <v>329</v>
      </c>
      <c r="O42" s="202" t="s">
        <v>329</v>
      </c>
      <c r="P42" s="202" t="s">
        <v>329</v>
      </c>
      <c r="Q42" s="203" t="s">
        <v>173</v>
      </c>
      <c r="R42" s="203" t="s">
        <v>173</v>
      </c>
      <c r="S42" s="202" t="s">
        <v>329</v>
      </c>
      <c r="T42" s="488" t="s">
        <v>9</v>
      </c>
      <c r="U42" s="488" t="s">
        <v>9</v>
      </c>
      <c r="V42" s="488" t="s">
        <v>9</v>
      </c>
      <c r="W42" s="488" t="s">
        <v>9</v>
      </c>
      <c r="X42" s="488" t="s">
        <v>9</v>
      </c>
      <c r="Y42" s="488" t="s">
        <v>9</v>
      </c>
      <c r="Z42" s="488" t="s">
        <v>9</v>
      </c>
      <c r="AA42" s="488" t="s">
        <v>9</v>
      </c>
      <c r="AB42" s="295" t="s">
        <v>770</v>
      </c>
      <c r="AC42" s="172" t="s">
        <v>14</v>
      </c>
      <c r="AD42" s="172" t="s">
        <v>14</v>
      </c>
      <c r="AE42" s="172" t="s">
        <v>14</v>
      </c>
      <c r="AF42" s="232" t="s">
        <v>14</v>
      </c>
    </row>
    <row r="43" spans="1:32" ht="27.75" customHeight="1">
      <c r="A43" s="482" t="s">
        <v>452</v>
      </c>
      <c r="B43" s="214" t="s">
        <v>329</v>
      </c>
      <c r="C43" s="171" t="s">
        <v>173</v>
      </c>
      <c r="D43" s="171" t="s">
        <v>173</v>
      </c>
      <c r="E43" s="170" t="s">
        <v>329</v>
      </c>
      <c r="F43" s="170" t="s">
        <v>329</v>
      </c>
      <c r="G43" s="170" t="s">
        <v>329</v>
      </c>
      <c r="H43" s="170" t="s">
        <v>329</v>
      </c>
      <c r="I43" s="170" t="s">
        <v>329</v>
      </c>
      <c r="J43" s="171" t="s">
        <v>173</v>
      </c>
      <c r="K43" s="171" t="s">
        <v>173</v>
      </c>
      <c r="L43" s="170" t="s">
        <v>329</v>
      </c>
      <c r="M43" s="170" t="s">
        <v>329</v>
      </c>
      <c r="N43" s="170" t="s">
        <v>329</v>
      </c>
      <c r="O43" s="170" t="s">
        <v>329</v>
      </c>
      <c r="P43" s="170" t="s">
        <v>329</v>
      </c>
      <c r="Q43" s="171" t="s">
        <v>173</v>
      </c>
      <c r="R43" s="171" t="s">
        <v>173</v>
      </c>
      <c r="S43" s="170" t="s">
        <v>329</v>
      </c>
      <c r="T43" s="170" t="s">
        <v>329</v>
      </c>
      <c r="U43" s="170" t="s">
        <v>329</v>
      </c>
      <c r="V43" s="170" t="s">
        <v>329</v>
      </c>
      <c r="W43" s="170" t="s">
        <v>329</v>
      </c>
      <c r="X43" s="171" t="s">
        <v>173</v>
      </c>
      <c r="Y43" s="171" t="s">
        <v>173</v>
      </c>
      <c r="Z43" s="170" t="s">
        <v>329</v>
      </c>
      <c r="AA43" s="170" t="s">
        <v>329</v>
      </c>
      <c r="AB43" s="488" t="s">
        <v>9</v>
      </c>
      <c r="AC43" s="199" t="s">
        <v>173</v>
      </c>
      <c r="AD43" s="199" t="s">
        <v>173</v>
      </c>
      <c r="AE43" s="171" t="s">
        <v>173</v>
      </c>
      <c r="AF43" s="186" t="s">
        <v>173</v>
      </c>
    </row>
    <row r="44" spans="1:32" ht="27.75" customHeight="1">
      <c r="A44" s="484" t="s">
        <v>349</v>
      </c>
      <c r="B44" s="212" t="s">
        <v>327</v>
      </c>
      <c r="C44" s="171" t="s">
        <v>173</v>
      </c>
      <c r="D44" s="171" t="s">
        <v>173</v>
      </c>
      <c r="E44" s="173" t="s">
        <v>327</v>
      </c>
      <c r="F44" s="173" t="s">
        <v>327</v>
      </c>
      <c r="G44" s="173" t="s">
        <v>327</v>
      </c>
      <c r="H44" s="173" t="s">
        <v>327</v>
      </c>
      <c r="I44" s="173" t="s">
        <v>327</v>
      </c>
      <c r="J44" s="171" t="s">
        <v>173</v>
      </c>
      <c r="K44" s="171" t="s">
        <v>173</v>
      </c>
      <c r="L44" s="173" t="s">
        <v>327</v>
      </c>
      <c r="M44" s="173" t="s">
        <v>327</v>
      </c>
      <c r="N44" s="173" t="s">
        <v>327</v>
      </c>
      <c r="O44" s="173" t="s">
        <v>327</v>
      </c>
      <c r="P44" s="173" t="s">
        <v>327</v>
      </c>
      <c r="Q44" s="171" t="s">
        <v>173</v>
      </c>
      <c r="R44" s="171" t="s">
        <v>173</v>
      </c>
      <c r="S44" s="173" t="s">
        <v>327</v>
      </c>
      <c r="T44" s="173" t="s">
        <v>327</v>
      </c>
      <c r="U44" s="173" t="s">
        <v>327</v>
      </c>
      <c r="V44" s="173" t="s">
        <v>327</v>
      </c>
      <c r="W44" s="173" t="s">
        <v>327</v>
      </c>
      <c r="X44" s="171" t="s">
        <v>173</v>
      </c>
      <c r="Y44" s="171" t="s">
        <v>173</v>
      </c>
      <c r="Z44" s="173" t="s">
        <v>327</v>
      </c>
      <c r="AA44" s="173" t="s">
        <v>327</v>
      </c>
      <c r="AB44" s="173" t="s">
        <v>327</v>
      </c>
      <c r="AC44" s="200" t="s">
        <v>173</v>
      </c>
      <c r="AD44" s="200" t="s">
        <v>173</v>
      </c>
      <c r="AE44" s="171" t="s">
        <v>173</v>
      </c>
      <c r="AF44" s="186" t="s">
        <v>173</v>
      </c>
    </row>
    <row r="45" spans="1:32" ht="27.75" customHeight="1">
      <c r="A45" s="484" t="s">
        <v>592</v>
      </c>
      <c r="B45" s="212" t="s">
        <v>327</v>
      </c>
      <c r="C45" s="171" t="s">
        <v>173</v>
      </c>
      <c r="D45" s="171" t="s">
        <v>173</v>
      </c>
      <c r="E45" s="170" t="s">
        <v>329</v>
      </c>
      <c r="F45" s="170" t="s">
        <v>329</v>
      </c>
      <c r="G45" s="170" t="s">
        <v>329</v>
      </c>
      <c r="H45" s="170" t="s">
        <v>329</v>
      </c>
      <c r="I45" s="170" t="s">
        <v>329</v>
      </c>
      <c r="J45" s="171" t="s">
        <v>173</v>
      </c>
      <c r="K45" s="171" t="s">
        <v>173</v>
      </c>
      <c r="L45" s="173" t="s">
        <v>327</v>
      </c>
      <c r="M45" s="173" t="s">
        <v>327</v>
      </c>
      <c r="N45" s="488" t="s">
        <v>9</v>
      </c>
      <c r="O45" s="488" t="s">
        <v>9</v>
      </c>
      <c r="P45" s="488" t="s">
        <v>9</v>
      </c>
      <c r="Q45" s="488" t="s">
        <v>9</v>
      </c>
      <c r="R45" s="488" t="s">
        <v>9</v>
      </c>
      <c r="S45" s="488" t="s">
        <v>9</v>
      </c>
      <c r="T45" s="488" t="s">
        <v>9</v>
      </c>
      <c r="U45" s="488" t="s">
        <v>9</v>
      </c>
      <c r="V45" s="170" t="s">
        <v>329</v>
      </c>
      <c r="W45" s="170" t="s">
        <v>329</v>
      </c>
      <c r="X45" s="171" t="s">
        <v>173</v>
      </c>
      <c r="Y45" s="171" t="s">
        <v>173</v>
      </c>
      <c r="Z45" s="507" t="s">
        <v>782</v>
      </c>
      <c r="AA45" s="172" t="s">
        <v>783</v>
      </c>
      <c r="AB45" s="173" t="s">
        <v>327</v>
      </c>
      <c r="AC45" s="199" t="s">
        <v>173</v>
      </c>
      <c r="AD45" s="199" t="s">
        <v>173</v>
      </c>
      <c r="AE45" s="171" t="s">
        <v>173</v>
      </c>
      <c r="AF45" s="186" t="s">
        <v>173</v>
      </c>
    </row>
    <row r="46" spans="1:32" ht="27.75" customHeight="1">
      <c r="A46" s="491" t="s">
        <v>771</v>
      </c>
      <c r="B46" s="207" t="s">
        <v>331</v>
      </c>
      <c r="C46" s="172" t="s">
        <v>14</v>
      </c>
      <c r="D46" s="172" t="s">
        <v>14</v>
      </c>
      <c r="E46" s="174" t="s">
        <v>325</v>
      </c>
      <c r="F46" s="170" t="s">
        <v>329</v>
      </c>
      <c r="G46" s="170" t="s">
        <v>329</v>
      </c>
      <c r="H46" s="294" t="s">
        <v>329</v>
      </c>
      <c r="I46" s="170" t="s">
        <v>329</v>
      </c>
      <c r="J46" s="171" t="s">
        <v>173</v>
      </c>
      <c r="K46" s="171" t="s">
        <v>173</v>
      </c>
      <c r="L46" s="172" t="s">
        <v>331</v>
      </c>
      <c r="M46" s="172" t="s">
        <v>331</v>
      </c>
      <c r="N46" s="172" t="s">
        <v>331</v>
      </c>
      <c r="O46" s="172" t="s">
        <v>331</v>
      </c>
      <c r="P46" s="172" t="s">
        <v>331</v>
      </c>
      <c r="Q46" s="172" t="s">
        <v>14</v>
      </c>
      <c r="R46" s="172" t="s">
        <v>14</v>
      </c>
      <c r="S46" s="174" t="s">
        <v>325</v>
      </c>
      <c r="T46" s="174" t="s">
        <v>325</v>
      </c>
      <c r="U46" s="174" t="s">
        <v>325</v>
      </c>
      <c r="V46" s="174" t="s">
        <v>325</v>
      </c>
      <c r="W46" s="174" t="s">
        <v>325</v>
      </c>
      <c r="X46" s="171" t="s">
        <v>173</v>
      </c>
      <c r="Y46" s="171" t="s">
        <v>173</v>
      </c>
      <c r="Z46" s="493"/>
      <c r="AA46" s="493"/>
      <c r="AB46" s="488"/>
      <c r="AC46" s="200" t="s">
        <v>173</v>
      </c>
      <c r="AD46" s="200" t="s">
        <v>173</v>
      </c>
      <c r="AE46" s="171" t="s">
        <v>173</v>
      </c>
      <c r="AF46" s="186" t="s">
        <v>173</v>
      </c>
    </row>
    <row r="47" spans="1:32" ht="27.75" customHeight="1">
      <c r="A47" s="495" t="s">
        <v>360</v>
      </c>
      <c r="B47" s="214" t="s">
        <v>329</v>
      </c>
      <c r="C47" s="171" t="s">
        <v>173</v>
      </c>
      <c r="D47" s="171" t="s">
        <v>173</v>
      </c>
      <c r="E47" s="172" t="s">
        <v>331</v>
      </c>
      <c r="F47" s="172" t="s">
        <v>331</v>
      </c>
      <c r="G47" s="172" t="s">
        <v>331</v>
      </c>
      <c r="H47" s="172" t="s">
        <v>331</v>
      </c>
      <c r="I47" s="172" t="s">
        <v>331</v>
      </c>
      <c r="J47" s="172" t="s">
        <v>14</v>
      </c>
      <c r="K47" s="172" t="s">
        <v>14</v>
      </c>
      <c r="L47" s="174" t="s">
        <v>325</v>
      </c>
      <c r="M47" s="174" t="s">
        <v>325</v>
      </c>
      <c r="N47" s="174" t="s">
        <v>325</v>
      </c>
      <c r="O47" s="174" t="s">
        <v>325</v>
      </c>
      <c r="P47" s="174" t="s">
        <v>325</v>
      </c>
      <c r="Q47" s="171" t="s">
        <v>173</v>
      </c>
      <c r="R47" s="171" t="s">
        <v>173</v>
      </c>
      <c r="S47" s="183" t="s">
        <v>327</v>
      </c>
      <c r="T47" s="183" t="s">
        <v>327</v>
      </c>
      <c r="U47" s="183" t="s">
        <v>327</v>
      </c>
      <c r="V47" s="183" t="s">
        <v>327</v>
      </c>
      <c r="W47" s="183" t="s">
        <v>327</v>
      </c>
      <c r="X47" s="171" t="s">
        <v>173</v>
      </c>
      <c r="Y47" s="171" t="s">
        <v>173</v>
      </c>
      <c r="Z47" s="170" t="s">
        <v>329</v>
      </c>
      <c r="AA47" s="488" t="s">
        <v>9</v>
      </c>
      <c r="AB47" s="488" t="s">
        <v>9</v>
      </c>
      <c r="AC47" s="200" t="s">
        <v>173</v>
      </c>
      <c r="AD47" s="200" t="s">
        <v>173</v>
      </c>
      <c r="AE47" s="171" t="s">
        <v>173</v>
      </c>
      <c r="AF47" s="186" t="s">
        <v>173</v>
      </c>
    </row>
    <row r="48" spans="1:32" ht="27.75" customHeight="1">
      <c r="A48" s="491" t="s">
        <v>707</v>
      </c>
      <c r="B48" s="214" t="s">
        <v>329</v>
      </c>
      <c r="C48" s="171" t="s">
        <v>173</v>
      </c>
      <c r="D48" s="171" t="s">
        <v>173</v>
      </c>
      <c r="E48" s="174" t="s">
        <v>325</v>
      </c>
      <c r="F48" s="174" t="s">
        <v>325</v>
      </c>
      <c r="G48" s="174" t="s">
        <v>325</v>
      </c>
      <c r="H48" s="174" t="s">
        <v>325</v>
      </c>
      <c r="I48" s="174" t="s">
        <v>325</v>
      </c>
      <c r="J48" s="171"/>
      <c r="K48" s="171"/>
      <c r="L48" s="183" t="s">
        <v>327</v>
      </c>
      <c r="M48" s="183" t="s">
        <v>327</v>
      </c>
      <c r="N48" s="183" t="s">
        <v>327</v>
      </c>
      <c r="O48" s="183" t="s">
        <v>327</v>
      </c>
      <c r="P48" s="183" t="s">
        <v>327</v>
      </c>
      <c r="Q48" s="171"/>
      <c r="R48" s="171"/>
      <c r="S48" s="170" t="s">
        <v>383</v>
      </c>
      <c r="T48" s="170" t="s">
        <v>383</v>
      </c>
      <c r="U48" s="170" t="s">
        <v>383</v>
      </c>
      <c r="V48" s="170" t="s">
        <v>383</v>
      </c>
      <c r="W48" s="170" t="s">
        <v>383</v>
      </c>
      <c r="X48" s="294" t="s">
        <v>784</v>
      </c>
      <c r="Y48" s="171"/>
      <c r="Z48" s="170" t="s">
        <v>329</v>
      </c>
      <c r="AA48" s="170" t="s">
        <v>329</v>
      </c>
      <c r="AB48" s="493" t="s">
        <v>331</v>
      </c>
      <c r="AC48" s="200" t="s">
        <v>173</v>
      </c>
      <c r="AD48" s="200" t="s">
        <v>173</v>
      </c>
      <c r="AE48" s="171" t="s">
        <v>173</v>
      </c>
      <c r="AF48" s="186" t="s">
        <v>173</v>
      </c>
    </row>
    <row r="49" spans="1:32" ht="27.75" customHeight="1">
      <c r="A49" s="496" t="s">
        <v>776</v>
      </c>
      <c r="B49" s="215" t="s">
        <v>325</v>
      </c>
      <c r="C49" s="176" t="s">
        <v>173</v>
      </c>
      <c r="D49" s="176" t="s">
        <v>173</v>
      </c>
      <c r="E49" s="175" t="s">
        <v>329</v>
      </c>
      <c r="F49" s="178" t="s">
        <v>325</v>
      </c>
      <c r="G49" s="178" t="s">
        <v>325</v>
      </c>
      <c r="H49" s="178" t="s">
        <v>325</v>
      </c>
      <c r="I49" s="178" t="s">
        <v>325</v>
      </c>
      <c r="J49" s="176" t="s">
        <v>173</v>
      </c>
      <c r="K49" s="176" t="s">
        <v>173</v>
      </c>
      <c r="L49" s="175" t="s">
        <v>329</v>
      </c>
      <c r="M49" s="175" t="s">
        <v>329</v>
      </c>
      <c r="N49" s="175" t="s">
        <v>329</v>
      </c>
      <c r="O49" s="175" t="s">
        <v>329</v>
      </c>
      <c r="P49" s="175" t="s">
        <v>329</v>
      </c>
      <c r="Q49" s="176" t="s">
        <v>173</v>
      </c>
      <c r="R49" s="176" t="s">
        <v>173</v>
      </c>
      <c r="S49" s="228" t="s">
        <v>331</v>
      </c>
      <c r="T49" s="228" t="s">
        <v>331</v>
      </c>
      <c r="U49" s="228" t="s">
        <v>331</v>
      </c>
      <c r="V49" s="228" t="s">
        <v>331</v>
      </c>
      <c r="W49" s="228" t="s">
        <v>331</v>
      </c>
      <c r="X49" s="228" t="s">
        <v>14</v>
      </c>
      <c r="Y49" s="228" t="s">
        <v>14</v>
      </c>
      <c r="Z49" s="178" t="s">
        <v>325</v>
      </c>
      <c r="AA49" s="178" t="s">
        <v>325</v>
      </c>
      <c r="AB49" s="178" t="s">
        <v>325</v>
      </c>
      <c r="AC49" s="239" t="s">
        <v>173</v>
      </c>
      <c r="AD49" s="239" t="s">
        <v>173</v>
      </c>
      <c r="AE49" s="176" t="s">
        <v>173</v>
      </c>
      <c r="AF49" s="187" t="s">
        <v>173</v>
      </c>
    </row>
    <row r="51" spans="1:32" ht="27.75" customHeight="1">
      <c r="B51" s="943" t="s">
        <v>398</v>
      </c>
      <c r="C51" s="944"/>
      <c r="D51" s="944"/>
      <c r="E51" s="944"/>
      <c r="F51" s="944"/>
      <c r="G51" s="944"/>
      <c r="H51" s="944"/>
      <c r="I51" s="944"/>
      <c r="J51" s="944"/>
      <c r="K51" s="944"/>
      <c r="L51" s="944"/>
      <c r="M51" s="944"/>
      <c r="N51" s="944"/>
      <c r="O51" s="944"/>
      <c r="P51" s="944"/>
      <c r="Q51" s="944"/>
      <c r="R51" s="944"/>
      <c r="S51" s="944"/>
      <c r="T51" s="944"/>
      <c r="U51" s="944"/>
      <c r="V51" s="944"/>
      <c r="W51" s="944"/>
      <c r="X51" s="944"/>
      <c r="Y51" s="944"/>
      <c r="Z51" s="944"/>
      <c r="AA51" s="944"/>
      <c r="AB51" s="944"/>
      <c r="AC51" s="944"/>
      <c r="AD51" s="944"/>
      <c r="AE51" s="945"/>
    </row>
    <row r="52" spans="1:32" ht="27.75" customHeight="1">
      <c r="A52" s="966" t="s">
        <v>341</v>
      </c>
      <c r="B52" s="180" t="s">
        <v>86</v>
      </c>
      <c r="C52" s="181" t="s">
        <v>87</v>
      </c>
      <c r="D52" s="181" t="s">
        <v>44</v>
      </c>
      <c r="E52" s="181" t="s">
        <v>28</v>
      </c>
      <c r="F52" s="181" t="s">
        <v>9</v>
      </c>
      <c r="G52" s="181" t="s">
        <v>84</v>
      </c>
      <c r="H52" s="169" t="s">
        <v>85</v>
      </c>
      <c r="I52" s="181" t="s">
        <v>86</v>
      </c>
      <c r="J52" s="181" t="s">
        <v>87</v>
      </c>
      <c r="K52" s="181" t="s">
        <v>44</v>
      </c>
      <c r="L52" s="181" t="s">
        <v>28</v>
      </c>
      <c r="M52" s="181" t="s">
        <v>9</v>
      </c>
      <c r="N52" s="181" t="s">
        <v>84</v>
      </c>
      <c r="O52" s="169" t="s">
        <v>85</v>
      </c>
      <c r="P52" s="181" t="s">
        <v>86</v>
      </c>
      <c r="Q52" s="181" t="s">
        <v>87</v>
      </c>
      <c r="R52" s="181" t="s">
        <v>44</v>
      </c>
      <c r="S52" s="181" t="s">
        <v>28</v>
      </c>
      <c r="T52" s="181" t="s">
        <v>9</v>
      </c>
      <c r="U52" s="181" t="s">
        <v>84</v>
      </c>
      <c r="V52" s="169" t="s">
        <v>85</v>
      </c>
      <c r="W52" s="181" t="s">
        <v>86</v>
      </c>
      <c r="X52" s="181" t="s">
        <v>87</v>
      </c>
      <c r="Y52" s="181" t="s">
        <v>44</v>
      </c>
      <c r="Z52" s="181" t="s">
        <v>28</v>
      </c>
      <c r="AA52" s="181" t="s">
        <v>9</v>
      </c>
      <c r="AB52" s="181" t="s">
        <v>84</v>
      </c>
      <c r="AC52" s="181" t="s">
        <v>85</v>
      </c>
      <c r="AD52" s="181" t="s">
        <v>86</v>
      </c>
      <c r="AE52" s="182" t="s">
        <v>87</v>
      </c>
    </row>
    <row r="53" spans="1:32" ht="27.75" customHeight="1">
      <c r="A53" s="967"/>
      <c r="B53" s="225">
        <v>1</v>
      </c>
      <c r="C53" s="226">
        <v>2</v>
      </c>
      <c r="D53" s="226">
        <v>3</v>
      </c>
      <c r="E53" s="226">
        <v>4</v>
      </c>
      <c r="F53" s="226">
        <v>5</v>
      </c>
      <c r="G53" s="216">
        <v>6</v>
      </c>
      <c r="H53" s="216">
        <v>7</v>
      </c>
      <c r="I53" s="226">
        <v>8</v>
      </c>
      <c r="J53" s="226">
        <v>9</v>
      </c>
      <c r="K53" s="226">
        <v>10</v>
      </c>
      <c r="L53" s="226">
        <v>11</v>
      </c>
      <c r="M53" s="226">
        <v>12</v>
      </c>
      <c r="N53" s="216">
        <v>13</v>
      </c>
      <c r="O53" s="216">
        <v>14</v>
      </c>
      <c r="P53" s="226">
        <v>15</v>
      </c>
      <c r="Q53" s="226">
        <v>16</v>
      </c>
      <c r="R53" s="226">
        <v>17</v>
      </c>
      <c r="S53" s="226">
        <v>18</v>
      </c>
      <c r="T53" s="226">
        <v>19</v>
      </c>
      <c r="U53" s="216">
        <v>20</v>
      </c>
      <c r="V53" s="216">
        <v>21</v>
      </c>
      <c r="W53" s="226">
        <v>22</v>
      </c>
      <c r="X53" s="226">
        <v>23</v>
      </c>
      <c r="Y53" s="226">
        <v>24</v>
      </c>
      <c r="Z53" s="226">
        <v>25</v>
      </c>
      <c r="AA53" s="226">
        <v>26</v>
      </c>
      <c r="AB53" s="216">
        <v>27</v>
      </c>
      <c r="AC53" s="216">
        <v>28</v>
      </c>
      <c r="AD53" s="226">
        <v>29</v>
      </c>
      <c r="AE53" s="227">
        <v>30</v>
      </c>
    </row>
    <row r="54" spans="1:32" ht="27.75" customHeight="1">
      <c r="A54" s="506" t="s">
        <v>345</v>
      </c>
      <c r="B54" s="218" t="s">
        <v>329</v>
      </c>
      <c r="C54" s="202" t="s">
        <v>329</v>
      </c>
      <c r="D54" s="202" t="s">
        <v>329</v>
      </c>
      <c r="E54" s="202" t="s">
        <v>329</v>
      </c>
      <c r="F54" s="202" t="s">
        <v>329</v>
      </c>
      <c r="G54" s="203" t="s">
        <v>173</v>
      </c>
      <c r="H54" s="203" t="s">
        <v>173</v>
      </c>
      <c r="I54" s="202" t="s">
        <v>329</v>
      </c>
      <c r="J54" s="202" t="s">
        <v>329</v>
      </c>
      <c r="K54" s="202" t="s">
        <v>329</v>
      </c>
      <c r="L54" s="202" t="s">
        <v>329</v>
      </c>
      <c r="M54" s="202" t="s">
        <v>329</v>
      </c>
      <c r="N54" s="203" t="s">
        <v>173</v>
      </c>
      <c r="O54" s="203" t="s">
        <v>173</v>
      </c>
      <c r="P54" s="202" t="s">
        <v>329</v>
      </c>
      <c r="Q54" s="202" t="s">
        <v>329</v>
      </c>
      <c r="R54" s="202" t="s">
        <v>329</v>
      </c>
      <c r="S54" s="202" t="s">
        <v>329</v>
      </c>
      <c r="T54" s="202" t="s">
        <v>329</v>
      </c>
      <c r="U54" s="203" t="s">
        <v>173</v>
      </c>
      <c r="V54" s="293" t="s">
        <v>785</v>
      </c>
      <c r="W54" s="202" t="s">
        <v>329</v>
      </c>
      <c r="X54" s="202" t="s">
        <v>329</v>
      </c>
      <c r="Y54" s="202" t="s">
        <v>329</v>
      </c>
      <c r="Z54" s="202" t="s">
        <v>329</v>
      </c>
      <c r="AA54" s="202" t="s">
        <v>329</v>
      </c>
      <c r="AB54" s="203" t="s">
        <v>173</v>
      </c>
      <c r="AC54" s="203" t="s">
        <v>173</v>
      </c>
      <c r="AD54" s="202" t="s">
        <v>329</v>
      </c>
      <c r="AE54" s="204" t="s">
        <v>329</v>
      </c>
    </row>
    <row r="55" spans="1:32" ht="27.75" customHeight="1">
      <c r="A55" s="482" t="s">
        <v>452</v>
      </c>
      <c r="B55" s="214" t="s">
        <v>329</v>
      </c>
      <c r="C55" s="170" t="s">
        <v>329</v>
      </c>
      <c r="D55" s="170" t="s">
        <v>329</v>
      </c>
      <c r="E55" s="170" t="s">
        <v>329</v>
      </c>
      <c r="F55" s="170" t="s">
        <v>329</v>
      </c>
      <c r="G55" s="171" t="s">
        <v>173</v>
      </c>
      <c r="H55" s="171" t="s">
        <v>173</v>
      </c>
      <c r="I55" s="170" t="s">
        <v>329</v>
      </c>
      <c r="J55" s="170" t="s">
        <v>329</v>
      </c>
      <c r="K55" s="170" t="s">
        <v>329</v>
      </c>
      <c r="L55" s="170" t="s">
        <v>329</v>
      </c>
      <c r="M55" s="170" t="s">
        <v>329</v>
      </c>
      <c r="N55" s="171" t="s">
        <v>173</v>
      </c>
      <c r="O55" s="171" t="s">
        <v>173</v>
      </c>
      <c r="P55" s="170" t="s">
        <v>329</v>
      </c>
      <c r="Q55" s="170" t="s">
        <v>329</v>
      </c>
      <c r="R55" s="170" t="s">
        <v>329</v>
      </c>
      <c r="S55" s="170" t="s">
        <v>329</v>
      </c>
      <c r="T55" s="170" t="s">
        <v>329</v>
      </c>
      <c r="U55" s="171" t="s">
        <v>173</v>
      </c>
      <c r="V55" s="171" t="s">
        <v>173</v>
      </c>
      <c r="W55" s="170" t="s">
        <v>329</v>
      </c>
      <c r="X55" s="170" t="s">
        <v>329</v>
      </c>
      <c r="Y55" s="170" t="s">
        <v>329</v>
      </c>
      <c r="Z55" s="170" t="s">
        <v>329</v>
      </c>
      <c r="AA55" s="170" t="s">
        <v>329</v>
      </c>
      <c r="AB55" s="171" t="s">
        <v>173</v>
      </c>
      <c r="AC55" s="171" t="s">
        <v>173</v>
      </c>
      <c r="AD55" s="170" t="s">
        <v>329</v>
      </c>
      <c r="AE55" s="206" t="s">
        <v>329</v>
      </c>
    </row>
    <row r="56" spans="1:32" ht="27.75" customHeight="1">
      <c r="A56" s="484" t="s">
        <v>349</v>
      </c>
      <c r="B56" s="212" t="s">
        <v>327</v>
      </c>
      <c r="C56" s="173" t="s">
        <v>327</v>
      </c>
      <c r="D56" s="173" t="s">
        <v>327</v>
      </c>
      <c r="E56" s="173" t="s">
        <v>327</v>
      </c>
      <c r="F56" s="173" t="s">
        <v>327</v>
      </c>
      <c r="G56" s="171" t="s">
        <v>173</v>
      </c>
      <c r="H56" s="171" t="s">
        <v>173</v>
      </c>
      <c r="I56" s="173" t="s">
        <v>327</v>
      </c>
      <c r="J56" s="173" t="s">
        <v>327</v>
      </c>
      <c r="K56" s="173" t="s">
        <v>327</v>
      </c>
      <c r="L56" s="173" t="s">
        <v>327</v>
      </c>
      <c r="M56" s="173" t="s">
        <v>327</v>
      </c>
      <c r="N56" s="171" t="s">
        <v>173</v>
      </c>
      <c r="O56" s="171" t="s">
        <v>173</v>
      </c>
      <c r="P56" s="173" t="s">
        <v>327</v>
      </c>
      <c r="Q56" s="173" t="s">
        <v>327</v>
      </c>
      <c r="R56" s="173" t="s">
        <v>327</v>
      </c>
      <c r="S56" s="173" t="s">
        <v>327</v>
      </c>
      <c r="T56" s="173" t="s">
        <v>327</v>
      </c>
      <c r="U56" s="294" t="s">
        <v>786</v>
      </c>
      <c r="V56" s="171"/>
      <c r="W56" s="485" t="s">
        <v>327</v>
      </c>
      <c r="X56" s="485" t="s">
        <v>327</v>
      </c>
      <c r="Y56" s="485" t="s">
        <v>327</v>
      </c>
      <c r="Z56" s="485" t="s">
        <v>327</v>
      </c>
      <c r="AA56" s="485" t="s">
        <v>327</v>
      </c>
      <c r="AB56" s="172" t="s">
        <v>14</v>
      </c>
      <c r="AC56" s="172" t="s">
        <v>14</v>
      </c>
      <c r="AD56" s="173" t="s">
        <v>327</v>
      </c>
      <c r="AE56" s="508" t="s">
        <v>327</v>
      </c>
    </row>
    <row r="57" spans="1:32" ht="27.75" customHeight="1">
      <c r="A57" s="484" t="s">
        <v>592</v>
      </c>
      <c r="B57" s="214" t="s">
        <v>329</v>
      </c>
      <c r="C57" s="170" t="s">
        <v>329</v>
      </c>
      <c r="D57" s="170" t="s">
        <v>329</v>
      </c>
      <c r="E57" s="170" t="s">
        <v>329</v>
      </c>
      <c r="F57" s="170" t="s">
        <v>329</v>
      </c>
      <c r="G57" s="171" t="s">
        <v>173</v>
      </c>
      <c r="H57" s="171" t="s">
        <v>173</v>
      </c>
      <c r="I57" s="173" t="s">
        <v>327</v>
      </c>
      <c r="J57" s="173" t="s">
        <v>327</v>
      </c>
      <c r="K57" s="173" t="s">
        <v>327</v>
      </c>
      <c r="L57" s="173" t="s">
        <v>327</v>
      </c>
      <c r="M57" s="173" t="s">
        <v>327</v>
      </c>
      <c r="N57" s="171" t="s">
        <v>173</v>
      </c>
      <c r="O57" s="171" t="s">
        <v>173</v>
      </c>
      <c r="P57" s="170" t="s">
        <v>329</v>
      </c>
      <c r="Q57" s="509" t="s">
        <v>12</v>
      </c>
      <c r="R57" s="509" t="s">
        <v>12</v>
      </c>
      <c r="S57" s="509" t="s">
        <v>12</v>
      </c>
      <c r="T57" s="509" t="s">
        <v>12</v>
      </c>
      <c r="U57" s="509" t="s">
        <v>12</v>
      </c>
      <c r="V57" s="509" t="s">
        <v>12</v>
      </c>
      <c r="W57" s="509" t="s">
        <v>12</v>
      </c>
      <c r="X57" s="173" t="s">
        <v>327</v>
      </c>
      <c r="Y57" s="173" t="s">
        <v>327</v>
      </c>
      <c r="Z57" s="173" t="s">
        <v>327</v>
      </c>
      <c r="AA57" s="173" t="s">
        <v>327</v>
      </c>
      <c r="AB57" s="171" t="s">
        <v>173</v>
      </c>
      <c r="AC57" s="171" t="s">
        <v>173</v>
      </c>
      <c r="AD57" s="170" t="s">
        <v>329</v>
      </c>
      <c r="AE57" s="206" t="s">
        <v>329</v>
      </c>
    </row>
    <row r="58" spans="1:32" ht="27.75" customHeight="1">
      <c r="A58" s="491" t="s">
        <v>707</v>
      </c>
      <c r="B58" s="221" t="s">
        <v>325</v>
      </c>
      <c r="C58" s="174" t="s">
        <v>325</v>
      </c>
      <c r="D58" s="174" t="s">
        <v>325</v>
      </c>
      <c r="E58" s="174" t="s">
        <v>325</v>
      </c>
      <c r="F58" s="174" t="s">
        <v>325</v>
      </c>
      <c r="G58" s="171"/>
      <c r="H58" s="171"/>
      <c r="I58" s="172" t="s">
        <v>331</v>
      </c>
      <c r="J58" s="172" t="s">
        <v>331</v>
      </c>
      <c r="K58" s="295" t="s">
        <v>331</v>
      </c>
      <c r="L58" s="172" t="s">
        <v>331</v>
      </c>
      <c r="M58" s="172" t="s">
        <v>331</v>
      </c>
      <c r="N58" s="172" t="s">
        <v>14</v>
      </c>
      <c r="O58" s="172" t="s">
        <v>14</v>
      </c>
      <c r="P58" s="174" t="s">
        <v>325</v>
      </c>
      <c r="Q58" s="174" t="s">
        <v>325</v>
      </c>
      <c r="R58" s="174" t="s">
        <v>325</v>
      </c>
      <c r="S58" s="509" t="s">
        <v>12</v>
      </c>
      <c r="T58" s="509" t="s">
        <v>12</v>
      </c>
      <c r="U58" s="509" t="s">
        <v>12</v>
      </c>
      <c r="V58" s="509" t="s">
        <v>12</v>
      </c>
      <c r="W58" s="509" t="s">
        <v>12</v>
      </c>
      <c r="X58" s="509" t="s">
        <v>12</v>
      </c>
      <c r="Y58" s="509" t="s">
        <v>12</v>
      </c>
      <c r="Z58" s="183" t="s">
        <v>327</v>
      </c>
      <c r="AA58" s="183" t="s">
        <v>327</v>
      </c>
      <c r="AB58" s="171"/>
      <c r="AC58" s="171" t="s">
        <v>173</v>
      </c>
      <c r="AD58" s="170" t="s">
        <v>329</v>
      </c>
      <c r="AE58" s="508" t="s">
        <v>329</v>
      </c>
    </row>
    <row r="59" spans="1:32" ht="27.75" customHeight="1">
      <c r="A59" s="495" t="s">
        <v>360</v>
      </c>
      <c r="B59" s="207" t="s">
        <v>331</v>
      </c>
      <c r="C59" s="172" t="s">
        <v>331</v>
      </c>
      <c r="D59" s="172" t="s">
        <v>331</v>
      </c>
      <c r="E59" s="172" t="s">
        <v>331</v>
      </c>
      <c r="F59" s="172" t="s">
        <v>331</v>
      </c>
      <c r="G59" s="172" t="s">
        <v>14</v>
      </c>
      <c r="H59" s="172" t="s">
        <v>14</v>
      </c>
      <c r="I59" s="174" t="s">
        <v>325</v>
      </c>
      <c r="J59" s="174" t="s">
        <v>325</v>
      </c>
      <c r="K59" s="174" t="s">
        <v>325</v>
      </c>
      <c r="L59" s="174" t="s">
        <v>325</v>
      </c>
      <c r="M59" s="174" t="s">
        <v>325</v>
      </c>
      <c r="N59" s="171" t="s">
        <v>173</v>
      </c>
      <c r="O59" s="171" t="s">
        <v>173</v>
      </c>
      <c r="P59" s="183" t="s">
        <v>327</v>
      </c>
      <c r="Q59" s="183" t="s">
        <v>327</v>
      </c>
      <c r="R59" s="183" t="s">
        <v>327</v>
      </c>
      <c r="S59" s="174" t="s">
        <v>325</v>
      </c>
      <c r="T59" s="174" t="s">
        <v>325</v>
      </c>
      <c r="U59" s="171" t="s">
        <v>173</v>
      </c>
      <c r="V59" s="294" t="s">
        <v>785</v>
      </c>
      <c r="W59" s="170" t="s">
        <v>329</v>
      </c>
      <c r="X59" s="170" t="s">
        <v>329</v>
      </c>
      <c r="Y59" s="170" t="s">
        <v>329</v>
      </c>
      <c r="Z59" s="170" t="s">
        <v>329</v>
      </c>
      <c r="AA59" s="170" t="s">
        <v>329</v>
      </c>
      <c r="AB59" s="171"/>
      <c r="AC59" s="171" t="s">
        <v>173</v>
      </c>
      <c r="AD59" s="172" t="s">
        <v>331</v>
      </c>
      <c r="AE59" s="232" t="s">
        <v>331</v>
      </c>
    </row>
    <row r="60" spans="1:32" ht="27.75" customHeight="1">
      <c r="A60" s="491" t="s">
        <v>787</v>
      </c>
      <c r="B60" s="214" t="s">
        <v>329</v>
      </c>
      <c r="C60" s="170" t="s">
        <v>329</v>
      </c>
      <c r="D60" s="170" t="s">
        <v>329</v>
      </c>
      <c r="E60" s="170" t="s">
        <v>329</v>
      </c>
      <c r="F60" s="170" t="s">
        <v>329</v>
      </c>
      <c r="G60" s="294" t="s">
        <v>788</v>
      </c>
      <c r="H60" s="171"/>
      <c r="I60" s="170" t="s">
        <v>329</v>
      </c>
      <c r="J60" s="170" t="s">
        <v>329</v>
      </c>
      <c r="K60" s="170" t="s">
        <v>329</v>
      </c>
      <c r="L60" s="170" t="s">
        <v>329</v>
      </c>
      <c r="M60" s="170" t="s">
        <v>329</v>
      </c>
      <c r="N60" s="294" t="s">
        <v>789</v>
      </c>
      <c r="O60" s="171"/>
      <c r="P60" s="170" t="s">
        <v>383</v>
      </c>
      <c r="Q60" s="170" t="s">
        <v>383</v>
      </c>
      <c r="R60" s="170" t="s">
        <v>383</v>
      </c>
      <c r="S60" s="170" t="s">
        <v>383</v>
      </c>
      <c r="T60" s="170" t="s">
        <v>383</v>
      </c>
      <c r="U60" s="294" t="s">
        <v>786</v>
      </c>
      <c r="V60" s="171"/>
      <c r="W60" s="493" t="s">
        <v>331</v>
      </c>
      <c r="X60" s="493" t="s">
        <v>331</v>
      </c>
      <c r="Y60" s="493" t="s">
        <v>331</v>
      </c>
      <c r="Z60" s="493" t="s">
        <v>331</v>
      </c>
      <c r="AA60" s="493" t="s">
        <v>331</v>
      </c>
      <c r="AB60" s="171"/>
      <c r="AC60" s="171" t="s">
        <v>173</v>
      </c>
      <c r="AD60" s="174" t="s">
        <v>325</v>
      </c>
      <c r="AE60" s="223" t="s">
        <v>325</v>
      </c>
    </row>
    <row r="61" spans="1:32" ht="27.75" customHeight="1">
      <c r="A61" s="496" t="s">
        <v>776</v>
      </c>
      <c r="B61" s="222" t="s">
        <v>327</v>
      </c>
      <c r="C61" s="184" t="s">
        <v>327</v>
      </c>
      <c r="D61" s="463" t="s">
        <v>329</v>
      </c>
      <c r="E61" s="175" t="s">
        <v>329</v>
      </c>
      <c r="F61" s="175" t="s">
        <v>329</v>
      </c>
      <c r="G61" s="463" t="s">
        <v>788</v>
      </c>
      <c r="H61" s="176" t="s">
        <v>173</v>
      </c>
      <c r="I61" s="175" t="s">
        <v>329</v>
      </c>
      <c r="J61" s="175" t="s">
        <v>329</v>
      </c>
      <c r="K61" s="175" t="s">
        <v>329</v>
      </c>
      <c r="L61" s="175" t="s">
        <v>329</v>
      </c>
      <c r="M61" s="175" t="s">
        <v>329</v>
      </c>
      <c r="N61" s="463" t="s">
        <v>789</v>
      </c>
      <c r="O61" s="176" t="s">
        <v>173</v>
      </c>
      <c r="P61" s="228" t="s">
        <v>331</v>
      </c>
      <c r="Q61" s="228" t="s">
        <v>331</v>
      </c>
      <c r="R61" s="228" t="s">
        <v>331</v>
      </c>
      <c r="S61" s="228" t="s">
        <v>331</v>
      </c>
      <c r="T61" s="228" t="s">
        <v>331</v>
      </c>
      <c r="U61" s="228" t="s">
        <v>14</v>
      </c>
      <c r="V61" s="228" t="s">
        <v>14</v>
      </c>
      <c r="W61" s="178" t="s">
        <v>325</v>
      </c>
      <c r="X61" s="178" t="s">
        <v>325</v>
      </c>
      <c r="Y61" s="178" t="s">
        <v>325</v>
      </c>
      <c r="Z61" s="178" t="s">
        <v>325</v>
      </c>
      <c r="AA61" s="178" t="s">
        <v>325</v>
      </c>
      <c r="AB61" s="463" t="s">
        <v>790</v>
      </c>
      <c r="AC61" s="176" t="s">
        <v>173</v>
      </c>
      <c r="AD61" s="184" t="s">
        <v>327</v>
      </c>
      <c r="AE61" s="224" t="s">
        <v>327</v>
      </c>
    </row>
    <row r="63" spans="1:32" ht="27.75" customHeight="1">
      <c r="B63" s="963" t="s">
        <v>406</v>
      </c>
      <c r="C63" s="964"/>
      <c r="D63" s="964"/>
      <c r="E63" s="964"/>
      <c r="F63" s="964"/>
      <c r="G63" s="964"/>
      <c r="H63" s="964"/>
      <c r="I63" s="964"/>
      <c r="J63" s="964"/>
      <c r="K63" s="964"/>
      <c r="L63" s="964"/>
      <c r="M63" s="964"/>
      <c r="N63" s="964"/>
      <c r="O63" s="964"/>
      <c r="P63" s="964"/>
      <c r="Q63" s="964"/>
      <c r="R63" s="964"/>
      <c r="S63" s="964"/>
      <c r="T63" s="964"/>
      <c r="U63" s="964"/>
      <c r="V63" s="964"/>
      <c r="W63" s="964"/>
      <c r="X63" s="964"/>
      <c r="Y63" s="964"/>
      <c r="Z63" s="964"/>
      <c r="AA63" s="964"/>
      <c r="AB63" s="964"/>
      <c r="AC63" s="964"/>
      <c r="AD63" s="964"/>
      <c r="AE63" s="964"/>
      <c r="AF63" s="965"/>
    </row>
    <row r="64" spans="1:32" ht="27.75" customHeight="1">
      <c r="A64" s="968" t="s">
        <v>341</v>
      </c>
      <c r="B64" s="181" t="s">
        <v>44</v>
      </c>
      <c r="C64" s="181" t="s">
        <v>28</v>
      </c>
      <c r="D64" s="181" t="s">
        <v>9</v>
      </c>
      <c r="E64" s="181" t="s">
        <v>84</v>
      </c>
      <c r="F64" s="169" t="s">
        <v>85</v>
      </c>
      <c r="G64" s="181" t="s">
        <v>86</v>
      </c>
      <c r="H64" s="181" t="s">
        <v>87</v>
      </c>
      <c r="I64" s="181" t="s">
        <v>44</v>
      </c>
      <c r="J64" s="181" t="s">
        <v>28</v>
      </c>
      <c r="K64" s="181" t="s">
        <v>9</v>
      </c>
      <c r="L64" s="181" t="s">
        <v>84</v>
      </c>
      <c r="M64" s="169" t="s">
        <v>85</v>
      </c>
      <c r="N64" s="181" t="s">
        <v>86</v>
      </c>
      <c r="O64" s="181" t="s">
        <v>87</v>
      </c>
      <c r="P64" s="181" t="s">
        <v>44</v>
      </c>
      <c r="Q64" s="181" t="s">
        <v>28</v>
      </c>
      <c r="R64" s="181" t="s">
        <v>9</v>
      </c>
      <c r="S64" s="181" t="s">
        <v>84</v>
      </c>
      <c r="T64" s="169" t="s">
        <v>85</v>
      </c>
      <c r="U64" s="181" t="s">
        <v>86</v>
      </c>
      <c r="V64" s="181" t="s">
        <v>87</v>
      </c>
      <c r="W64" s="181" t="s">
        <v>44</v>
      </c>
      <c r="X64" s="181" t="s">
        <v>28</v>
      </c>
      <c r="Y64" s="181" t="s">
        <v>9</v>
      </c>
      <c r="Z64" s="181" t="s">
        <v>84</v>
      </c>
      <c r="AA64" s="169" t="s">
        <v>85</v>
      </c>
      <c r="AB64" s="181" t="s">
        <v>86</v>
      </c>
      <c r="AC64" s="181" t="s">
        <v>87</v>
      </c>
      <c r="AD64" s="181" t="s">
        <v>44</v>
      </c>
      <c r="AE64" s="181" t="s">
        <v>28</v>
      </c>
      <c r="AF64" s="181" t="s">
        <v>9</v>
      </c>
    </row>
    <row r="65" spans="1:32" ht="27.75" customHeight="1">
      <c r="A65" s="969"/>
      <c r="B65" s="462">
        <v>1</v>
      </c>
      <c r="C65" s="240">
        <v>2</v>
      </c>
      <c r="D65" s="226">
        <v>3</v>
      </c>
      <c r="E65" s="216">
        <v>4</v>
      </c>
      <c r="F65" s="216">
        <v>5</v>
      </c>
      <c r="G65" s="226">
        <v>6</v>
      </c>
      <c r="H65" s="226">
        <v>7</v>
      </c>
      <c r="I65" s="226">
        <v>8</v>
      </c>
      <c r="J65" s="226">
        <v>9</v>
      </c>
      <c r="K65" s="226">
        <v>10</v>
      </c>
      <c r="L65" s="216">
        <v>11</v>
      </c>
      <c r="M65" s="216">
        <v>12</v>
      </c>
      <c r="N65" s="226">
        <v>13</v>
      </c>
      <c r="O65" s="226">
        <v>14</v>
      </c>
      <c r="P65" s="240">
        <v>15</v>
      </c>
      <c r="Q65" s="226">
        <v>16</v>
      </c>
      <c r="R65" s="226">
        <v>17</v>
      </c>
      <c r="S65" s="216">
        <v>18</v>
      </c>
      <c r="T65" s="216">
        <v>19</v>
      </c>
      <c r="U65" s="226">
        <v>20</v>
      </c>
      <c r="V65" s="226">
        <v>21</v>
      </c>
      <c r="W65" s="226">
        <v>22</v>
      </c>
      <c r="X65" s="226">
        <v>23</v>
      </c>
      <c r="Y65" s="226">
        <v>24</v>
      </c>
      <c r="Z65" s="216">
        <v>25</v>
      </c>
      <c r="AA65" s="216">
        <v>26</v>
      </c>
      <c r="AB65" s="226">
        <v>27</v>
      </c>
      <c r="AC65" s="226">
        <v>28</v>
      </c>
      <c r="AD65" s="226">
        <v>29</v>
      </c>
      <c r="AE65" s="226">
        <v>30</v>
      </c>
      <c r="AF65" s="227">
        <v>31</v>
      </c>
    </row>
    <row r="66" spans="1:32" ht="27.75" customHeight="1">
      <c r="A66" s="506" t="s">
        <v>345</v>
      </c>
      <c r="B66" s="201" t="s">
        <v>173</v>
      </c>
      <c r="C66" s="238" t="s">
        <v>173</v>
      </c>
      <c r="D66" s="202" t="s">
        <v>329</v>
      </c>
      <c r="E66" s="203" t="s">
        <v>173</v>
      </c>
      <c r="F66" s="203" t="s">
        <v>173</v>
      </c>
      <c r="G66" s="202" t="s">
        <v>329</v>
      </c>
      <c r="H66" s="202" t="s">
        <v>329</v>
      </c>
      <c r="I66" s="202" t="s">
        <v>329</v>
      </c>
      <c r="J66" s="293" t="s">
        <v>329</v>
      </c>
      <c r="K66" s="202" t="s">
        <v>329</v>
      </c>
      <c r="L66" s="203" t="s">
        <v>173</v>
      </c>
      <c r="M66" s="203" t="s">
        <v>173</v>
      </c>
      <c r="N66" s="202" t="s">
        <v>329</v>
      </c>
      <c r="O66" s="202" t="s">
        <v>329</v>
      </c>
      <c r="P66" s="238" t="s">
        <v>173</v>
      </c>
      <c r="Q66" s="293" t="s">
        <v>329</v>
      </c>
      <c r="R66" s="202" t="s">
        <v>329</v>
      </c>
      <c r="S66" s="203" t="s">
        <v>173</v>
      </c>
      <c r="T66" s="203" t="s">
        <v>173</v>
      </c>
      <c r="U66" s="202" t="s">
        <v>329</v>
      </c>
      <c r="V66" s="202" t="s">
        <v>329</v>
      </c>
      <c r="W66" s="202" t="s">
        <v>329</v>
      </c>
      <c r="X66" s="202" t="s">
        <v>329</v>
      </c>
      <c r="Y66" s="202" t="s">
        <v>329</v>
      </c>
      <c r="Z66" s="203" t="s">
        <v>173</v>
      </c>
      <c r="AA66" s="203" t="s">
        <v>173</v>
      </c>
      <c r="AB66" s="202" t="s">
        <v>329</v>
      </c>
      <c r="AC66" s="202" t="s">
        <v>329</v>
      </c>
      <c r="AD66" s="202" t="s">
        <v>329</v>
      </c>
      <c r="AE66" s="202" t="s">
        <v>329</v>
      </c>
      <c r="AF66" s="204" t="s">
        <v>329</v>
      </c>
    </row>
    <row r="67" spans="1:32" ht="27.75" customHeight="1">
      <c r="A67" s="482" t="s">
        <v>452</v>
      </c>
      <c r="B67" s="205" t="s">
        <v>173</v>
      </c>
      <c r="C67" s="199" t="s">
        <v>173</v>
      </c>
      <c r="D67" s="488" t="s">
        <v>9</v>
      </c>
      <c r="E67" s="171" t="s">
        <v>173</v>
      </c>
      <c r="F67" s="171" t="s">
        <v>173</v>
      </c>
      <c r="G67" s="170" t="s">
        <v>329</v>
      </c>
      <c r="H67" s="170" t="s">
        <v>329</v>
      </c>
      <c r="I67" s="170" t="s">
        <v>329</v>
      </c>
      <c r="J67" s="170" t="s">
        <v>329</v>
      </c>
      <c r="K67" s="170" t="s">
        <v>329</v>
      </c>
      <c r="L67" s="171" t="s">
        <v>173</v>
      </c>
      <c r="M67" s="171" t="s">
        <v>173</v>
      </c>
      <c r="N67" s="170" t="s">
        <v>329</v>
      </c>
      <c r="O67" s="170" t="s">
        <v>329</v>
      </c>
      <c r="P67" s="199" t="s">
        <v>173</v>
      </c>
      <c r="Q67" s="170" t="s">
        <v>329</v>
      </c>
      <c r="R67" s="170" t="s">
        <v>329</v>
      </c>
      <c r="S67" s="171" t="s">
        <v>173</v>
      </c>
      <c r="T67" s="171" t="s">
        <v>173</v>
      </c>
      <c r="U67" s="170" t="s">
        <v>329</v>
      </c>
      <c r="V67" s="170" t="s">
        <v>329</v>
      </c>
      <c r="W67" s="170" t="s">
        <v>329</v>
      </c>
      <c r="X67" s="170" t="s">
        <v>329</v>
      </c>
      <c r="Y67" s="170" t="s">
        <v>329</v>
      </c>
      <c r="Z67" s="171" t="s">
        <v>173</v>
      </c>
      <c r="AA67" s="171" t="s">
        <v>173</v>
      </c>
      <c r="AB67" s="170" t="s">
        <v>329</v>
      </c>
      <c r="AC67" s="170" t="s">
        <v>329</v>
      </c>
      <c r="AD67" s="170" t="s">
        <v>329</v>
      </c>
      <c r="AE67" s="170" t="s">
        <v>329</v>
      </c>
      <c r="AF67" s="206" t="s">
        <v>329</v>
      </c>
    </row>
    <row r="68" spans="1:32" ht="27.75" customHeight="1">
      <c r="A68" s="484" t="s">
        <v>349</v>
      </c>
      <c r="B68" s="209"/>
      <c r="C68" s="200"/>
      <c r="D68" s="173" t="s">
        <v>327</v>
      </c>
      <c r="E68" s="171" t="s">
        <v>173</v>
      </c>
      <c r="F68" s="171" t="s">
        <v>173</v>
      </c>
      <c r="G68" s="173" t="s">
        <v>327</v>
      </c>
      <c r="H68" s="173" t="s">
        <v>327</v>
      </c>
      <c r="I68" s="173" t="s">
        <v>327</v>
      </c>
      <c r="J68" s="173" t="s">
        <v>327</v>
      </c>
      <c r="K68" s="173" t="s">
        <v>327</v>
      </c>
      <c r="L68" s="171" t="s">
        <v>173</v>
      </c>
      <c r="M68" s="171" t="s">
        <v>173</v>
      </c>
      <c r="N68" s="173" t="s">
        <v>327</v>
      </c>
      <c r="O68" s="173" t="s">
        <v>327</v>
      </c>
      <c r="P68" s="200" t="s">
        <v>173</v>
      </c>
      <c r="Q68" s="173" t="s">
        <v>327</v>
      </c>
      <c r="R68" s="173" t="s">
        <v>327</v>
      </c>
      <c r="S68" s="171" t="s">
        <v>173</v>
      </c>
      <c r="T68" s="171" t="s">
        <v>173</v>
      </c>
      <c r="U68" s="485" t="s">
        <v>327</v>
      </c>
      <c r="V68" s="485" t="s">
        <v>327</v>
      </c>
      <c r="W68" s="485" t="s">
        <v>327</v>
      </c>
      <c r="X68" s="485" t="s">
        <v>327</v>
      </c>
      <c r="Y68" s="485" t="s">
        <v>327</v>
      </c>
      <c r="Z68" s="172" t="s">
        <v>14</v>
      </c>
      <c r="AA68" s="172" t="s">
        <v>14</v>
      </c>
      <c r="AB68" s="173" t="s">
        <v>327</v>
      </c>
      <c r="AC68" s="173" t="s">
        <v>327</v>
      </c>
      <c r="AD68" s="294" t="s">
        <v>327</v>
      </c>
      <c r="AE68" s="173" t="s">
        <v>327</v>
      </c>
      <c r="AF68" s="208" t="s">
        <v>327</v>
      </c>
    </row>
    <row r="69" spans="1:32" ht="27.75" customHeight="1">
      <c r="A69" s="484" t="s">
        <v>592</v>
      </c>
      <c r="B69" s="205" t="s">
        <v>173</v>
      </c>
      <c r="C69" s="199" t="s">
        <v>173</v>
      </c>
      <c r="D69" s="170" t="s">
        <v>329</v>
      </c>
      <c r="E69" s="171" t="s">
        <v>173</v>
      </c>
      <c r="F69" s="171" t="s">
        <v>173</v>
      </c>
      <c r="G69" s="173" t="s">
        <v>327</v>
      </c>
      <c r="H69" s="173" t="s">
        <v>327</v>
      </c>
      <c r="I69" s="173" t="s">
        <v>327</v>
      </c>
      <c r="J69" s="173" t="s">
        <v>327</v>
      </c>
      <c r="K69" s="173" t="s">
        <v>327</v>
      </c>
      <c r="L69" s="171" t="s">
        <v>173</v>
      </c>
      <c r="M69" s="171" t="s">
        <v>173</v>
      </c>
      <c r="N69" s="170" t="s">
        <v>329</v>
      </c>
      <c r="O69" s="170" t="s">
        <v>329</v>
      </c>
      <c r="P69" s="199" t="s">
        <v>173</v>
      </c>
      <c r="Q69" s="170" t="s">
        <v>329</v>
      </c>
      <c r="R69" s="170" t="s">
        <v>329</v>
      </c>
      <c r="S69" s="171" t="s">
        <v>173</v>
      </c>
      <c r="T69" s="171" t="s">
        <v>173</v>
      </c>
      <c r="U69" s="173" t="s">
        <v>327</v>
      </c>
      <c r="V69" s="173" t="s">
        <v>327</v>
      </c>
      <c r="W69" s="294" t="s">
        <v>327</v>
      </c>
      <c r="X69" s="173" t="s">
        <v>327</v>
      </c>
      <c r="Y69" s="173" t="s">
        <v>327</v>
      </c>
      <c r="Z69" s="171" t="s">
        <v>173</v>
      </c>
      <c r="AA69" s="171" t="s">
        <v>173</v>
      </c>
      <c r="AB69" s="170" t="s">
        <v>329</v>
      </c>
      <c r="AC69" s="170" t="s">
        <v>329</v>
      </c>
      <c r="AD69" s="170" t="s">
        <v>329</v>
      </c>
      <c r="AE69" s="170" t="s">
        <v>329</v>
      </c>
      <c r="AF69" s="206" t="s">
        <v>329</v>
      </c>
    </row>
    <row r="70" spans="1:32" ht="27.75" customHeight="1">
      <c r="A70" s="491" t="s">
        <v>707</v>
      </c>
      <c r="B70" s="209"/>
      <c r="C70" s="200"/>
      <c r="D70" s="170" t="s">
        <v>329</v>
      </c>
      <c r="E70" s="171" t="s">
        <v>173</v>
      </c>
      <c r="F70" s="171" t="s">
        <v>173</v>
      </c>
      <c r="G70" s="172" t="s">
        <v>331</v>
      </c>
      <c r="H70" s="172" t="s">
        <v>331</v>
      </c>
      <c r="I70" s="172" t="s">
        <v>331</v>
      </c>
      <c r="J70" s="172" t="s">
        <v>331</v>
      </c>
      <c r="K70" s="172" t="s">
        <v>331</v>
      </c>
      <c r="L70" s="172" t="s">
        <v>14</v>
      </c>
      <c r="M70" s="172" t="s">
        <v>14</v>
      </c>
      <c r="N70" s="174" t="s">
        <v>325</v>
      </c>
      <c r="O70" s="174" t="s">
        <v>325</v>
      </c>
      <c r="P70" s="200" t="s">
        <v>173</v>
      </c>
      <c r="Q70" s="174" t="s">
        <v>325</v>
      </c>
      <c r="R70" s="174" t="s">
        <v>325</v>
      </c>
      <c r="S70" s="171" t="s">
        <v>173</v>
      </c>
      <c r="T70" s="171" t="s">
        <v>173</v>
      </c>
      <c r="U70" s="183" t="s">
        <v>327</v>
      </c>
      <c r="V70" s="183" t="s">
        <v>327</v>
      </c>
      <c r="W70" s="183" t="s">
        <v>327</v>
      </c>
      <c r="X70" s="183" t="s">
        <v>327</v>
      </c>
      <c r="Y70" s="183" t="s">
        <v>327</v>
      </c>
      <c r="Z70" s="171"/>
      <c r="AA70" s="171" t="s">
        <v>173</v>
      </c>
      <c r="AB70" s="170" t="s">
        <v>329</v>
      </c>
      <c r="AC70" s="170" t="s">
        <v>329</v>
      </c>
      <c r="AD70" s="170" t="s">
        <v>329</v>
      </c>
      <c r="AE70" s="170" t="s">
        <v>329</v>
      </c>
      <c r="AF70" s="206" t="s">
        <v>329</v>
      </c>
    </row>
    <row r="71" spans="1:32" ht="27.75" customHeight="1">
      <c r="A71" s="495" t="s">
        <v>360</v>
      </c>
      <c r="B71" s="207" t="s">
        <v>14</v>
      </c>
      <c r="C71" s="172" t="s">
        <v>14</v>
      </c>
      <c r="D71" s="172" t="s">
        <v>331</v>
      </c>
      <c r="E71" s="172" t="s">
        <v>14</v>
      </c>
      <c r="F71" s="172" t="s">
        <v>14</v>
      </c>
      <c r="G71" s="174" t="s">
        <v>325</v>
      </c>
      <c r="H71" s="174" t="s">
        <v>325</v>
      </c>
      <c r="I71" s="174" t="s">
        <v>325</v>
      </c>
      <c r="J71" s="174" t="s">
        <v>325</v>
      </c>
      <c r="K71" s="174" t="s">
        <v>325</v>
      </c>
      <c r="L71" s="171" t="s">
        <v>173</v>
      </c>
      <c r="M71" s="171" t="s">
        <v>173</v>
      </c>
      <c r="N71" s="183" t="s">
        <v>327</v>
      </c>
      <c r="O71" s="183" t="s">
        <v>327</v>
      </c>
      <c r="P71" s="199" t="s">
        <v>173</v>
      </c>
      <c r="Q71" s="183" t="s">
        <v>327</v>
      </c>
      <c r="R71" s="183" t="s">
        <v>327</v>
      </c>
      <c r="S71" s="171" t="s">
        <v>173</v>
      </c>
      <c r="T71" s="171" t="s">
        <v>173</v>
      </c>
      <c r="U71" s="170" t="s">
        <v>329</v>
      </c>
      <c r="V71" s="170" t="s">
        <v>329</v>
      </c>
      <c r="W71" s="170" t="s">
        <v>329</v>
      </c>
      <c r="X71" s="170" t="s">
        <v>329</v>
      </c>
      <c r="Y71" s="170" t="s">
        <v>329</v>
      </c>
      <c r="Z71" s="171"/>
      <c r="AA71" s="171" t="s">
        <v>173</v>
      </c>
      <c r="AB71" s="172" t="s">
        <v>331</v>
      </c>
      <c r="AC71" s="172" t="s">
        <v>331</v>
      </c>
      <c r="AD71" s="172" t="s">
        <v>331</v>
      </c>
      <c r="AE71" s="172" t="s">
        <v>331</v>
      </c>
      <c r="AF71" s="232" t="s">
        <v>331</v>
      </c>
    </row>
    <row r="72" spans="1:32" ht="27.75" customHeight="1">
      <c r="A72" s="491" t="s">
        <v>787</v>
      </c>
      <c r="B72" s="209"/>
      <c r="C72" s="200"/>
      <c r="D72" s="174" t="s">
        <v>325</v>
      </c>
      <c r="E72" s="171"/>
      <c r="F72" s="171"/>
      <c r="G72" s="173" t="s">
        <v>327</v>
      </c>
      <c r="H72" s="173" t="s">
        <v>327</v>
      </c>
      <c r="I72" s="173" t="s">
        <v>327</v>
      </c>
      <c r="J72" s="173" t="s">
        <v>327</v>
      </c>
      <c r="K72" s="173" t="s">
        <v>327</v>
      </c>
      <c r="L72" s="171"/>
      <c r="M72" s="171"/>
      <c r="N72" s="170" t="s">
        <v>383</v>
      </c>
      <c r="O72" s="170" t="s">
        <v>383</v>
      </c>
      <c r="P72" s="200" t="s">
        <v>173</v>
      </c>
      <c r="Q72" s="170" t="s">
        <v>383</v>
      </c>
      <c r="R72" s="170" t="s">
        <v>383</v>
      </c>
      <c r="S72" s="171"/>
      <c r="T72" s="171"/>
      <c r="U72" s="493" t="s">
        <v>331</v>
      </c>
      <c r="V72" s="493" t="s">
        <v>331</v>
      </c>
      <c r="W72" s="493" t="s">
        <v>331</v>
      </c>
      <c r="X72" s="294" t="s">
        <v>331</v>
      </c>
      <c r="Y72" s="493" t="s">
        <v>331</v>
      </c>
      <c r="Z72" s="171"/>
      <c r="AA72" s="171" t="s">
        <v>173</v>
      </c>
      <c r="AB72" s="174" t="s">
        <v>325</v>
      </c>
      <c r="AC72" s="174" t="s">
        <v>325</v>
      </c>
      <c r="AD72" s="174" t="s">
        <v>325</v>
      </c>
      <c r="AE72" s="174" t="s">
        <v>325</v>
      </c>
      <c r="AF72" s="223" t="s">
        <v>325</v>
      </c>
    </row>
    <row r="73" spans="1:32" ht="27.75" customHeight="1">
      <c r="A73" s="496" t="s">
        <v>776</v>
      </c>
      <c r="B73" s="210" t="s">
        <v>173</v>
      </c>
      <c r="C73" s="239" t="s">
        <v>173</v>
      </c>
      <c r="D73" s="498" t="s">
        <v>9</v>
      </c>
      <c r="E73" s="176" t="s">
        <v>173</v>
      </c>
      <c r="F73" s="176" t="s">
        <v>173</v>
      </c>
      <c r="G73" s="175" t="s">
        <v>329</v>
      </c>
      <c r="H73" s="175" t="s">
        <v>329</v>
      </c>
      <c r="I73" s="175" t="s">
        <v>329</v>
      </c>
      <c r="J73" s="175" t="s">
        <v>329</v>
      </c>
      <c r="K73" s="175" t="s">
        <v>329</v>
      </c>
      <c r="L73" s="176" t="s">
        <v>173</v>
      </c>
      <c r="M73" s="176" t="s">
        <v>173</v>
      </c>
      <c r="N73" s="228" t="s">
        <v>331</v>
      </c>
      <c r="O73" s="228" t="s">
        <v>331</v>
      </c>
      <c r="P73" s="228" t="s">
        <v>14</v>
      </c>
      <c r="Q73" s="228" t="s">
        <v>331</v>
      </c>
      <c r="R73" s="228" t="s">
        <v>331</v>
      </c>
      <c r="S73" s="228" t="s">
        <v>14</v>
      </c>
      <c r="T73" s="228" t="s">
        <v>14</v>
      </c>
      <c r="U73" s="178" t="s">
        <v>325</v>
      </c>
      <c r="V73" s="178" t="s">
        <v>325</v>
      </c>
      <c r="W73" s="178" t="s">
        <v>325</v>
      </c>
      <c r="X73" s="178" t="s">
        <v>325</v>
      </c>
      <c r="Y73" s="178" t="s">
        <v>325</v>
      </c>
      <c r="Z73" s="176"/>
      <c r="AA73" s="176" t="s">
        <v>173</v>
      </c>
      <c r="AB73" s="184" t="s">
        <v>327</v>
      </c>
      <c r="AC73" s="184" t="s">
        <v>327</v>
      </c>
      <c r="AD73" s="184" t="s">
        <v>327</v>
      </c>
      <c r="AE73" s="184" t="s">
        <v>327</v>
      </c>
      <c r="AF73" s="224" t="s">
        <v>327</v>
      </c>
    </row>
    <row r="75" spans="1:32" ht="27.75" customHeight="1">
      <c r="B75" s="943" t="s">
        <v>424</v>
      </c>
      <c r="C75" s="944"/>
      <c r="D75" s="944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  <c r="T75" s="944"/>
      <c r="U75" s="944"/>
      <c r="V75" s="944"/>
      <c r="W75" s="944"/>
      <c r="X75" s="944"/>
      <c r="Y75" s="944"/>
      <c r="Z75" s="944"/>
      <c r="AA75" s="944"/>
      <c r="AB75" s="944"/>
      <c r="AC75" s="944"/>
      <c r="AD75" s="944"/>
      <c r="AE75" s="945"/>
    </row>
    <row r="76" spans="1:32" ht="27.75" customHeight="1">
      <c r="A76" s="966" t="s">
        <v>341</v>
      </c>
      <c r="B76" s="181" t="s">
        <v>84</v>
      </c>
      <c r="C76" s="169" t="s">
        <v>85</v>
      </c>
      <c r="D76" s="181" t="s">
        <v>86</v>
      </c>
      <c r="E76" s="181" t="s">
        <v>87</v>
      </c>
      <c r="F76" s="181" t="s">
        <v>44</v>
      </c>
      <c r="G76" s="181" t="s">
        <v>28</v>
      </c>
      <c r="H76" s="181" t="s">
        <v>9</v>
      </c>
      <c r="I76" s="181" t="s">
        <v>84</v>
      </c>
      <c r="J76" s="169" t="s">
        <v>85</v>
      </c>
      <c r="K76" s="181" t="s">
        <v>86</v>
      </c>
      <c r="L76" s="181" t="s">
        <v>87</v>
      </c>
      <c r="M76" s="181" t="s">
        <v>44</v>
      </c>
      <c r="N76" s="181" t="s">
        <v>28</v>
      </c>
      <c r="O76" s="181" t="s">
        <v>9</v>
      </c>
      <c r="P76" s="181" t="s">
        <v>84</v>
      </c>
      <c r="Q76" s="169" t="s">
        <v>85</v>
      </c>
      <c r="R76" s="181" t="s">
        <v>86</v>
      </c>
      <c r="S76" s="181" t="s">
        <v>87</v>
      </c>
      <c r="T76" s="181" t="s">
        <v>44</v>
      </c>
      <c r="U76" s="181" t="s">
        <v>28</v>
      </c>
      <c r="V76" s="181" t="s">
        <v>9</v>
      </c>
      <c r="W76" s="181" t="s">
        <v>84</v>
      </c>
      <c r="X76" s="169" t="s">
        <v>85</v>
      </c>
      <c r="Y76" s="181" t="s">
        <v>86</v>
      </c>
      <c r="Z76" s="181" t="s">
        <v>87</v>
      </c>
      <c r="AA76" s="181" t="s">
        <v>44</v>
      </c>
      <c r="AB76" s="181" t="s">
        <v>28</v>
      </c>
      <c r="AC76" s="181" t="s">
        <v>9</v>
      </c>
      <c r="AD76" s="181" t="s">
        <v>84</v>
      </c>
      <c r="AE76" s="185" t="s">
        <v>85</v>
      </c>
    </row>
    <row r="77" spans="1:32" ht="27.75" customHeight="1">
      <c r="A77" s="967"/>
      <c r="B77" s="229">
        <v>1</v>
      </c>
      <c r="C77" s="216">
        <v>2</v>
      </c>
      <c r="D77" s="226">
        <v>3</v>
      </c>
      <c r="E77" s="226">
        <v>4</v>
      </c>
      <c r="F77" s="226">
        <v>5</v>
      </c>
      <c r="G77" s="226">
        <v>6</v>
      </c>
      <c r="H77" s="226">
        <v>7</v>
      </c>
      <c r="I77" s="216">
        <v>8</v>
      </c>
      <c r="J77" s="216">
        <v>9</v>
      </c>
      <c r="K77" s="226">
        <v>10</v>
      </c>
      <c r="L77" s="226">
        <v>11</v>
      </c>
      <c r="M77" s="226">
        <v>12</v>
      </c>
      <c r="N77" s="226">
        <v>13</v>
      </c>
      <c r="O77" s="226">
        <v>14</v>
      </c>
      <c r="P77" s="216">
        <v>15</v>
      </c>
      <c r="Q77" s="216">
        <v>16</v>
      </c>
      <c r="R77" s="226">
        <v>17</v>
      </c>
      <c r="S77" s="226">
        <v>18</v>
      </c>
      <c r="T77" s="226">
        <v>19</v>
      </c>
      <c r="U77" s="226">
        <v>20</v>
      </c>
      <c r="V77" s="226">
        <v>21</v>
      </c>
      <c r="W77" s="216">
        <v>22</v>
      </c>
      <c r="X77" s="216">
        <v>23</v>
      </c>
      <c r="Y77" s="226">
        <v>24</v>
      </c>
      <c r="Z77" s="226">
        <v>25</v>
      </c>
      <c r="AA77" s="226">
        <v>26</v>
      </c>
      <c r="AB77" s="226">
        <v>27</v>
      </c>
      <c r="AC77" s="226">
        <v>28</v>
      </c>
      <c r="AD77" s="216">
        <v>29</v>
      </c>
      <c r="AE77" s="217">
        <v>30</v>
      </c>
    </row>
    <row r="78" spans="1:32" ht="27.75" customHeight="1">
      <c r="A78" s="506" t="s">
        <v>345</v>
      </c>
      <c r="B78" s="230" t="s">
        <v>173</v>
      </c>
      <c r="C78" s="203" t="s">
        <v>173</v>
      </c>
      <c r="D78" s="202" t="s">
        <v>329</v>
      </c>
      <c r="E78" s="202" t="s">
        <v>329</v>
      </c>
      <c r="F78" s="202" t="s">
        <v>329</v>
      </c>
      <c r="G78" s="293" t="s">
        <v>329</v>
      </c>
      <c r="H78" s="202" t="s">
        <v>329</v>
      </c>
      <c r="I78" s="203" t="s">
        <v>173</v>
      </c>
      <c r="J78" s="203" t="s">
        <v>173</v>
      </c>
      <c r="K78" s="293" t="s">
        <v>329</v>
      </c>
      <c r="L78" s="202" t="s">
        <v>329</v>
      </c>
      <c r="M78" s="202" t="s">
        <v>329</v>
      </c>
      <c r="N78" s="202" t="s">
        <v>329</v>
      </c>
      <c r="O78" s="202" t="s">
        <v>329</v>
      </c>
      <c r="P78" s="203" t="s">
        <v>173</v>
      </c>
      <c r="Q78" s="203" t="s">
        <v>173</v>
      </c>
      <c r="R78" s="202" t="s">
        <v>329</v>
      </c>
      <c r="S78" s="202" t="s">
        <v>329</v>
      </c>
      <c r="T78" s="202" t="s">
        <v>329</v>
      </c>
      <c r="U78" s="293" t="s">
        <v>329</v>
      </c>
      <c r="V78" s="202" t="s">
        <v>329</v>
      </c>
      <c r="W78" s="203" t="s">
        <v>173</v>
      </c>
      <c r="X78" s="203" t="s">
        <v>173</v>
      </c>
      <c r="Y78" s="202" t="s">
        <v>329</v>
      </c>
      <c r="Z78" s="202" t="s">
        <v>329</v>
      </c>
      <c r="AA78" s="202" t="s">
        <v>329</v>
      </c>
      <c r="AB78" s="202" t="s">
        <v>329</v>
      </c>
      <c r="AC78" s="202" t="s">
        <v>329</v>
      </c>
      <c r="AD78" s="203" t="s">
        <v>173</v>
      </c>
      <c r="AE78" s="219" t="s">
        <v>173</v>
      </c>
    </row>
    <row r="79" spans="1:32" ht="27.75" customHeight="1">
      <c r="A79" s="482" t="s">
        <v>452</v>
      </c>
      <c r="B79" s="231" t="s">
        <v>173</v>
      </c>
      <c r="C79" s="171" t="s">
        <v>173</v>
      </c>
      <c r="D79" s="170" t="s">
        <v>329</v>
      </c>
      <c r="E79" s="170" t="s">
        <v>329</v>
      </c>
      <c r="F79" s="170" t="s">
        <v>329</v>
      </c>
      <c r="G79" s="170" t="s">
        <v>329</v>
      </c>
      <c r="H79" s="170" t="s">
        <v>329</v>
      </c>
      <c r="I79" s="171" t="s">
        <v>173</v>
      </c>
      <c r="J79" s="171" t="s">
        <v>173</v>
      </c>
      <c r="K79" s="170" t="s">
        <v>329</v>
      </c>
      <c r="L79" s="170" t="s">
        <v>329</v>
      </c>
      <c r="M79" s="170" t="s">
        <v>329</v>
      </c>
      <c r="N79" s="170" t="s">
        <v>329</v>
      </c>
      <c r="O79" s="170" t="s">
        <v>329</v>
      </c>
      <c r="P79" s="171" t="s">
        <v>173</v>
      </c>
      <c r="Q79" s="171" t="s">
        <v>173</v>
      </c>
      <c r="R79" s="170" t="s">
        <v>329</v>
      </c>
      <c r="S79" s="170" t="s">
        <v>329</v>
      </c>
      <c r="T79" s="170" t="s">
        <v>329</v>
      </c>
      <c r="U79" s="170" t="s">
        <v>329</v>
      </c>
      <c r="V79" s="170" t="s">
        <v>329</v>
      </c>
      <c r="W79" s="171" t="s">
        <v>173</v>
      </c>
      <c r="X79" s="171" t="s">
        <v>173</v>
      </c>
      <c r="Y79" s="170" t="s">
        <v>329</v>
      </c>
      <c r="Z79" s="170" t="s">
        <v>329</v>
      </c>
      <c r="AA79" s="170" t="s">
        <v>329</v>
      </c>
      <c r="AB79" s="170" t="s">
        <v>329</v>
      </c>
      <c r="AC79" s="170" t="s">
        <v>329</v>
      </c>
      <c r="AD79" s="171" t="s">
        <v>173</v>
      </c>
      <c r="AE79" s="186" t="s">
        <v>173</v>
      </c>
    </row>
    <row r="80" spans="1:32" ht="27.75" customHeight="1">
      <c r="A80" s="484" t="s">
        <v>349</v>
      </c>
      <c r="B80" s="231" t="s">
        <v>173</v>
      </c>
      <c r="C80" s="171" t="s">
        <v>173</v>
      </c>
      <c r="D80" s="173" t="s">
        <v>327</v>
      </c>
      <c r="E80" s="173" t="s">
        <v>327</v>
      </c>
      <c r="F80" s="173" t="s">
        <v>327</v>
      </c>
      <c r="G80" s="294" t="s">
        <v>327</v>
      </c>
      <c r="H80" s="173" t="s">
        <v>327</v>
      </c>
      <c r="I80" s="171" t="s">
        <v>173</v>
      </c>
      <c r="J80" s="171" t="s">
        <v>173</v>
      </c>
      <c r="K80" s="173" t="s">
        <v>327</v>
      </c>
      <c r="L80" s="173" t="s">
        <v>327</v>
      </c>
      <c r="M80" s="488" t="s">
        <v>9</v>
      </c>
      <c r="N80" s="488" t="s">
        <v>9</v>
      </c>
      <c r="O80" s="488" t="s">
        <v>9</v>
      </c>
      <c r="P80" s="488" t="s">
        <v>9</v>
      </c>
      <c r="Q80" s="488" t="s">
        <v>9</v>
      </c>
      <c r="R80" s="488" t="s">
        <v>9</v>
      </c>
      <c r="S80" s="488" t="s">
        <v>9</v>
      </c>
      <c r="T80" s="173" t="s">
        <v>327</v>
      </c>
      <c r="U80" s="294" t="s">
        <v>327</v>
      </c>
      <c r="V80" s="294" t="s">
        <v>327</v>
      </c>
      <c r="W80" s="171" t="s">
        <v>173</v>
      </c>
      <c r="X80" s="171" t="s">
        <v>173</v>
      </c>
      <c r="Y80" s="294" t="s">
        <v>327</v>
      </c>
      <c r="Z80" s="173" t="s">
        <v>327</v>
      </c>
      <c r="AA80" s="173" t="s">
        <v>327</v>
      </c>
      <c r="AB80" s="294" t="s">
        <v>327</v>
      </c>
      <c r="AC80" s="173" t="s">
        <v>327</v>
      </c>
      <c r="AD80" s="171" t="s">
        <v>173</v>
      </c>
      <c r="AE80" s="186" t="s">
        <v>173</v>
      </c>
    </row>
    <row r="81" spans="1:32" ht="27.75" customHeight="1">
      <c r="A81" s="484" t="s">
        <v>592</v>
      </c>
      <c r="B81" s="231" t="s">
        <v>173</v>
      </c>
      <c r="C81" s="171" t="s">
        <v>173</v>
      </c>
      <c r="D81" s="173" t="s">
        <v>327</v>
      </c>
      <c r="E81" s="173" t="s">
        <v>327</v>
      </c>
      <c r="F81" s="173" t="s">
        <v>327</v>
      </c>
      <c r="G81" s="173" t="s">
        <v>327</v>
      </c>
      <c r="H81" s="173" t="s">
        <v>327</v>
      </c>
      <c r="I81" s="171" t="s">
        <v>173</v>
      </c>
      <c r="J81" s="171" t="s">
        <v>173</v>
      </c>
      <c r="K81" s="170" t="s">
        <v>329</v>
      </c>
      <c r="L81" s="294" t="s">
        <v>329</v>
      </c>
      <c r="M81" s="170" t="s">
        <v>329</v>
      </c>
      <c r="N81" s="170" t="s">
        <v>329</v>
      </c>
      <c r="O81" s="170" t="s">
        <v>329</v>
      </c>
      <c r="P81" s="171" t="s">
        <v>173</v>
      </c>
      <c r="Q81" s="171" t="s">
        <v>173</v>
      </c>
      <c r="R81" s="173" t="s">
        <v>327</v>
      </c>
      <c r="S81" s="173" t="s">
        <v>327</v>
      </c>
      <c r="T81" s="173" t="s">
        <v>327</v>
      </c>
      <c r="U81" s="294" t="s">
        <v>327</v>
      </c>
      <c r="V81" s="173" t="s">
        <v>327</v>
      </c>
      <c r="W81" s="171" t="s">
        <v>173</v>
      </c>
      <c r="X81" s="171" t="s">
        <v>173</v>
      </c>
      <c r="Y81" s="170" t="s">
        <v>329</v>
      </c>
      <c r="Z81" s="170" t="s">
        <v>329</v>
      </c>
      <c r="AA81" s="170" t="s">
        <v>329</v>
      </c>
      <c r="AB81" s="170" t="s">
        <v>329</v>
      </c>
      <c r="AC81" s="170" t="s">
        <v>329</v>
      </c>
      <c r="AD81" s="171" t="s">
        <v>173</v>
      </c>
      <c r="AE81" s="186" t="s">
        <v>173</v>
      </c>
    </row>
    <row r="82" spans="1:32" ht="27.75" customHeight="1">
      <c r="A82" s="491" t="s">
        <v>707</v>
      </c>
      <c r="B82" s="231" t="s">
        <v>173</v>
      </c>
      <c r="C82" s="171" t="s">
        <v>173</v>
      </c>
      <c r="D82" s="172" t="s">
        <v>331</v>
      </c>
      <c r="E82" s="172" t="s">
        <v>331</v>
      </c>
      <c r="F82" s="172" t="s">
        <v>331</v>
      </c>
      <c r="G82" s="172" t="s">
        <v>331</v>
      </c>
      <c r="H82" s="172" t="s">
        <v>331</v>
      </c>
      <c r="I82" s="172" t="s">
        <v>14</v>
      </c>
      <c r="J82" s="172" t="s">
        <v>14</v>
      </c>
      <c r="K82" s="174" t="s">
        <v>325</v>
      </c>
      <c r="L82" s="174" t="s">
        <v>325</v>
      </c>
      <c r="M82" s="174" t="s">
        <v>325</v>
      </c>
      <c r="N82" s="174" t="s">
        <v>325</v>
      </c>
      <c r="O82" s="174" t="s">
        <v>325</v>
      </c>
      <c r="P82" s="171" t="s">
        <v>173</v>
      </c>
      <c r="Q82" s="171" t="s">
        <v>173</v>
      </c>
      <c r="R82" s="505" t="s">
        <v>327</v>
      </c>
      <c r="S82" s="505" t="s">
        <v>327</v>
      </c>
      <c r="T82" s="505" t="s">
        <v>327</v>
      </c>
      <c r="U82" s="505" t="s">
        <v>327</v>
      </c>
      <c r="V82" s="505" t="s">
        <v>327</v>
      </c>
      <c r="W82" s="172" t="s">
        <v>14</v>
      </c>
      <c r="X82" s="172" t="s">
        <v>14</v>
      </c>
      <c r="Y82" s="170" t="s">
        <v>329</v>
      </c>
      <c r="Z82" s="170" t="s">
        <v>329</v>
      </c>
      <c r="AA82" s="294" t="s">
        <v>329</v>
      </c>
      <c r="AB82" s="170" t="s">
        <v>329</v>
      </c>
      <c r="AC82" s="170" t="s">
        <v>329</v>
      </c>
      <c r="AD82" s="171" t="s">
        <v>173</v>
      </c>
      <c r="AE82" s="186" t="s">
        <v>173</v>
      </c>
    </row>
    <row r="83" spans="1:32" ht="27.75" customHeight="1">
      <c r="A83" s="495" t="s">
        <v>360</v>
      </c>
      <c r="B83" s="207" t="s">
        <v>14</v>
      </c>
      <c r="C83" s="172" t="s">
        <v>14</v>
      </c>
      <c r="D83" s="174" t="s">
        <v>325</v>
      </c>
      <c r="E83" s="174" t="s">
        <v>325</v>
      </c>
      <c r="F83" s="174" t="s">
        <v>325</v>
      </c>
      <c r="G83" s="174" t="s">
        <v>325</v>
      </c>
      <c r="H83" s="174" t="s">
        <v>325</v>
      </c>
      <c r="I83" s="171" t="s">
        <v>173</v>
      </c>
      <c r="J83" s="171" t="s">
        <v>173</v>
      </c>
      <c r="K83" s="294" t="s">
        <v>327</v>
      </c>
      <c r="L83" s="183" t="s">
        <v>327</v>
      </c>
      <c r="M83" s="183" t="s">
        <v>327</v>
      </c>
      <c r="N83" s="183" t="s">
        <v>327</v>
      </c>
      <c r="O83" s="183" t="s">
        <v>327</v>
      </c>
      <c r="P83" s="294" t="s">
        <v>791</v>
      </c>
      <c r="Q83" s="171" t="s">
        <v>173</v>
      </c>
      <c r="R83" s="170" t="s">
        <v>329</v>
      </c>
      <c r="S83" s="170" t="s">
        <v>329</v>
      </c>
      <c r="T83" s="170" t="s">
        <v>329</v>
      </c>
      <c r="U83" s="170" t="s">
        <v>329</v>
      </c>
      <c r="V83" s="170" t="s">
        <v>329</v>
      </c>
      <c r="W83" s="171" t="s">
        <v>173</v>
      </c>
      <c r="X83" s="171" t="s">
        <v>173</v>
      </c>
      <c r="Y83" s="172" t="s">
        <v>331</v>
      </c>
      <c r="Z83" s="172" t="s">
        <v>331</v>
      </c>
      <c r="AA83" s="172" t="s">
        <v>331</v>
      </c>
      <c r="AB83" s="172" t="s">
        <v>331</v>
      </c>
      <c r="AC83" s="172" t="s">
        <v>331</v>
      </c>
      <c r="AD83" s="172" t="s">
        <v>14</v>
      </c>
      <c r="AE83" s="232" t="s">
        <v>14</v>
      </c>
    </row>
    <row r="84" spans="1:32" ht="27.75" customHeight="1">
      <c r="A84" s="491" t="s">
        <v>787</v>
      </c>
      <c r="B84" s="231"/>
      <c r="C84" s="171"/>
      <c r="D84" s="173" t="s">
        <v>327</v>
      </c>
      <c r="E84" s="173" t="s">
        <v>327</v>
      </c>
      <c r="F84" s="173" t="s">
        <v>327</v>
      </c>
      <c r="G84" s="173" t="s">
        <v>327</v>
      </c>
      <c r="H84" s="173" t="s">
        <v>327</v>
      </c>
      <c r="I84" s="171"/>
      <c r="J84" s="171"/>
      <c r="K84" s="170" t="s">
        <v>383</v>
      </c>
      <c r="L84" s="170" t="s">
        <v>383</v>
      </c>
      <c r="M84" s="170" t="s">
        <v>383</v>
      </c>
      <c r="N84" s="170" t="s">
        <v>383</v>
      </c>
      <c r="O84" s="170" t="s">
        <v>383</v>
      </c>
      <c r="P84" s="171"/>
      <c r="Q84" s="171"/>
      <c r="R84" s="493" t="s">
        <v>331</v>
      </c>
      <c r="S84" s="493" t="s">
        <v>331</v>
      </c>
      <c r="T84" s="493" t="s">
        <v>331</v>
      </c>
      <c r="U84" s="294" t="s">
        <v>331</v>
      </c>
      <c r="V84" s="493" t="s">
        <v>331</v>
      </c>
      <c r="W84" s="171" t="s">
        <v>173</v>
      </c>
      <c r="X84" s="171" t="s">
        <v>173</v>
      </c>
      <c r="Y84" s="174" t="s">
        <v>325</v>
      </c>
      <c r="Z84" s="174" t="s">
        <v>325</v>
      </c>
      <c r="AA84" s="174" t="s">
        <v>325</v>
      </c>
      <c r="AB84" s="294" t="s">
        <v>325</v>
      </c>
      <c r="AC84" s="174" t="s">
        <v>325</v>
      </c>
      <c r="AD84" s="171" t="s">
        <v>173</v>
      </c>
      <c r="AE84" s="186" t="s">
        <v>173</v>
      </c>
    </row>
    <row r="85" spans="1:32" ht="27.75" customHeight="1">
      <c r="A85" s="496" t="s">
        <v>776</v>
      </c>
      <c r="B85" s="233" t="s">
        <v>173</v>
      </c>
      <c r="C85" s="176" t="s">
        <v>173</v>
      </c>
      <c r="D85" s="175" t="s">
        <v>329</v>
      </c>
      <c r="E85" s="175" t="s">
        <v>329</v>
      </c>
      <c r="F85" s="175" t="s">
        <v>329</v>
      </c>
      <c r="G85" s="175" t="s">
        <v>329</v>
      </c>
      <c r="H85" s="463" t="s">
        <v>329</v>
      </c>
      <c r="I85" s="176" t="s">
        <v>173</v>
      </c>
      <c r="J85" s="176" t="s">
        <v>173</v>
      </c>
      <c r="K85" s="228" t="s">
        <v>331</v>
      </c>
      <c r="L85" s="228" t="s">
        <v>331</v>
      </c>
      <c r="M85" s="228" t="s">
        <v>331</v>
      </c>
      <c r="N85" s="228" t="s">
        <v>331</v>
      </c>
      <c r="O85" s="228" t="s">
        <v>331</v>
      </c>
      <c r="P85" s="228" t="s">
        <v>14</v>
      </c>
      <c r="Q85" s="228" t="s">
        <v>14</v>
      </c>
      <c r="R85" s="178" t="s">
        <v>325</v>
      </c>
      <c r="S85" s="178" t="s">
        <v>325</v>
      </c>
      <c r="T85" s="178" t="s">
        <v>325</v>
      </c>
      <c r="U85" s="178" t="s">
        <v>325</v>
      </c>
      <c r="V85" s="178" t="s">
        <v>325</v>
      </c>
      <c r="W85" s="463" t="s">
        <v>791</v>
      </c>
      <c r="X85" s="176" t="s">
        <v>173</v>
      </c>
      <c r="Y85" s="498" t="s">
        <v>9</v>
      </c>
      <c r="Z85" s="184" t="s">
        <v>327</v>
      </c>
      <c r="AA85" s="184" t="s">
        <v>327</v>
      </c>
      <c r="AB85" s="463" t="s">
        <v>327</v>
      </c>
      <c r="AC85" s="184" t="s">
        <v>327</v>
      </c>
      <c r="AD85" s="176" t="s">
        <v>173</v>
      </c>
      <c r="AE85" s="187" t="s">
        <v>173</v>
      </c>
    </row>
    <row r="87" spans="1:32" ht="27.75" customHeight="1">
      <c r="B87" s="963" t="s">
        <v>425</v>
      </c>
      <c r="C87" s="964"/>
      <c r="D87" s="964"/>
      <c r="E87" s="964"/>
      <c r="F87" s="964"/>
      <c r="G87" s="964"/>
      <c r="H87" s="964"/>
      <c r="I87" s="964"/>
      <c r="J87" s="964"/>
      <c r="K87" s="964"/>
      <c r="L87" s="964"/>
      <c r="M87" s="964"/>
      <c r="N87" s="964"/>
      <c r="O87" s="964"/>
      <c r="P87" s="964"/>
      <c r="Q87" s="964"/>
      <c r="R87" s="964"/>
      <c r="S87" s="964"/>
      <c r="T87" s="964"/>
      <c r="U87" s="964"/>
      <c r="V87" s="964"/>
      <c r="W87" s="964"/>
      <c r="X87" s="964"/>
      <c r="Y87" s="964"/>
      <c r="Z87" s="964"/>
      <c r="AA87" s="964"/>
      <c r="AB87" s="964"/>
      <c r="AC87" s="964"/>
      <c r="AD87" s="964"/>
      <c r="AE87" s="964"/>
      <c r="AF87" s="965"/>
    </row>
    <row r="88" spans="1:32" ht="27.75" customHeight="1">
      <c r="A88" s="966" t="s">
        <v>341</v>
      </c>
      <c r="B88" s="180" t="s">
        <v>86</v>
      </c>
      <c r="C88" s="181" t="s">
        <v>87</v>
      </c>
      <c r="D88" s="181" t="s">
        <v>44</v>
      </c>
      <c r="E88" s="181" t="s">
        <v>28</v>
      </c>
      <c r="F88" s="181" t="s">
        <v>9</v>
      </c>
      <c r="G88" s="181" t="s">
        <v>84</v>
      </c>
      <c r="H88" s="169" t="s">
        <v>85</v>
      </c>
      <c r="I88" s="181" t="s">
        <v>86</v>
      </c>
      <c r="J88" s="181" t="s">
        <v>87</v>
      </c>
      <c r="K88" s="181" t="s">
        <v>44</v>
      </c>
      <c r="L88" s="181" t="s">
        <v>28</v>
      </c>
      <c r="M88" s="181" t="s">
        <v>9</v>
      </c>
      <c r="N88" s="181" t="s">
        <v>84</v>
      </c>
      <c r="O88" s="169" t="s">
        <v>85</v>
      </c>
      <c r="P88" s="181" t="s">
        <v>86</v>
      </c>
      <c r="Q88" s="181" t="s">
        <v>87</v>
      </c>
      <c r="R88" s="181" t="s">
        <v>44</v>
      </c>
      <c r="S88" s="181" t="s">
        <v>28</v>
      </c>
      <c r="T88" s="181" t="s">
        <v>9</v>
      </c>
      <c r="U88" s="181" t="s">
        <v>84</v>
      </c>
      <c r="V88" s="169" t="s">
        <v>85</v>
      </c>
      <c r="W88" s="181" t="s">
        <v>86</v>
      </c>
      <c r="X88" s="181" t="s">
        <v>87</v>
      </c>
      <c r="Y88" s="181" t="s">
        <v>44</v>
      </c>
      <c r="Z88" s="181" t="s">
        <v>28</v>
      </c>
      <c r="AA88" s="181" t="s">
        <v>9</v>
      </c>
      <c r="AB88" s="181" t="s">
        <v>84</v>
      </c>
      <c r="AC88" s="169" t="s">
        <v>85</v>
      </c>
      <c r="AD88" s="181" t="s">
        <v>86</v>
      </c>
      <c r="AE88" s="181" t="s">
        <v>87</v>
      </c>
      <c r="AF88" s="182" t="s">
        <v>44</v>
      </c>
    </row>
    <row r="89" spans="1:32" ht="27.75" customHeight="1">
      <c r="A89" s="967"/>
      <c r="B89" s="225">
        <v>1</v>
      </c>
      <c r="C89" s="226">
        <v>2</v>
      </c>
      <c r="D89" s="226">
        <v>3</v>
      </c>
      <c r="E89" s="226">
        <v>4</v>
      </c>
      <c r="F89" s="226">
        <v>5</v>
      </c>
      <c r="G89" s="216">
        <v>6</v>
      </c>
      <c r="H89" s="216">
        <v>7</v>
      </c>
      <c r="I89" s="226">
        <v>8</v>
      </c>
      <c r="J89" s="226">
        <v>9</v>
      </c>
      <c r="K89" s="226">
        <v>10</v>
      </c>
      <c r="L89" s="226">
        <v>11</v>
      </c>
      <c r="M89" s="226">
        <v>12</v>
      </c>
      <c r="N89" s="216">
        <v>13</v>
      </c>
      <c r="O89" s="216">
        <v>14</v>
      </c>
      <c r="P89" s="226">
        <v>15</v>
      </c>
      <c r="Q89" s="226">
        <v>16</v>
      </c>
      <c r="R89" s="226">
        <v>17</v>
      </c>
      <c r="S89" s="226">
        <v>18</v>
      </c>
      <c r="T89" s="226">
        <v>19</v>
      </c>
      <c r="U89" s="216">
        <v>20</v>
      </c>
      <c r="V89" s="216">
        <v>21</v>
      </c>
      <c r="W89" s="226">
        <v>22</v>
      </c>
      <c r="X89" s="226">
        <v>23</v>
      </c>
      <c r="Y89" s="226">
        <v>24</v>
      </c>
      <c r="Z89" s="226">
        <v>25</v>
      </c>
      <c r="AA89" s="226">
        <v>26</v>
      </c>
      <c r="AB89" s="216">
        <v>27</v>
      </c>
      <c r="AC89" s="216">
        <v>28</v>
      </c>
      <c r="AD89" s="226">
        <v>29</v>
      </c>
      <c r="AE89" s="226">
        <v>30</v>
      </c>
      <c r="AF89" s="227">
        <v>31</v>
      </c>
    </row>
    <row r="90" spans="1:32" ht="27.75" customHeight="1">
      <c r="A90" s="506" t="s">
        <v>345</v>
      </c>
      <c r="B90" s="258" t="s">
        <v>327</v>
      </c>
      <c r="C90" s="259" t="s">
        <v>327</v>
      </c>
      <c r="D90" s="259" t="s">
        <v>327</v>
      </c>
      <c r="E90" s="259" t="s">
        <v>327</v>
      </c>
      <c r="F90" s="259" t="s">
        <v>327</v>
      </c>
      <c r="G90" s="203" t="s">
        <v>173</v>
      </c>
      <c r="H90" s="203" t="s">
        <v>173</v>
      </c>
      <c r="I90" s="259" t="s">
        <v>327</v>
      </c>
      <c r="J90" s="259" t="s">
        <v>327</v>
      </c>
      <c r="K90" s="259" t="s">
        <v>327</v>
      </c>
      <c r="L90" s="259" t="s">
        <v>327</v>
      </c>
      <c r="M90" s="259" t="s">
        <v>327</v>
      </c>
      <c r="N90" s="203" t="s">
        <v>173</v>
      </c>
      <c r="O90" s="203" t="s">
        <v>173</v>
      </c>
      <c r="P90" s="259" t="s">
        <v>327</v>
      </c>
      <c r="Q90" s="259" t="s">
        <v>327</v>
      </c>
      <c r="R90" s="259" t="s">
        <v>327</v>
      </c>
      <c r="S90" s="259" t="s">
        <v>327</v>
      </c>
      <c r="T90" s="259" t="s">
        <v>327</v>
      </c>
      <c r="U90" s="203" t="s">
        <v>173</v>
      </c>
      <c r="V90" s="203" t="s">
        <v>173</v>
      </c>
      <c r="W90" s="259" t="s">
        <v>327</v>
      </c>
      <c r="X90" s="259" t="s">
        <v>327</v>
      </c>
      <c r="Y90" s="259" t="s">
        <v>327</v>
      </c>
      <c r="Z90" s="238" t="s">
        <v>173</v>
      </c>
      <c r="AA90" s="259" t="s">
        <v>327</v>
      </c>
      <c r="AB90" s="203" t="s">
        <v>173</v>
      </c>
      <c r="AC90" s="203" t="s">
        <v>173</v>
      </c>
      <c r="AD90" s="259" t="s">
        <v>327</v>
      </c>
      <c r="AE90" s="259" t="s">
        <v>327</v>
      </c>
      <c r="AF90" s="260" t="s">
        <v>327</v>
      </c>
    </row>
    <row r="91" spans="1:32" ht="27.75" customHeight="1">
      <c r="A91" s="482" t="s">
        <v>452</v>
      </c>
      <c r="B91" s="214" t="s">
        <v>329</v>
      </c>
      <c r="C91" s="170" t="s">
        <v>329</v>
      </c>
      <c r="D91" s="170" t="s">
        <v>329</v>
      </c>
      <c r="E91" s="170" t="s">
        <v>329</v>
      </c>
      <c r="F91" s="170" t="s">
        <v>329</v>
      </c>
      <c r="G91" s="171" t="s">
        <v>173</v>
      </c>
      <c r="H91" s="171" t="s">
        <v>173</v>
      </c>
      <c r="I91" s="170" t="s">
        <v>329</v>
      </c>
      <c r="J91" s="170" t="s">
        <v>329</v>
      </c>
      <c r="K91" s="170" t="s">
        <v>329</v>
      </c>
      <c r="L91" s="170" t="s">
        <v>329</v>
      </c>
      <c r="M91" s="170" t="s">
        <v>329</v>
      </c>
      <c r="N91" s="171" t="s">
        <v>173</v>
      </c>
      <c r="O91" s="171" t="s">
        <v>173</v>
      </c>
      <c r="P91" s="488" t="s">
        <v>9</v>
      </c>
      <c r="Q91" s="488" t="s">
        <v>9</v>
      </c>
      <c r="R91" s="488" t="s">
        <v>9</v>
      </c>
      <c r="S91" s="488" t="s">
        <v>9</v>
      </c>
      <c r="T91" s="488" t="s">
        <v>9</v>
      </c>
      <c r="U91" s="488" t="s">
        <v>9</v>
      </c>
      <c r="V91" s="488" t="s">
        <v>9</v>
      </c>
      <c r="W91" s="488" t="s">
        <v>9</v>
      </c>
      <c r="X91" s="488" t="s">
        <v>9</v>
      </c>
      <c r="Y91" s="488" t="s">
        <v>9</v>
      </c>
      <c r="Z91" s="488" t="s">
        <v>9</v>
      </c>
      <c r="AA91" s="488" t="s">
        <v>9</v>
      </c>
      <c r="AB91" s="488" t="s">
        <v>9</v>
      </c>
      <c r="AC91" s="488" t="s">
        <v>9</v>
      </c>
      <c r="AD91" s="488" t="s">
        <v>9</v>
      </c>
      <c r="AE91" s="488" t="s">
        <v>9</v>
      </c>
      <c r="AF91" s="510" t="s">
        <v>9</v>
      </c>
    </row>
    <row r="92" spans="1:32" ht="27.75" customHeight="1">
      <c r="A92" s="484" t="s">
        <v>349</v>
      </c>
      <c r="B92" s="212" t="s">
        <v>327</v>
      </c>
      <c r="C92" s="173" t="s">
        <v>327</v>
      </c>
      <c r="D92" s="173" t="s">
        <v>327</v>
      </c>
      <c r="E92" s="173" t="s">
        <v>327</v>
      </c>
      <c r="F92" s="173" t="s">
        <v>327</v>
      </c>
      <c r="G92" s="171" t="s">
        <v>173</v>
      </c>
      <c r="H92" s="171" t="s">
        <v>173</v>
      </c>
      <c r="I92" s="173" t="s">
        <v>327</v>
      </c>
      <c r="J92" s="173" t="s">
        <v>327</v>
      </c>
      <c r="K92" s="173" t="s">
        <v>327</v>
      </c>
      <c r="L92" s="173" t="s">
        <v>327</v>
      </c>
      <c r="M92" s="173" t="s">
        <v>327</v>
      </c>
      <c r="N92" s="171" t="s">
        <v>173</v>
      </c>
      <c r="O92" s="171" t="s">
        <v>173</v>
      </c>
      <c r="P92" s="488" t="s">
        <v>9</v>
      </c>
      <c r="Q92" s="488" t="s">
        <v>9</v>
      </c>
      <c r="R92" s="488" t="s">
        <v>9</v>
      </c>
      <c r="S92" s="488" t="s">
        <v>9</v>
      </c>
      <c r="T92" s="488" t="s">
        <v>9</v>
      </c>
      <c r="U92" s="488" t="s">
        <v>9</v>
      </c>
      <c r="V92" s="488" t="s">
        <v>9</v>
      </c>
      <c r="W92" s="488" t="s">
        <v>9</v>
      </c>
      <c r="X92" s="488" t="s">
        <v>9</v>
      </c>
      <c r="Y92" s="488" t="s">
        <v>9</v>
      </c>
      <c r="Z92" s="488" t="s">
        <v>9</v>
      </c>
      <c r="AA92" s="488" t="s">
        <v>9</v>
      </c>
      <c r="AB92" s="488" t="s">
        <v>9</v>
      </c>
      <c r="AC92" s="488" t="s">
        <v>9</v>
      </c>
      <c r="AD92" s="173" t="s">
        <v>327</v>
      </c>
      <c r="AE92" s="173" t="s">
        <v>327</v>
      </c>
      <c r="AF92" s="208" t="s">
        <v>327</v>
      </c>
    </row>
    <row r="93" spans="1:32" ht="27.75" customHeight="1">
      <c r="A93" s="484" t="s">
        <v>592</v>
      </c>
      <c r="B93" s="212" t="s">
        <v>327</v>
      </c>
      <c r="C93" s="173" t="s">
        <v>327</v>
      </c>
      <c r="D93" s="173" t="s">
        <v>327</v>
      </c>
      <c r="E93" s="294" t="s">
        <v>327</v>
      </c>
      <c r="F93" s="173" t="s">
        <v>327</v>
      </c>
      <c r="G93" s="171" t="s">
        <v>173</v>
      </c>
      <c r="H93" s="171" t="s">
        <v>173</v>
      </c>
      <c r="I93" s="173" t="s">
        <v>327</v>
      </c>
      <c r="J93" s="173" t="s">
        <v>327</v>
      </c>
      <c r="K93" s="173" t="s">
        <v>327</v>
      </c>
      <c r="L93" s="173" t="s">
        <v>327</v>
      </c>
      <c r="M93" s="173" t="s">
        <v>327</v>
      </c>
      <c r="N93" s="171" t="s">
        <v>173</v>
      </c>
      <c r="O93" s="171" t="s">
        <v>173</v>
      </c>
      <c r="P93" s="173" t="s">
        <v>327</v>
      </c>
      <c r="Q93" s="173" t="s">
        <v>327</v>
      </c>
      <c r="R93" s="173" t="s">
        <v>327</v>
      </c>
      <c r="S93" s="294" t="s">
        <v>327</v>
      </c>
      <c r="T93" s="173" t="s">
        <v>327</v>
      </c>
      <c r="U93" s="171" t="s">
        <v>173</v>
      </c>
      <c r="V93" s="171" t="s">
        <v>173</v>
      </c>
      <c r="W93" s="173" t="s">
        <v>327</v>
      </c>
      <c r="X93" s="173" t="s">
        <v>327</v>
      </c>
      <c r="Y93" s="173" t="s">
        <v>327</v>
      </c>
      <c r="Z93" s="199" t="s">
        <v>173</v>
      </c>
      <c r="AA93" s="173" t="s">
        <v>327</v>
      </c>
      <c r="AB93" s="171" t="s">
        <v>173</v>
      </c>
      <c r="AC93" s="171" t="s">
        <v>173</v>
      </c>
      <c r="AD93" s="173" t="s">
        <v>327</v>
      </c>
      <c r="AE93" s="173" t="s">
        <v>327</v>
      </c>
      <c r="AF93" s="208" t="s">
        <v>327</v>
      </c>
    </row>
    <row r="94" spans="1:32" ht="27.75" customHeight="1">
      <c r="A94" s="491" t="s">
        <v>707</v>
      </c>
      <c r="B94" s="207" t="s">
        <v>331</v>
      </c>
      <c r="C94" s="172" t="s">
        <v>331</v>
      </c>
      <c r="D94" s="172" t="s">
        <v>331</v>
      </c>
      <c r="E94" s="172" t="s">
        <v>331</v>
      </c>
      <c r="F94" s="172" t="s">
        <v>331</v>
      </c>
      <c r="G94" s="172" t="s">
        <v>14</v>
      </c>
      <c r="H94" s="172" t="s">
        <v>14</v>
      </c>
      <c r="I94" s="174" t="s">
        <v>325</v>
      </c>
      <c r="J94" s="174" t="s">
        <v>325</v>
      </c>
      <c r="K94" s="174" t="s">
        <v>325</v>
      </c>
      <c r="L94" s="174" t="s">
        <v>325</v>
      </c>
      <c r="M94" s="294" t="s">
        <v>325</v>
      </c>
      <c r="N94" s="171" t="s">
        <v>173</v>
      </c>
      <c r="O94" s="171" t="s">
        <v>173</v>
      </c>
      <c r="P94" s="183" t="s">
        <v>327</v>
      </c>
      <c r="Q94" s="183" t="s">
        <v>327</v>
      </c>
      <c r="R94" s="183" t="s">
        <v>327</v>
      </c>
      <c r="S94" s="183" t="s">
        <v>327</v>
      </c>
      <c r="T94" s="294" t="s">
        <v>327</v>
      </c>
      <c r="U94" s="171" t="s">
        <v>173</v>
      </c>
      <c r="V94" s="171" t="s">
        <v>173</v>
      </c>
      <c r="W94" s="170" t="s">
        <v>329</v>
      </c>
      <c r="X94" s="170" t="s">
        <v>329</v>
      </c>
      <c r="Y94" s="170" t="s">
        <v>329</v>
      </c>
      <c r="Z94" s="200" t="s">
        <v>173</v>
      </c>
      <c r="AA94" s="170" t="s">
        <v>329</v>
      </c>
      <c r="AB94" s="171" t="s">
        <v>173</v>
      </c>
      <c r="AC94" s="171" t="s">
        <v>173</v>
      </c>
      <c r="AD94" s="172" t="s">
        <v>331</v>
      </c>
      <c r="AE94" s="295" t="s">
        <v>331</v>
      </c>
      <c r="AF94" s="232" t="s">
        <v>331</v>
      </c>
    </row>
    <row r="95" spans="1:32" ht="27.75" customHeight="1">
      <c r="A95" s="495" t="s">
        <v>360</v>
      </c>
      <c r="B95" s="221" t="s">
        <v>325</v>
      </c>
      <c r="C95" s="174" t="s">
        <v>325</v>
      </c>
      <c r="D95" s="174" t="s">
        <v>325</v>
      </c>
      <c r="E95" s="174" t="s">
        <v>325</v>
      </c>
      <c r="F95" s="174" t="s">
        <v>325</v>
      </c>
      <c r="G95" s="171" t="s">
        <v>173</v>
      </c>
      <c r="H95" s="171" t="s">
        <v>173</v>
      </c>
      <c r="I95" s="183" t="s">
        <v>327</v>
      </c>
      <c r="J95" s="183" t="s">
        <v>327</v>
      </c>
      <c r="K95" s="183" t="s">
        <v>327</v>
      </c>
      <c r="L95" s="183" t="s">
        <v>327</v>
      </c>
      <c r="M95" s="183" t="s">
        <v>327</v>
      </c>
      <c r="N95" s="171" t="s">
        <v>173</v>
      </c>
      <c r="O95" s="171" t="s">
        <v>173</v>
      </c>
      <c r="P95" s="170" t="s">
        <v>329</v>
      </c>
      <c r="Q95" s="294" t="s">
        <v>329</v>
      </c>
      <c r="R95" s="170" t="s">
        <v>329</v>
      </c>
      <c r="S95" s="170" t="s">
        <v>329</v>
      </c>
      <c r="T95" s="170" t="s">
        <v>329</v>
      </c>
      <c r="U95" s="171" t="s">
        <v>173</v>
      </c>
      <c r="V95" s="171" t="s">
        <v>173</v>
      </c>
      <c r="W95" s="172" t="s">
        <v>331</v>
      </c>
      <c r="X95" s="172" t="s">
        <v>331</v>
      </c>
      <c r="Y95" s="172" t="s">
        <v>331</v>
      </c>
      <c r="Z95" s="172" t="s">
        <v>14</v>
      </c>
      <c r="AA95" s="172" t="s">
        <v>331</v>
      </c>
      <c r="AB95" s="172" t="s">
        <v>14</v>
      </c>
      <c r="AC95" s="172" t="s">
        <v>14</v>
      </c>
      <c r="AD95" s="174" t="s">
        <v>325</v>
      </c>
      <c r="AE95" s="174" t="s">
        <v>325</v>
      </c>
      <c r="AF95" s="223" t="s">
        <v>325</v>
      </c>
    </row>
    <row r="96" spans="1:32" ht="27.75" customHeight="1">
      <c r="A96" s="491" t="s">
        <v>787</v>
      </c>
      <c r="B96" s="212" t="s">
        <v>327</v>
      </c>
      <c r="C96" s="173" t="s">
        <v>327</v>
      </c>
      <c r="D96" s="173" t="s">
        <v>327</v>
      </c>
      <c r="E96" s="173" t="s">
        <v>327</v>
      </c>
      <c r="F96" s="294" t="s">
        <v>327</v>
      </c>
      <c r="G96" s="171"/>
      <c r="H96" s="171"/>
      <c r="I96" s="170" t="s">
        <v>383</v>
      </c>
      <c r="J96" s="170" t="s">
        <v>383</v>
      </c>
      <c r="K96" s="170" t="s">
        <v>383</v>
      </c>
      <c r="L96" s="170" t="s">
        <v>383</v>
      </c>
      <c r="M96" s="170" t="s">
        <v>383</v>
      </c>
      <c r="N96" s="171"/>
      <c r="O96" s="171"/>
      <c r="P96" s="172" t="s">
        <v>331</v>
      </c>
      <c r="Q96" s="172" t="s">
        <v>331</v>
      </c>
      <c r="R96" s="172" t="s">
        <v>331</v>
      </c>
      <c r="S96" s="172" t="s">
        <v>331</v>
      </c>
      <c r="T96" s="172" t="s">
        <v>331</v>
      </c>
      <c r="U96" s="172" t="s">
        <v>14</v>
      </c>
      <c r="V96" s="172" t="s">
        <v>14</v>
      </c>
      <c r="W96" s="174" t="s">
        <v>325</v>
      </c>
      <c r="X96" s="174" t="s">
        <v>325</v>
      </c>
      <c r="Y96" s="174" t="s">
        <v>325</v>
      </c>
      <c r="Z96" s="200" t="s">
        <v>173</v>
      </c>
      <c r="AA96" s="174" t="s">
        <v>325</v>
      </c>
      <c r="AB96" s="171"/>
      <c r="AC96" s="171"/>
      <c r="AD96" s="183" t="s">
        <v>327</v>
      </c>
      <c r="AE96" s="183" t="s">
        <v>327</v>
      </c>
      <c r="AF96" s="213" t="s">
        <v>327</v>
      </c>
    </row>
    <row r="97" spans="1:32" ht="27.75" customHeight="1">
      <c r="A97" s="496" t="s">
        <v>776</v>
      </c>
      <c r="B97" s="234" t="s">
        <v>329</v>
      </c>
      <c r="C97" s="175" t="s">
        <v>329</v>
      </c>
      <c r="D97" s="175" t="s">
        <v>329</v>
      </c>
      <c r="E97" s="463" t="s">
        <v>329</v>
      </c>
      <c r="F97" s="175" t="s">
        <v>329</v>
      </c>
      <c r="G97" s="463" t="s">
        <v>792</v>
      </c>
      <c r="H97" s="176" t="s">
        <v>173</v>
      </c>
      <c r="I97" s="228" t="s">
        <v>331</v>
      </c>
      <c r="J97" s="228" t="s">
        <v>331</v>
      </c>
      <c r="K97" s="228" t="s">
        <v>331</v>
      </c>
      <c r="L97" s="228" t="s">
        <v>331</v>
      </c>
      <c r="M97" s="228" t="s">
        <v>331</v>
      </c>
      <c r="N97" s="228" t="s">
        <v>14</v>
      </c>
      <c r="O97" s="228" t="s">
        <v>14</v>
      </c>
      <c r="P97" s="178" t="s">
        <v>325</v>
      </c>
      <c r="Q97" s="178" t="s">
        <v>325</v>
      </c>
      <c r="R97" s="178" t="s">
        <v>325</v>
      </c>
      <c r="S97" s="463" t="s">
        <v>325</v>
      </c>
      <c r="T97" s="178" t="s">
        <v>325</v>
      </c>
      <c r="U97" s="176" t="s">
        <v>173</v>
      </c>
      <c r="V97" s="176" t="s">
        <v>173</v>
      </c>
      <c r="W97" s="498" t="s">
        <v>9</v>
      </c>
      <c r="X97" s="498" t="s">
        <v>9</v>
      </c>
      <c r="Y97" s="498" t="s">
        <v>9</v>
      </c>
      <c r="Z97" s="239" t="s">
        <v>173</v>
      </c>
      <c r="AA97" s="498" t="s">
        <v>9</v>
      </c>
      <c r="AB97" s="176" t="s">
        <v>173</v>
      </c>
      <c r="AC97" s="176" t="s">
        <v>173</v>
      </c>
      <c r="AD97" s="498" t="s">
        <v>9</v>
      </c>
      <c r="AE97" s="498" t="s">
        <v>9</v>
      </c>
      <c r="AF97" s="511" t="s">
        <v>9</v>
      </c>
    </row>
    <row r="99" spans="1:32" ht="27.75" customHeight="1">
      <c r="B99" s="963" t="s">
        <v>427</v>
      </c>
      <c r="C99" s="964"/>
      <c r="D99" s="964"/>
      <c r="E99" s="964"/>
      <c r="F99" s="964"/>
      <c r="G99" s="964"/>
      <c r="H99" s="964"/>
      <c r="I99" s="964"/>
      <c r="J99" s="964"/>
      <c r="K99" s="964"/>
      <c r="L99" s="964"/>
      <c r="M99" s="964"/>
      <c r="N99" s="964"/>
      <c r="O99" s="964"/>
      <c r="P99" s="964"/>
      <c r="Q99" s="964"/>
      <c r="R99" s="964"/>
      <c r="S99" s="964"/>
      <c r="T99" s="964"/>
      <c r="U99" s="964"/>
      <c r="V99" s="964"/>
      <c r="W99" s="964"/>
      <c r="X99" s="964"/>
      <c r="Y99" s="964"/>
      <c r="Z99" s="964"/>
      <c r="AA99" s="964"/>
      <c r="AB99" s="964"/>
      <c r="AC99" s="964"/>
      <c r="AD99" s="964"/>
      <c r="AE99" s="964"/>
      <c r="AF99" s="965"/>
    </row>
    <row r="100" spans="1:32" ht="27.75" customHeight="1">
      <c r="A100" s="966" t="s">
        <v>341</v>
      </c>
      <c r="B100" s="180" t="s">
        <v>28</v>
      </c>
      <c r="C100" s="181" t="s">
        <v>9</v>
      </c>
      <c r="D100" s="181" t="s">
        <v>84</v>
      </c>
      <c r="E100" s="169" t="s">
        <v>85</v>
      </c>
      <c r="F100" s="181" t="s">
        <v>86</v>
      </c>
      <c r="G100" s="181" t="s">
        <v>87</v>
      </c>
      <c r="H100" s="181" t="s">
        <v>44</v>
      </c>
      <c r="I100" s="181" t="s">
        <v>28</v>
      </c>
      <c r="J100" s="181" t="s">
        <v>9</v>
      </c>
      <c r="K100" s="181" t="s">
        <v>84</v>
      </c>
      <c r="L100" s="169" t="s">
        <v>85</v>
      </c>
      <c r="M100" s="181" t="s">
        <v>86</v>
      </c>
      <c r="N100" s="181" t="s">
        <v>87</v>
      </c>
      <c r="O100" s="181" t="s">
        <v>44</v>
      </c>
      <c r="P100" s="181" t="s">
        <v>28</v>
      </c>
      <c r="Q100" s="181" t="s">
        <v>9</v>
      </c>
      <c r="R100" s="181" t="s">
        <v>84</v>
      </c>
      <c r="S100" s="169" t="s">
        <v>85</v>
      </c>
      <c r="T100" s="181" t="s">
        <v>86</v>
      </c>
      <c r="U100" s="181" t="s">
        <v>87</v>
      </c>
      <c r="V100" s="181" t="s">
        <v>44</v>
      </c>
      <c r="W100" s="181" t="s">
        <v>28</v>
      </c>
      <c r="X100" s="181" t="s">
        <v>9</v>
      </c>
      <c r="Y100" s="181" t="s">
        <v>84</v>
      </c>
      <c r="Z100" s="169" t="s">
        <v>85</v>
      </c>
      <c r="AA100" s="181" t="s">
        <v>86</v>
      </c>
      <c r="AB100" s="181" t="s">
        <v>87</v>
      </c>
      <c r="AC100" s="181" t="s">
        <v>44</v>
      </c>
      <c r="AD100" s="181" t="s">
        <v>28</v>
      </c>
      <c r="AE100" s="181" t="s">
        <v>9</v>
      </c>
      <c r="AF100" s="182" t="s">
        <v>84</v>
      </c>
    </row>
    <row r="101" spans="1:32" ht="27.75" customHeight="1">
      <c r="A101" s="967"/>
      <c r="B101" s="225">
        <v>1</v>
      </c>
      <c r="C101" s="226">
        <v>2</v>
      </c>
      <c r="D101" s="216">
        <v>3</v>
      </c>
      <c r="E101" s="216">
        <v>4</v>
      </c>
      <c r="F101" s="226">
        <v>5</v>
      </c>
      <c r="G101" s="226">
        <v>6</v>
      </c>
      <c r="H101" s="226">
        <v>7</v>
      </c>
      <c r="I101" s="226">
        <v>8</v>
      </c>
      <c r="J101" s="226">
        <v>9</v>
      </c>
      <c r="K101" s="216">
        <v>10</v>
      </c>
      <c r="L101" s="216">
        <v>11</v>
      </c>
      <c r="M101" s="226">
        <v>12</v>
      </c>
      <c r="N101" s="226">
        <v>13</v>
      </c>
      <c r="O101" s="226">
        <v>14</v>
      </c>
      <c r="P101" s="216">
        <v>15</v>
      </c>
      <c r="Q101" s="226">
        <v>16</v>
      </c>
      <c r="R101" s="216">
        <v>17</v>
      </c>
      <c r="S101" s="216">
        <v>18</v>
      </c>
      <c r="T101" s="226">
        <v>19</v>
      </c>
      <c r="U101" s="226">
        <v>20</v>
      </c>
      <c r="V101" s="226">
        <v>21</v>
      </c>
      <c r="W101" s="226">
        <v>22</v>
      </c>
      <c r="X101" s="226">
        <v>23</v>
      </c>
      <c r="Y101" s="216">
        <v>24</v>
      </c>
      <c r="Z101" s="216">
        <v>25</v>
      </c>
      <c r="AA101" s="226">
        <v>26</v>
      </c>
      <c r="AB101" s="226">
        <v>27</v>
      </c>
      <c r="AC101" s="226">
        <v>28</v>
      </c>
      <c r="AD101" s="226">
        <v>29</v>
      </c>
      <c r="AE101" s="226">
        <v>30</v>
      </c>
      <c r="AF101" s="217">
        <v>31</v>
      </c>
    </row>
    <row r="102" spans="1:32" ht="27.75" customHeight="1">
      <c r="A102" s="512" t="s">
        <v>345</v>
      </c>
      <c r="B102" s="258" t="s">
        <v>327</v>
      </c>
      <c r="C102" s="259" t="s">
        <v>327</v>
      </c>
      <c r="D102" s="203" t="s">
        <v>173</v>
      </c>
      <c r="E102" s="203" t="s">
        <v>173</v>
      </c>
      <c r="F102" s="513" t="s">
        <v>9</v>
      </c>
      <c r="G102" s="513" t="s">
        <v>9</v>
      </c>
      <c r="H102" s="513" t="s">
        <v>9</v>
      </c>
      <c r="I102" s="513" t="s">
        <v>9</v>
      </c>
      <c r="J102" s="513" t="s">
        <v>9</v>
      </c>
      <c r="K102" s="513" t="s">
        <v>9</v>
      </c>
      <c r="L102" s="513" t="s">
        <v>9</v>
      </c>
      <c r="M102" s="513" t="s">
        <v>9</v>
      </c>
      <c r="N102" s="513" t="s">
        <v>9</v>
      </c>
      <c r="O102" s="513" t="s">
        <v>9</v>
      </c>
      <c r="P102" s="513" t="s">
        <v>9</v>
      </c>
      <c r="Q102" s="513" t="s">
        <v>9</v>
      </c>
      <c r="R102" s="203" t="s">
        <v>173</v>
      </c>
      <c r="S102" s="203" t="s">
        <v>173</v>
      </c>
      <c r="T102" s="259" t="s">
        <v>327</v>
      </c>
      <c r="U102" s="259" t="s">
        <v>327</v>
      </c>
      <c r="V102" s="259" t="s">
        <v>327</v>
      </c>
      <c r="W102" s="259" t="s">
        <v>327</v>
      </c>
      <c r="X102" s="513" t="s">
        <v>9</v>
      </c>
      <c r="Y102" s="513" t="s">
        <v>9</v>
      </c>
      <c r="Z102" s="513" t="s">
        <v>9</v>
      </c>
      <c r="AA102" s="513" t="s">
        <v>9</v>
      </c>
      <c r="AB102" s="513" t="s">
        <v>9</v>
      </c>
      <c r="AC102" s="259" t="s">
        <v>327</v>
      </c>
      <c r="AD102" s="259" t="s">
        <v>327</v>
      </c>
      <c r="AE102" s="259" t="s">
        <v>327</v>
      </c>
      <c r="AF102" s="219" t="s">
        <v>173</v>
      </c>
    </row>
    <row r="103" spans="1:32" ht="27.75" customHeight="1">
      <c r="A103" s="514" t="s">
        <v>347</v>
      </c>
      <c r="B103" s="244" t="s">
        <v>9</v>
      </c>
      <c r="C103" s="488" t="s">
        <v>9</v>
      </c>
      <c r="D103" s="488" t="s">
        <v>9</v>
      </c>
      <c r="E103" s="488" t="s">
        <v>9</v>
      </c>
      <c r="F103" s="170" t="s">
        <v>329</v>
      </c>
      <c r="G103" s="170" t="s">
        <v>329</v>
      </c>
      <c r="H103" s="170" t="s">
        <v>329</v>
      </c>
      <c r="I103" s="170" t="s">
        <v>329</v>
      </c>
      <c r="J103" s="170" t="s">
        <v>329</v>
      </c>
      <c r="K103" s="171" t="s">
        <v>173</v>
      </c>
      <c r="L103" s="171" t="s">
        <v>173</v>
      </c>
      <c r="M103" s="170" t="s">
        <v>329</v>
      </c>
      <c r="N103" s="170" t="s">
        <v>329</v>
      </c>
      <c r="O103" s="170" t="s">
        <v>329</v>
      </c>
      <c r="P103" s="199" t="s">
        <v>173</v>
      </c>
      <c r="Q103" s="170" t="s">
        <v>329</v>
      </c>
      <c r="R103" s="171" t="s">
        <v>173</v>
      </c>
      <c r="S103" s="171" t="s">
        <v>173</v>
      </c>
      <c r="T103" s="170" t="s">
        <v>329</v>
      </c>
      <c r="U103" s="170" t="s">
        <v>329</v>
      </c>
      <c r="V103" s="170" t="s">
        <v>329</v>
      </c>
      <c r="W103" s="170" t="s">
        <v>329</v>
      </c>
      <c r="X103" s="170" t="s">
        <v>329</v>
      </c>
      <c r="Y103" s="171" t="s">
        <v>173</v>
      </c>
      <c r="Z103" s="171" t="s">
        <v>173</v>
      </c>
      <c r="AA103" s="170" t="s">
        <v>329</v>
      </c>
      <c r="AB103" s="170" t="s">
        <v>329</v>
      </c>
      <c r="AC103" s="170" t="s">
        <v>329</v>
      </c>
      <c r="AD103" s="170" t="s">
        <v>329</v>
      </c>
      <c r="AE103" s="170" t="s">
        <v>329</v>
      </c>
      <c r="AF103" s="186" t="s">
        <v>173</v>
      </c>
    </row>
    <row r="104" spans="1:32" ht="27.75" customHeight="1">
      <c r="A104" s="515" t="s">
        <v>349</v>
      </c>
      <c r="B104" s="212" t="s">
        <v>327</v>
      </c>
      <c r="C104" s="173" t="s">
        <v>327</v>
      </c>
      <c r="D104" s="294" t="s">
        <v>793</v>
      </c>
      <c r="E104" s="171" t="s">
        <v>173</v>
      </c>
      <c r="F104" s="173" t="s">
        <v>327</v>
      </c>
      <c r="G104" s="173" t="s">
        <v>327</v>
      </c>
      <c r="H104" s="173" t="s">
        <v>327</v>
      </c>
      <c r="I104" s="294" t="s">
        <v>327</v>
      </c>
      <c r="J104" s="294" t="s">
        <v>327</v>
      </c>
      <c r="K104" s="171" t="s">
        <v>173</v>
      </c>
      <c r="L104" s="171" t="s">
        <v>173</v>
      </c>
      <c r="M104" s="485" t="s">
        <v>327</v>
      </c>
      <c r="N104" s="485" t="s">
        <v>327</v>
      </c>
      <c r="O104" s="485" t="s">
        <v>327</v>
      </c>
      <c r="P104" s="172" t="s">
        <v>14</v>
      </c>
      <c r="Q104" s="485" t="s">
        <v>327</v>
      </c>
      <c r="R104" s="172" t="s">
        <v>14</v>
      </c>
      <c r="S104" s="172" t="s">
        <v>14</v>
      </c>
      <c r="T104" s="294" t="s">
        <v>327</v>
      </c>
      <c r="U104" s="294" t="s">
        <v>327</v>
      </c>
      <c r="V104" s="294" t="s">
        <v>327</v>
      </c>
      <c r="W104" s="173" t="s">
        <v>327</v>
      </c>
      <c r="X104" s="173" t="s">
        <v>327</v>
      </c>
      <c r="Y104" s="171" t="s">
        <v>173</v>
      </c>
      <c r="Z104" s="171" t="s">
        <v>173</v>
      </c>
      <c r="AA104" s="173" t="s">
        <v>327</v>
      </c>
      <c r="AB104" s="173" t="s">
        <v>327</v>
      </c>
      <c r="AC104" s="173" t="s">
        <v>327</v>
      </c>
      <c r="AD104" s="173" t="s">
        <v>327</v>
      </c>
      <c r="AE104" s="173" t="s">
        <v>327</v>
      </c>
      <c r="AF104" s="186" t="s">
        <v>173</v>
      </c>
    </row>
    <row r="105" spans="1:32" ht="27.75" customHeight="1">
      <c r="A105" s="516" t="s">
        <v>353</v>
      </c>
      <c r="B105" s="212" t="s">
        <v>327</v>
      </c>
      <c r="C105" s="173" t="s">
        <v>327</v>
      </c>
      <c r="D105" s="171" t="s">
        <v>173</v>
      </c>
      <c r="E105" s="171" t="s">
        <v>173</v>
      </c>
      <c r="F105" s="294" t="s">
        <v>327</v>
      </c>
      <c r="G105" s="173" t="s">
        <v>327</v>
      </c>
      <c r="H105" s="173" t="s">
        <v>327</v>
      </c>
      <c r="I105" s="294" t="s">
        <v>327</v>
      </c>
      <c r="J105" s="173" t="s">
        <v>327</v>
      </c>
      <c r="K105" s="171" t="s">
        <v>173</v>
      </c>
      <c r="L105" s="171" t="s">
        <v>173</v>
      </c>
      <c r="M105" s="173" t="s">
        <v>327</v>
      </c>
      <c r="N105" s="173" t="s">
        <v>327</v>
      </c>
      <c r="O105" s="173" t="s">
        <v>327</v>
      </c>
      <c r="P105" s="199" t="s">
        <v>173</v>
      </c>
      <c r="Q105" s="173" t="s">
        <v>327</v>
      </c>
      <c r="R105" s="171" t="s">
        <v>173</v>
      </c>
      <c r="S105" s="171" t="s">
        <v>173</v>
      </c>
      <c r="T105" s="173" t="s">
        <v>327</v>
      </c>
      <c r="U105" s="173" t="s">
        <v>327</v>
      </c>
      <c r="V105" s="173" t="s">
        <v>327</v>
      </c>
      <c r="W105" s="173" t="s">
        <v>327</v>
      </c>
      <c r="X105" s="173" t="s">
        <v>327</v>
      </c>
      <c r="Y105" s="171" t="s">
        <v>173</v>
      </c>
      <c r="Z105" s="171" t="s">
        <v>173</v>
      </c>
      <c r="AA105" s="173" t="s">
        <v>327</v>
      </c>
      <c r="AB105" s="173" t="s">
        <v>327</v>
      </c>
      <c r="AC105" s="173" t="s">
        <v>327</v>
      </c>
      <c r="AD105" s="173" t="s">
        <v>327</v>
      </c>
      <c r="AE105" s="173" t="s">
        <v>327</v>
      </c>
      <c r="AF105" s="186" t="s">
        <v>173</v>
      </c>
    </row>
    <row r="106" spans="1:32" ht="27.75" customHeight="1">
      <c r="A106" s="517" t="s">
        <v>627</v>
      </c>
      <c r="B106" s="207" t="s">
        <v>331</v>
      </c>
      <c r="C106" s="172" t="s">
        <v>331</v>
      </c>
      <c r="D106" s="172" t="s">
        <v>14</v>
      </c>
      <c r="E106" s="172" t="s">
        <v>14</v>
      </c>
      <c r="F106" s="174" t="s">
        <v>325</v>
      </c>
      <c r="G106" s="174" t="s">
        <v>325</v>
      </c>
      <c r="H106" s="174" t="s">
        <v>325</v>
      </c>
      <c r="I106" s="174" t="s">
        <v>325</v>
      </c>
      <c r="J106" s="294" t="s">
        <v>325</v>
      </c>
      <c r="K106" s="171" t="s">
        <v>173</v>
      </c>
      <c r="L106" s="171" t="s">
        <v>173</v>
      </c>
      <c r="M106" s="183" t="s">
        <v>327</v>
      </c>
      <c r="N106" s="183" t="s">
        <v>327</v>
      </c>
      <c r="O106" s="183" t="s">
        <v>327</v>
      </c>
      <c r="P106" s="200" t="s">
        <v>173</v>
      </c>
      <c r="Q106" s="183" t="s">
        <v>327</v>
      </c>
      <c r="R106" s="171" t="s">
        <v>173</v>
      </c>
      <c r="S106" s="171" t="s">
        <v>173</v>
      </c>
      <c r="T106" s="174" t="s">
        <v>325</v>
      </c>
      <c r="U106" s="174" t="s">
        <v>325</v>
      </c>
      <c r="V106" s="174" t="s">
        <v>325</v>
      </c>
      <c r="W106" s="174" t="s">
        <v>325</v>
      </c>
      <c r="X106" s="174" t="s">
        <v>325</v>
      </c>
      <c r="Y106" s="171" t="s">
        <v>173</v>
      </c>
      <c r="Z106" s="171" t="s">
        <v>173</v>
      </c>
      <c r="AA106" s="172" t="s">
        <v>331</v>
      </c>
      <c r="AB106" s="172" t="s">
        <v>331</v>
      </c>
      <c r="AC106" s="172" t="s">
        <v>331</v>
      </c>
      <c r="AD106" s="172" t="s">
        <v>331</v>
      </c>
      <c r="AE106" s="172" t="s">
        <v>331</v>
      </c>
      <c r="AF106" s="232" t="s">
        <v>14</v>
      </c>
    </row>
    <row r="107" spans="1:32" ht="27.75" customHeight="1">
      <c r="A107" s="518" t="s">
        <v>360</v>
      </c>
      <c r="B107" s="221" t="s">
        <v>325</v>
      </c>
      <c r="C107" s="174" t="s">
        <v>325</v>
      </c>
      <c r="D107" s="171" t="s">
        <v>173</v>
      </c>
      <c r="E107" s="171" t="s">
        <v>173</v>
      </c>
      <c r="F107" s="172" t="s">
        <v>331</v>
      </c>
      <c r="G107" s="172" t="s">
        <v>331</v>
      </c>
      <c r="H107" s="172" t="s">
        <v>331</v>
      </c>
      <c r="I107" s="172" t="s">
        <v>331</v>
      </c>
      <c r="J107" s="172" t="s">
        <v>331</v>
      </c>
      <c r="K107" s="172" t="s">
        <v>14</v>
      </c>
      <c r="L107" s="172" t="s">
        <v>14</v>
      </c>
      <c r="M107" s="174" t="s">
        <v>325</v>
      </c>
      <c r="N107" s="174" t="s">
        <v>325</v>
      </c>
      <c r="O107" s="174" t="s">
        <v>325</v>
      </c>
      <c r="P107" s="200" t="s">
        <v>173</v>
      </c>
      <c r="Q107" s="174" t="s">
        <v>325</v>
      </c>
      <c r="R107" s="171" t="s">
        <v>173</v>
      </c>
      <c r="S107" s="171" t="s">
        <v>173</v>
      </c>
      <c r="T107" s="183" t="s">
        <v>327</v>
      </c>
      <c r="U107" s="183" t="s">
        <v>327</v>
      </c>
      <c r="V107" s="183" t="s">
        <v>327</v>
      </c>
      <c r="W107" s="488" t="s">
        <v>9</v>
      </c>
      <c r="X107" s="488" t="s">
        <v>9</v>
      </c>
      <c r="Y107" s="488" t="s">
        <v>9</v>
      </c>
      <c r="Z107" s="488" t="s">
        <v>9</v>
      </c>
      <c r="AA107" s="488" t="s">
        <v>9</v>
      </c>
      <c r="AB107" s="488" t="s">
        <v>9</v>
      </c>
      <c r="AC107" s="488" t="s">
        <v>9</v>
      </c>
      <c r="AD107" s="488" t="s">
        <v>9</v>
      </c>
      <c r="AE107" s="488" t="s">
        <v>9</v>
      </c>
      <c r="AF107" s="510" t="s">
        <v>9</v>
      </c>
    </row>
    <row r="108" spans="1:32" ht="27.75" customHeight="1">
      <c r="A108" s="517" t="s">
        <v>363</v>
      </c>
      <c r="B108" s="220" t="s">
        <v>327</v>
      </c>
      <c r="C108" s="183" t="s">
        <v>327</v>
      </c>
      <c r="D108" s="171"/>
      <c r="E108" s="171"/>
      <c r="F108" s="170" t="s">
        <v>329</v>
      </c>
      <c r="G108" s="170" t="s">
        <v>329</v>
      </c>
      <c r="H108" s="170" t="s">
        <v>329</v>
      </c>
      <c r="I108" s="170" t="s">
        <v>329</v>
      </c>
      <c r="J108" s="170" t="s">
        <v>329</v>
      </c>
      <c r="K108" s="171"/>
      <c r="L108" s="171"/>
      <c r="M108" s="464" t="s">
        <v>329</v>
      </c>
      <c r="N108" s="464" t="s">
        <v>329</v>
      </c>
      <c r="O108" s="183" t="s">
        <v>327</v>
      </c>
      <c r="P108" s="200" t="s">
        <v>173</v>
      </c>
      <c r="Q108" s="519" t="s">
        <v>331</v>
      </c>
      <c r="R108" s="171" t="s">
        <v>173</v>
      </c>
      <c r="S108" s="171" t="s">
        <v>173</v>
      </c>
      <c r="T108" s="170" t="s">
        <v>329</v>
      </c>
      <c r="U108" s="170" t="s">
        <v>329</v>
      </c>
      <c r="V108" s="170" t="s">
        <v>329</v>
      </c>
      <c r="W108" s="170" t="s">
        <v>329</v>
      </c>
      <c r="X108" s="170" t="s">
        <v>329</v>
      </c>
      <c r="Y108" s="171"/>
      <c r="Z108" s="171"/>
      <c r="AA108" s="173" t="s">
        <v>327</v>
      </c>
      <c r="AB108" s="173" t="s">
        <v>327</v>
      </c>
      <c r="AC108" s="173" t="s">
        <v>327</v>
      </c>
      <c r="AD108" s="294" t="s">
        <v>327</v>
      </c>
      <c r="AE108" s="173" t="s">
        <v>327</v>
      </c>
      <c r="AF108" s="186"/>
    </row>
    <row r="109" spans="1:32" ht="27.75" customHeight="1">
      <c r="A109" s="520" t="s">
        <v>364</v>
      </c>
      <c r="B109" s="521" t="s">
        <v>9</v>
      </c>
      <c r="C109" s="498" t="s">
        <v>9</v>
      </c>
      <c r="D109" s="176" t="s">
        <v>173</v>
      </c>
      <c r="E109" s="176" t="s">
        <v>173</v>
      </c>
      <c r="F109" s="498" t="s">
        <v>9</v>
      </c>
      <c r="G109" s="498" t="s">
        <v>9</v>
      </c>
      <c r="H109" s="498" t="s">
        <v>9</v>
      </c>
      <c r="I109" s="498" t="s">
        <v>9</v>
      </c>
      <c r="J109" s="498" t="s">
        <v>9</v>
      </c>
      <c r="K109" s="176"/>
      <c r="L109" s="176"/>
      <c r="M109" s="177" t="s">
        <v>331</v>
      </c>
      <c r="N109" s="177" t="s">
        <v>331</v>
      </c>
      <c r="O109" s="177" t="s">
        <v>331</v>
      </c>
      <c r="P109" s="522" t="s">
        <v>173</v>
      </c>
      <c r="Q109" s="498" t="s">
        <v>9</v>
      </c>
      <c r="R109" s="176" t="s">
        <v>173</v>
      </c>
      <c r="S109" s="176" t="s">
        <v>173</v>
      </c>
      <c r="T109" s="228" t="s">
        <v>331</v>
      </c>
      <c r="U109" s="228" t="s">
        <v>331</v>
      </c>
      <c r="V109" s="228" t="s">
        <v>331</v>
      </c>
      <c r="W109" s="228" t="s">
        <v>331</v>
      </c>
      <c r="X109" s="228" t="s">
        <v>331</v>
      </c>
      <c r="Y109" s="228" t="s">
        <v>14</v>
      </c>
      <c r="Z109" s="228" t="s">
        <v>14</v>
      </c>
      <c r="AA109" s="178" t="s">
        <v>325</v>
      </c>
      <c r="AB109" s="178" t="s">
        <v>325</v>
      </c>
      <c r="AC109" s="463" t="s">
        <v>325</v>
      </c>
      <c r="AD109" s="178" t="s">
        <v>325</v>
      </c>
      <c r="AE109" s="178" t="s">
        <v>325</v>
      </c>
      <c r="AF109" s="187" t="s">
        <v>173</v>
      </c>
    </row>
    <row r="111" spans="1:32" ht="27.75" customHeight="1">
      <c r="B111" s="970" t="s">
        <v>428</v>
      </c>
      <c r="C111" s="971"/>
      <c r="D111" s="971"/>
      <c r="E111" s="971"/>
      <c r="F111" s="971"/>
      <c r="G111" s="971"/>
      <c r="H111" s="971"/>
      <c r="I111" s="971"/>
      <c r="J111" s="971"/>
      <c r="K111" s="971"/>
      <c r="L111" s="971"/>
      <c r="M111" s="971"/>
      <c r="N111" s="971"/>
      <c r="O111" s="971"/>
      <c r="P111" s="971"/>
      <c r="Q111" s="971"/>
      <c r="R111" s="971"/>
      <c r="S111" s="971"/>
      <c r="T111" s="971"/>
      <c r="U111" s="971"/>
      <c r="V111" s="971"/>
      <c r="W111" s="971"/>
      <c r="X111" s="971"/>
      <c r="Y111" s="971"/>
      <c r="Z111" s="971"/>
      <c r="AA111" s="971"/>
      <c r="AB111" s="971"/>
      <c r="AC111" s="971"/>
      <c r="AD111" s="971"/>
      <c r="AE111" s="972"/>
    </row>
    <row r="112" spans="1:32" ht="27.75" customHeight="1">
      <c r="A112" s="973" t="s">
        <v>341</v>
      </c>
      <c r="B112" s="235" t="s">
        <v>85</v>
      </c>
      <c r="C112" s="181" t="s">
        <v>86</v>
      </c>
      <c r="D112" s="181" t="s">
        <v>87</v>
      </c>
      <c r="E112" s="181" t="s">
        <v>44</v>
      </c>
      <c r="F112" s="181" t="s">
        <v>28</v>
      </c>
      <c r="G112" s="181" t="s">
        <v>9</v>
      </c>
      <c r="H112" s="181" t="s">
        <v>84</v>
      </c>
      <c r="I112" s="169" t="s">
        <v>85</v>
      </c>
      <c r="J112" s="181" t="s">
        <v>86</v>
      </c>
      <c r="K112" s="181" t="s">
        <v>87</v>
      </c>
      <c r="L112" s="181" t="s">
        <v>44</v>
      </c>
      <c r="M112" s="181" t="s">
        <v>28</v>
      </c>
      <c r="N112" s="181" t="s">
        <v>9</v>
      </c>
      <c r="O112" s="181" t="s">
        <v>84</v>
      </c>
      <c r="P112" s="169" t="s">
        <v>85</v>
      </c>
      <c r="Q112" s="181" t="s">
        <v>86</v>
      </c>
      <c r="R112" s="181" t="s">
        <v>87</v>
      </c>
      <c r="S112" s="181" t="s">
        <v>44</v>
      </c>
      <c r="T112" s="181" t="s">
        <v>28</v>
      </c>
      <c r="U112" s="181" t="s">
        <v>9</v>
      </c>
      <c r="V112" s="181" t="s">
        <v>84</v>
      </c>
      <c r="W112" s="169" t="s">
        <v>85</v>
      </c>
      <c r="X112" s="181" t="s">
        <v>86</v>
      </c>
      <c r="Y112" s="181" t="s">
        <v>87</v>
      </c>
      <c r="Z112" s="181" t="s">
        <v>44</v>
      </c>
      <c r="AA112" s="181" t="s">
        <v>28</v>
      </c>
      <c r="AB112" s="181" t="s">
        <v>9</v>
      </c>
      <c r="AC112" s="181" t="s">
        <v>84</v>
      </c>
      <c r="AD112" s="169" t="s">
        <v>85</v>
      </c>
      <c r="AE112" s="182" t="s">
        <v>86</v>
      </c>
    </row>
    <row r="113" spans="1:32" ht="27.75" customHeight="1">
      <c r="A113" s="974"/>
      <c r="B113" s="229">
        <v>1</v>
      </c>
      <c r="C113" s="226">
        <v>2</v>
      </c>
      <c r="D113" s="226">
        <v>3</v>
      </c>
      <c r="E113" s="226">
        <v>4</v>
      </c>
      <c r="F113" s="226">
        <v>5</v>
      </c>
      <c r="G113" s="226">
        <v>6</v>
      </c>
      <c r="H113" s="216">
        <v>7</v>
      </c>
      <c r="I113" s="216">
        <v>8</v>
      </c>
      <c r="J113" s="226">
        <v>9</v>
      </c>
      <c r="K113" s="226">
        <v>10</v>
      </c>
      <c r="L113" s="226">
        <v>11</v>
      </c>
      <c r="M113" s="226">
        <v>12</v>
      </c>
      <c r="N113" s="226">
        <v>13</v>
      </c>
      <c r="O113" s="216">
        <v>14</v>
      </c>
      <c r="P113" s="216">
        <v>15</v>
      </c>
      <c r="Q113" s="226">
        <v>16</v>
      </c>
      <c r="R113" s="226">
        <v>17</v>
      </c>
      <c r="S113" s="226">
        <v>18</v>
      </c>
      <c r="T113" s="226">
        <v>19</v>
      </c>
      <c r="U113" s="226">
        <v>20</v>
      </c>
      <c r="V113" s="216">
        <v>21</v>
      </c>
      <c r="W113" s="216">
        <v>22</v>
      </c>
      <c r="X113" s="226">
        <v>23</v>
      </c>
      <c r="Y113" s="226">
        <v>24</v>
      </c>
      <c r="Z113" s="226">
        <v>25</v>
      </c>
      <c r="AA113" s="226">
        <v>26</v>
      </c>
      <c r="AB113" s="226">
        <v>27</v>
      </c>
      <c r="AC113" s="216">
        <v>28</v>
      </c>
      <c r="AD113" s="216">
        <v>29</v>
      </c>
      <c r="AE113" s="227">
        <v>30</v>
      </c>
    </row>
    <row r="114" spans="1:32" ht="27.75" customHeight="1">
      <c r="A114" s="523" t="s">
        <v>345</v>
      </c>
      <c r="B114" s="230" t="s">
        <v>173</v>
      </c>
      <c r="C114" s="513" t="s">
        <v>9</v>
      </c>
      <c r="D114" s="513" t="s">
        <v>9</v>
      </c>
      <c r="E114" s="513" t="s">
        <v>9</v>
      </c>
      <c r="F114" s="513" t="s">
        <v>9</v>
      </c>
      <c r="G114" s="513" t="s">
        <v>9</v>
      </c>
      <c r="H114" s="513" t="s">
        <v>9</v>
      </c>
      <c r="I114" s="513" t="s">
        <v>9</v>
      </c>
      <c r="J114" s="202" t="s">
        <v>329</v>
      </c>
      <c r="K114" s="202" t="s">
        <v>329</v>
      </c>
      <c r="L114" s="202" t="s">
        <v>329</v>
      </c>
      <c r="M114" s="202" t="s">
        <v>329</v>
      </c>
      <c r="N114" s="202" t="s">
        <v>329</v>
      </c>
      <c r="O114" s="203" t="s">
        <v>173</v>
      </c>
      <c r="P114" s="203" t="s">
        <v>173</v>
      </c>
      <c r="Q114" s="202" t="s">
        <v>329</v>
      </c>
      <c r="R114" s="202" t="s">
        <v>329</v>
      </c>
      <c r="S114" s="202" t="s">
        <v>329</v>
      </c>
      <c r="T114" s="202" t="s">
        <v>329</v>
      </c>
      <c r="U114" s="202" t="s">
        <v>329</v>
      </c>
      <c r="V114" s="203" t="s">
        <v>173</v>
      </c>
      <c r="W114" s="524" t="s">
        <v>648</v>
      </c>
      <c r="X114" s="202" t="s">
        <v>329</v>
      </c>
      <c r="Y114" s="202" t="s">
        <v>329</v>
      </c>
      <c r="Z114" s="202" t="s">
        <v>329</v>
      </c>
      <c r="AA114" s="202" t="s">
        <v>329</v>
      </c>
      <c r="AB114" s="202" t="s">
        <v>329</v>
      </c>
      <c r="AC114" s="203" t="s">
        <v>173</v>
      </c>
      <c r="AD114" s="203" t="s">
        <v>173</v>
      </c>
      <c r="AE114" s="204" t="s">
        <v>329</v>
      </c>
    </row>
    <row r="115" spans="1:32" ht="27.75" customHeight="1">
      <c r="A115" s="525" t="s">
        <v>347</v>
      </c>
      <c r="B115" s="231" t="s">
        <v>173</v>
      </c>
      <c r="C115" s="170" t="s">
        <v>329</v>
      </c>
      <c r="D115" s="170" t="s">
        <v>329</v>
      </c>
      <c r="E115" s="170" t="s">
        <v>329</v>
      </c>
      <c r="F115" s="170" t="s">
        <v>329</v>
      </c>
      <c r="G115" s="170" t="s">
        <v>329</v>
      </c>
      <c r="H115" s="171" t="s">
        <v>173</v>
      </c>
      <c r="I115" s="171" t="s">
        <v>173</v>
      </c>
      <c r="J115" s="170" t="s">
        <v>329</v>
      </c>
      <c r="K115" s="170" t="s">
        <v>329</v>
      </c>
      <c r="L115" s="170" t="s">
        <v>329</v>
      </c>
      <c r="M115" s="170" t="s">
        <v>329</v>
      </c>
      <c r="N115" s="170" t="s">
        <v>329</v>
      </c>
      <c r="O115" s="171" t="s">
        <v>173</v>
      </c>
      <c r="P115" s="171" t="s">
        <v>173</v>
      </c>
      <c r="Q115" s="170" t="s">
        <v>329</v>
      </c>
      <c r="R115" s="170" t="s">
        <v>329</v>
      </c>
      <c r="S115" s="170" t="s">
        <v>329</v>
      </c>
      <c r="T115" s="170" t="s">
        <v>329</v>
      </c>
      <c r="U115" s="170" t="s">
        <v>329</v>
      </c>
      <c r="V115" s="171" t="s">
        <v>173</v>
      </c>
      <c r="W115" s="171" t="s">
        <v>173</v>
      </c>
      <c r="X115" s="170" t="s">
        <v>329</v>
      </c>
      <c r="Y115" s="170" t="s">
        <v>329</v>
      </c>
      <c r="Z115" s="170" t="s">
        <v>329</v>
      </c>
      <c r="AA115" s="170" t="s">
        <v>329</v>
      </c>
      <c r="AB115" s="170" t="s">
        <v>329</v>
      </c>
      <c r="AC115" s="171" t="s">
        <v>173</v>
      </c>
      <c r="AD115" s="171" t="s">
        <v>173</v>
      </c>
      <c r="AE115" s="206" t="s">
        <v>329</v>
      </c>
    </row>
    <row r="116" spans="1:32" ht="27.75" customHeight="1">
      <c r="A116" s="526" t="s">
        <v>349</v>
      </c>
      <c r="B116" s="231" t="s">
        <v>173</v>
      </c>
      <c r="C116" s="173" t="s">
        <v>327</v>
      </c>
      <c r="D116" s="173" t="s">
        <v>327</v>
      </c>
      <c r="E116" s="297" t="s">
        <v>794</v>
      </c>
      <c r="F116" s="173" t="s">
        <v>327</v>
      </c>
      <c r="G116" s="173" t="s">
        <v>327</v>
      </c>
      <c r="H116" s="297" t="s">
        <v>795</v>
      </c>
      <c r="I116" s="171" t="s">
        <v>173</v>
      </c>
      <c r="J116" s="173" t="s">
        <v>327</v>
      </c>
      <c r="K116" s="173" t="s">
        <v>327</v>
      </c>
      <c r="L116" s="297" t="s">
        <v>796</v>
      </c>
      <c r="M116" s="173" t="s">
        <v>327</v>
      </c>
      <c r="N116" s="173" t="s">
        <v>327</v>
      </c>
      <c r="O116" s="297" t="s">
        <v>797</v>
      </c>
      <c r="P116" s="171" t="s">
        <v>173</v>
      </c>
      <c r="Q116" s="173" t="s">
        <v>327</v>
      </c>
      <c r="R116" s="173" t="s">
        <v>327</v>
      </c>
      <c r="S116" s="173" t="s">
        <v>327</v>
      </c>
      <c r="T116" s="173" t="s">
        <v>327</v>
      </c>
      <c r="U116" s="488" t="s">
        <v>9</v>
      </c>
      <c r="V116" s="488" t="s">
        <v>9</v>
      </c>
      <c r="W116" s="488" t="s">
        <v>9</v>
      </c>
      <c r="X116" s="173" t="s">
        <v>327</v>
      </c>
      <c r="Y116" s="173" t="s">
        <v>327</v>
      </c>
      <c r="Z116" s="297" t="s">
        <v>638</v>
      </c>
      <c r="AA116" s="173" t="s">
        <v>327</v>
      </c>
      <c r="AB116" s="173" t="s">
        <v>327</v>
      </c>
      <c r="AC116" s="171" t="s">
        <v>173</v>
      </c>
      <c r="AD116" s="171" t="s">
        <v>173</v>
      </c>
      <c r="AE116" s="208" t="s">
        <v>327</v>
      </c>
    </row>
    <row r="117" spans="1:32" ht="27.75" customHeight="1">
      <c r="A117" s="527" t="s">
        <v>353</v>
      </c>
      <c r="B117" s="231" t="s">
        <v>173</v>
      </c>
      <c r="C117" s="170" t="s">
        <v>329</v>
      </c>
      <c r="D117" s="170" t="s">
        <v>329</v>
      </c>
      <c r="E117" s="170" t="s">
        <v>329</v>
      </c>
      <c r="F117" s="170" t="s">
        <v>329</v>
      </c>
      <c r="G117" s="170" t="s">
        <v>329</v>
      </c>
      <c r="H117" s="171" t="s">
        <v>173</v>
      </c>
      <c r="I117" s="171" t="s">
        <v>173</v>
      </c>
      <c r="J117" s="173" t="s">
        <v>327</v>
      </c>
      <c r="K117" s="173" t="s">
        <v>327</v>
      </c>
      <c r="L117" s="173" t="s">
        <v>327</v>
      </c>
      <c r="M117" s="173" t="s">
        <v>327</v>
      </c>
      <c r="N117" s="173" t="s">
        <v>327</v>
      </c>
      <c r="O117" s="171" t="s">
        <v>173</v>
      </c>
      <c r="P117" s="171" t="s">
        <v>173</v>
      </c>
      <c r="Q117" s="488" t="s">
        <v>9</v>
      </c>
      <c r="R117" s="488" t="s">
        <v>9</v>
      </c>
      <c r="S117" s="488" t="s">
        <v>9</v>
      </c>
      <c r="T117" s="488" t="s">
        <v>9</v>
      </c>
      <c r="U117" s="488" t="s">
        <v>9</v>
      </c>
      <c r="V117" s="488" t="s">
        <v>9</v>
      </c>
      <c r="W117" s="488" t="s">
        <v>9</v>
      </c>
      <c r="X117" s="173" t="s">
        <v>327</v>
      </c>
      <c r="Y117" s="173" t="s">
        <v>327</v>
      </c>
      <c r="Z117" s="173" t="s">
        <v>327</v>
      </c>
      <c r="AA117" s="173" t="s">
        <v>327</v>
      </c>
      <c r="AB117" s="173" t="s">
        <v>327</v>
      </c>
      <c r="AC117" s="171" t="s">
        <v>173</v>
      </c>
      <c r="AD117" s="171" t="s">
        <v>173</v>
      </c>
      <c r="AE117" s="528" t="s">
        <v>12</v>
      </c>
    </row>
    <row r="118" spans="1:32" ht="27.75" customHeight="1">
      <c r="A118" s="529" t="s">
        <v>627</v>
      </c>
      <c r="B118" s="207" t="s">
        <v>14</v>
      </c>
      <c r="C118" s="174" t="s">
        <v>325</v>
      </c>
      <c r="D118" s="174" t="s">
        <v>325</v>
      </c>
      <c r="E118" s="174" t="s">
        <v>325</v>
      </c>
      <c r="F118" s="174" t="s">
        <v>325</v>
      </c>
      <c r="G118" s="297" t="s">
        <v>798</v>
      </c>
      <c r="H118" s="171" t="s">
        <v>173</v>
      </c>
      <c r="I118" s="171" t="s">
        <v>173</v>
      </c>
      <c r="J118" s="183" t="s">
        <v>327</v>
      </c>
      <c r="K118" s="183" t="s">
        <v>327</v>
      </c>
      <c r="L118" s="183" t="s">
        <v>327</v>
      </c>
      <c r="M118" s="183" t="s">
        <v>327</v>
      </c>
      <c r="N118" s="183" t="s">
        <v>327</v>
      </c>
      <c r="O118" s="171" t="s">
        <v>173</v>
      </c>
      <c r="P118" s="171" t="s">
        <v>173</v>
      </c>
      <c r="Q118" s="170" t="s">
        <v>329</v>
      </c>
      <c r="R118" s="170" t="s">
        <v>329</v>
      </c>
      <c r="S118" s="170" t="s">
        <v>329</v>
      </c>
      <c r="T118" s="170" t="s">
        <v>329</v>
      </c>
      <c r="U118" s="170" t="s">
        <v>329</v>
      </c>
      <c r="V118" s="297" t="s">
        <v>799</v>
      </c>
      <c r="W118" s="171" t="s">
        <v>173</v>
      </c>
      <c r="X118" s="172" t="s">
        <v>331</v>
      </c>
      <c r="Y118" s="172" t="s">
        <v>331</v>
      </c>
      <c r="Z118" s="172" t="s">
        <v>331</v>
      </c>
      <c r="AA118" s="172" t="s">
        <v>331</v>
      </c>
      <c r="AB118" s="172" t="s">
        <v>331</v>
      </c>
      <c r="AC118" s="172" t="s">
        <v>14</v>
      </c>
      <c r="AD118" s="172" t="s">
        <v>14</v>
      </c>
      <c r="AE118" s="223" t="s">
        <v>325</v>
      </c>
    </row>
    <row r="119" spans="1:32" ht="27.75" customHeight="1">
      <c r="A119" s="530" t="s">
        <v>360</v>
      </c>
      <c r="B119" s="244" t="s">
        <v>9</v>
      </c>
      <c r="C119" s="488" t="s">
        <v>9</v>
      </c>
      <c r="D119" s="488" t="s">
        <v>9</v>
      </c>
      <c r="E119" s="488" t="s">
        <v>9</v>
      </c>
      <c r="F119" s="488" t="s">
        <v>9</v>
      </c>
      <c r="G119" s="183" t="s">
        <v>327</v>
      </c>
      <c r="H119" s="171" t="s">
        <v>173</v>
      </c>
      <c r="I119" s="171" t="s">
        <v>173</v>
      </c>
      <c r="J119" s="170" t="s">
        <v>329</v>
      </c>
      <c r="K119" s="170" t="s">
        <v>329</v>
      </c>
      <c r="L119" s="170" t="s">
        <v>329</v>
      </c>
      <c r="M119" s="170" t="s">
        <v>329</v>
      </c>
      <c r="N119" s="170" t="s">
        <v>329</v>
      </c>
      <c r="O119" s="171" t="s">
        <v>173</v>
      </c>
      <c r="P119" s="171" t="s">
        <v>173</v>
      </c>
      <c r="Q119" s="172" t="s">
        <v>331</v>
      </c>
      <c r="R119" s="172" t="s">
        <v>331</v>
      </c>
      <c r="S119" s="172" t="s">
        <v>331</v>
      </c>
      <c r="T119" s="172" t="s">
        <v>331</v>
      </c>
      <c r="U119" s="172" t="s">
        <v>331</v>
      </c>
      <c r="V119" s="172" t="s">
        <v>14</v>
      </c>
      <c r="W119" s="172" t="s">
        <v>14</v>
      </c>
      <c r="X119" s="174" t="s">
        <v>325</v>
      </c>
      <c r="Y119" s="174" t="s">
        <v>325</v>
      </c>
      <c r="Z119" s="174" t="s">
        <v>325</v>
      </c>
      <c r="AA119" s="174" t="s">
        <v>325</v>
      </c>
      <c r="AB119" s="174" t="s">
        <v>325</v>
      </c>
      <c r="AC119" s="171" t="s">
        <v>173</v>
      </c>
      <c r="AD119" s="171" t="s">
        <v>173</v>
      </c>
      <c r="AE119" s="232" t="s">
        <v>331</v>
      </c>
    </row>
    <row r="120" spans="1:32" ht="27.75" customHeight="1">
      <c r="A120" s="529" t="s">
        <v>363</v>
      </c>
      <c r="B120" s="231"/>
      <c r="C120" s="170" t="s">
        <v>383</v>
      </c>
      <c r="D120" s="170" t="s">
        <v>383</v>
      </c>
      <c r="E120" s="170" t="s">
        <v>383</v>
      </c>
      <c r="F120" s="297" t="s">
        <v>800</v>
      </c>
      <c r="G120" s="170" t="s">
        <v>383</v>
      </c>
      <c r="H120" s="297" t="s">
        <v>795</v>
      </c>
      <c r="I120" s="171"/>
      <c r="J120" s="172" t="s">
        <v>331</v>
      </c>
      <c r="K120" s="172" t="s">
        <v>331</v>
      </c>
      <c r="L120" s="172" t="s">
        <v>331</v>
      </c>
      <c r="M120" s="172" t="s">
        <v>331</v>
      </c>
      <c r="N120" s="172" t="s">
        <v>331</v>
      </c>
      <c r="O120" s="172" t="s">
        <v>14</v>
      </c>
      <c r="P120" s="172" t="s">
        <v>14</v>
      </c>
      <c r="Q120" s="174" t="s">
        <v>325</v>
      </c>
      <c r="R120" s="174" t="s">
        <v>325</v>
      </c>
      <c r="S120" s="174" t="s">
        <v>325</v>
      </c>
      <c r="T120" s="174" t="s">
        <v>325</v>
      </c>
      <c r="U120" s="174" t="s">
        <v>325</v>
      </c>
      <c r="V120" s="171" t="s">
        <v>173</v>
      </c>
      <c r="W120" s="171" t="s">
        <v>173</v>
      </c>
      <c r="X120" s="173" t="s">
        <v>327</v>
      </c>
      <c r="Y120" s="173" t="s">
        <v>327</v>
      </c>
      <c r="Z120" s="173" t="s">
        <v>327</v>
      </c>
      <c r="AA120" s="173" t="s">
        <v>327</v>
      </c>
      <c r="AB120" s="173" t="s">
        <v>327</v>
      </c>
      <c r="AC120" s="171"/>
      <c r="AD120" s="171"/>
      <c r="AE120" s="206" t="s">
        <v>383</v>
      </c>
    </row>
    <row r="121" spans="1:32" ht="27.75" customHeight="1">
      <c r="A121" s="531" t="s">
        <v>364</v>
      </c>
      <c r="B121" s="233" t="s">
        <v>173</v>
      </c>
      <c r="C121" s="228" t="s">
        <v>331</v>
      </c>
      <c r="D121" s="228" t="s">
        <v>331</v>
      </c>
      <c r="E121" s="228" t="s">
        <v>331</v>
      </c>
      <c r="F121" s="228" t="s">
        <v>331</v>
      </c>
      <c r="G121" s="228" t="s">
        <v>331</v>
      </c>
      <c r="H121" s="228" t="s">
        <v>14</v>
      </c>
      <c r="I121" s="228" t="s">
        <v>14</v>
      </c>
      <c r="J121" s="298" t="s">
        <v>801</v>
      </c>
      <c r="K121" s="178" t="s">
        <v>325</v>
      </c>
      <c r="L121" s="178" t="s">
        <v>325</v>
      </c>
      <c r="M121" s="178" t="s">
        <v>325</v>
      </c>
      <c r="N121" s="178" t="s">
        <v>325</v>
      </c>
      <c r="O121" s="176"/>
      <c r="P121" s="298" t="s">
        <v>802</v>
      </c>
      <c r="Q121" s="184" t="s">
        <v>327</v>
      </c>
      <c r="R121" s="184" t="s">
        <v>327</v>
      </c>
      <c r="S121" s="184" t="s">
        <v>327</v>
      </c>
      <c r="T121" s="184" t="s">
        <v>327</v>
      </c>
      <c r="U121" s="184" t="s">
        <v>327</v>
      </c>
      <c r="V121" s="298" t="s">
        <v>803</v>
      </c>
      <c r="W121" s="176" t="s">
        <v>173</v>
      </c>
      <c r="X121" s="175" t="s">
        <v>329</v>
      </c>
      <c r="Y121" s="175" t="s">
        <v>329</v>
      </c>
      <c r="Z121" s="175" t="s">
        <v>329</v>
      </c>
      <c r="AA121" s="175" t="s">
        <v>329</v>
      </c>
      <c r="AB121" s="175" t="s">
        <v>329</v>
      </c>
      <c r="AC121" s="176" t="s">
        <v>173</v>
      </c>
      <c r="AD121" s="176" t="s">
        <v>173</v>
      </c>
      <c r="AE121" s="532" t="s">
        <v>327</v>
      </c>
    </row>
    <row r="122" spans="1:32" ht="27.75" customHeight="1">
      <c r="AC122" s="96"/>
    </row>
    <row r="123" spans="1:32" ht="27.75" customHeight="1">
      <c r="B123" s="963" t="s">
        <v>429</v>
      </c>
      <c r="C123" s="964"/>
      <c r="D123" s="964"/>
      <c r="E123" s="964"/>
      <c r="F123" s="964"/>
      <c r="G123" s="964"/>
      <c r="H123" s="964"/>
      <c r="I123" s="964"/>
      <c r="J123" s="964"/>
      <c r="K123" s="964"/>
      <c r="L123" s="964"/>
      <c r="M123" s="964"/>
      <c r="N123" s="964"/>
      <c r="O123" s="964"/>
      <c r="P123" s="964"/>
      <c r="Q123" s="964"/>
      <c r="R123" s="964"/>
      <c r="S123" s="964"/>
      <c r="T123" s="964"/>
      <c r="U123" s="964"/>
      <c r="V123" s="964"/>
      <c r="W123" s="964"/>
      <c r="X123" s="964"/>
      <c r="Y123" s="964"/>
      <c r="Z123" s="964"/>
      <c r="AA123" s="964"/>
      <c r="AB123" s="964"/>
      <c r="AC123" s="964"/>
      <c r="AD123" s="964"/>
      <c r="AE123" s="964"/>
      <c r="AF123" s="965"/>
    </row>
    <row r="124" spans="1:32" ht="27.75" customHeight="1">
      <c r="A124" s="973" t="s">
        <v>341</v>
      </c>
      <c r="B124" s="180" t="s">
        <v>87</v>
      </c>
      <c r="C124" s="181" t="s">
        <v>44</v>
      </c>
      <c r="D124" s="181" t="s">
        <v>28</v>
      </c>
      <c r="E124" s="181" t="s">
        <v>9</v>
      </c>
      <c r="F124" s="181" t="s">
        <v>84</v>
      </c>
      <c r="G124" s="169" t="s">
        <v>85</v>
      </c>
      <c r="H124" s="181" t="s">
        <v>86</v>
      </c>
      <c r="I124" s="181" t="s">
        <v>87</v>
      </c>
      <c r="J124" s="181" t="s">
        <v>44</v>
      </c>
      <c r="K124" s="181" t="s">
        <v>28</v>
      </c>
      <c r="L124" s="181" t="s">
        <v>9</v>
      </c>
      <c r="M124" s="181" t="s">
        <v>84</v>
      </c>
      <c r="N124" s="169" t="s">
        <v>85</v>
      </c>
      <c r="O124" s="181" t="s">
        <v>86</v>
      </c>
      <c r="P124" s="181" t="s">
        <v>87</v>
      </c>
      <c r="Q124" s="181" t="s">
        <v>44</v>
      </c>
      <c r="R124" s="181" t="s">
        <v>28</v>
      </c>
      <c r="S124" s="181" t="s">
        <v>9</v>
      </c>
      <c r="T124" s="181" t="s">
        <v>84</v>
      </c>
      <c r="U124" s="169" t="s">
        <v>85</v>
      </c>
      <c r="V124" s="181" t="s">
        <v>86</v>
      </c>
      <c r="W124" s="181" t="s">
        <v>87</v>
      </c>
      <c r="X124" s="181" t="s">
        <v>44</v>
      </c>
      <c r="Y124" s="181" t="s">
        <v>28</v>
      </c>
      <c r="Z124" s="181" t="s">
        <v>9</v>
      </c>
      <c r="AA124" s="181" t="s">
        <v>84</v>
      </c>
      <c r="AB124" s="169" t="s">
        <v>85</v>
      </c>
      <c r="AC124" s="181" t="s">
        <v>86</v>
      </c>
      <c r="AD124" s="181" t="s">
        <v>87</v>
      </c>
      <c r="AE124" s="181" t="s">
        <v>44</v>
      </c>
      <c r="AF124" s="182" t="s">
        <v>28</v>
      </c>
    </row>
    <row r="125" spans="1:32" ht="27.75" customHeight="1">
      <c r="A125" s="975"/>
      <c r="B125" s="225">
        <v>1</v>
      </c>
      <c r="C125" s="226">
        <v>2</v>
      </c>
      <c r="D125" s="226">
        <v>3</v>
      </c>
      <c r="E125" s="226">
        <v>4</v>
      </c>
      <c r="F125" s="216">
        <v>5</v>
      </c>
      <c r="G125" s="216">
        <v>6</v>
      </c>
      <c r="H125" s="226">
        <v>7</v>
      </c>
      <c r="I125" s="226">
        <v>8</v>
      </c>
      <c r="J125" s="226">
        <v>9</v>
      </c>
      <c r="K125" s="226">
        <v>10</v>
      </c>
      <c r="L125" s="226">
        <v>11</v>
      </c>
      <c r="M125" s="216">
        <v>12</v>
      </c>
      <c r="N125" s="216">
        <v>13</v>
      </c>
      <c r="O125" s="226">
        <v>14</v>
      </c>
      <c r="P125" s="226">
        <v>15</v>
      </c>
      <c r="Q125" s="226">
        <v>16</v>
      </c>
      <c r="R125" s="226">
        <v>17</v>
      </c>
      <c r="S125" s="226">
        <v>18</v>
      </c>
      <c r="T125" s="216">
        <v>19</v>
      </c>
      <c r="U125" s="216">
        <v>20</v>
      </c>
      <c r="V125" s="226">
        <v>21</v>
      </c>
      <c r="W125" s="226">
        <v>22</v>
      </c>
      <c r="X125" s="226">
        <v>23</v>
      </c>
      <c r="Y125" s="226">
        <v>24</v>
      </c>
      <c r="Z125" s="226">
        <v>25</v>
      </c>
      <c r="AA125" s="216">
        <v>26</v>
      </c>
      <c r="AB125" s="216">
        <v>27</v>
      </c>
      <c r="AC125" s="226">
        <v>28</v>
      </c>
      <c r="AD125" s="226">
        <v>29</v>
      </c>
      <c r="AE125" s="226">
        <v>30</v>
      </c>
      <c r="AF125" s="227">
        <v>31</v>
      </c>
    </row>
    <row r="126" spans="1:32" ht="27.75" customHeight="1">
      <c r="A126" s="268" t="s">
        <v>345</v>
      </c>
      <c r="B126" s="218" t="s">
        <v>329</v>
      </c>
      <c r="C126" s="202" t="s">
        <v>329</v>
      </c>
      <c r="D126" s="202" t="s">
        <v>329</v>
      </c>
      <c r="E126" s="202" t="s">
        <v>329</v>
      </c>
      <c r="F126" s="203" t="s">
        <v>173</v>
      </c>
      <c r="G126" s="203" t="s">
        <v>173</v>
      </c>
      <c r="H126" s="202" t="s">
        <v>329</v>
      </c>
      <c r="I126" s="202" t="s">
        <v>329</v>
      </c>
      <c r="J126" s="202" t="s">
        <v>329</v>
      </c>
      <c r="K126" s="202" t="s">
        <v>329</v>
      </c>
      <c r="L126" s="202" t="s">
        <v>329</v>
      </c>
      <c r="M126" s="238" t="s">
        <v>173</v>
      </c>
      <c r="N126" s="203" t="s">
        <v>173</v>
      </c>
      <c r="O126" s="202" t="s">
        <v>329</v>
      </c>
      <c r="P126" s="202" t="s">
        <v>329</v>
      </c>
      <c r="Q126" s="202" t="s">
        <v>329</v>
      </c>
      <c r="R126" s="202" t="s">
        <v>329</v>
      </c>
      <c r="S126" s="293" t="s">
        <v>329</v>
      </c>
      <c r="T126" s="203" t="s">
        <v>173</v>
      </c>
      <c r="U126" s="203" t="s">
        <v>173</v>
      </c>
      <c r="V126" s="202" t="s">
        <v>329</v>
      </c>
      <c r="W126" s="202" t="s">
        <v>329</v>
      </c>
      <c r="X126" s="202" t="s">
        <v>329</v>
      </c>
      <c r="Y126" s="202" t="s">
        <v>329</v>
      </c>
      <c r="Z126" s="202" t="s">
        <v>329</v>
      </c>
      <c r="AA126" s="513" t="s">
        <v>9</v>
      </c>
      <c r="AB126" s="513" t="s">
        <v>9</v>
      </c>
      <c r="AC126" s="513" t="s">
        <v>9</v>
      </c>
      <c r="AD126" s="513" t="s">
        <v>9</v>
      </c>
      <c r="AE126" s="202" t="s">
        <v>329</v>
      </c>
      <c r="AF126" s="204" t="s">
        <v>329</v>
      </c>
    </row>
    <row r="127" spans="1:32" ht="27.75" customHeight="1">
      <c r="A127" s="269" t="s">
        <v>347</v>
      </c>
      <c r="B127" s="214" t="s">
        <v>329</v>
      </c>
      <c r="C127" s="170" t="s">
        <v>329</v>
      </c>
      <c r="D127" s="170" t="s">
        <v>329</v>
      </c>
      <c r="E127" s="170" t="s">
        <v>329</v>
      </c>
      <c r="F127" s="171" t="s">
        <v>173</v>
      </c>
      <c r="G127" s="171" t="s">
        <v>173</v>
      </c>
      <c r="H127" s="170" t="s">
        <v>329</v>
      </c>
      <c r="I127" s="170" t="s">
        <v>329</v>
      </c>
      <c r="J127" s="170" t="s">
        <v>329</v>
      </c>
      <c r="K127" s="170" t="s">
        <v>329</v>
      </c>
      <c r="L127" s="170" t="s">
        <v>329</v>
      </c>
      <c r="M127" s="199" t="s">
        <v>173</v>
      </c>
      <c r="N127" s="171" t="s">
        <v>173</v>
      </c>
      <c r="O127" s="170" t="s">
        <v>329</v>
      </c>
      <c r="P127" s="170" t="s">
        <v>329</v>
      </c>
      <c r="Q127" s="170" t="s">
        <v>329</v>
      </c>
      <c r="R127" s="170" t="s">
        <v>329</v>
      </c>
      <c r="S127" s="170" t="s">
        <v>329</v>
      </c>
      <c r="T127" s="171"/>
      <c r="U127" s="171" t="s">
        <v>173</v>
      </c>
      <c r="V127" s="170" t="s">
        <v>329</v>
      </c>
      <c r="W127" s="170" t="s">
        <v>329</v>
      </c>
      <c r="X127" s="170" t="s">
        <v>329</v>
      </c>
      <c r="Y127" s="170" t="s">
        <v>329</v>
      </c>
      <c r="Z127" s="170" t="s">
        <v>329</v>
      </c>
      <c r="AA127" s="171" t="s">
        <v>173</v>
      </c>
      <c r="AB127" s="171" t="s">
        <v>173</v>
      </c>
      <c r="AC127" s="170" t="s">
        <v>329</v>
      </c>
      <c r="AD127" s="170" t="s">
        <v>329</v>
      </c>
      <c r="AE127" s="170" t="s">
        <v>329</v>
      </c>
      <c r="AF127" s="206" t="s">
        <v>329</v>
      </c>
    </row>
    <row r="128" spans="1:32" ht="27.75" customHeight="1">
      <c r="A128" s="270" t="s">
        <v>349</v>
      </c>
      <c r="B128" s="212" t="s">
        <v>327</v>
      </c>
      <c r="C128" s="173" t="s">
        <v>327</v>
      </c>
      <c r="D128" s="173" t="s">
        <v>327</v>
      </c>
      <c r="E128" s="173" t="s">
        <v>327</v>
      </c>
      <c r="F128" s="297" t="s">
        <v>804</v>
      </c>
      <c r="G128" s="171" t="s">
        <v>173</v>
      </c>
      <c r="H128" s="173" t="s">
        <v>327</v>
      </c>
      <c r="I128" s="173" t="s">
        <v>327</v>
      </c>
      <c r="J128" s="173" t="s">
        <v>327</v>
      </c>
      <c r="K128" s="297" t="s">
        <v>796</v>
      </c>
      <c r="L128" s="173" t="s">
        <v>327</v>
      </c>
      <c r="M128" s="200" t="s">
        <v>173</v>
      </c>
      <c r="N128" s="171" t="s">
        <v>173</v>
      </c>
      <c r="O128" s="173" t="s">
        <v>327</v>
      </c>
      <c r="P128" s="173" t="s">
        <v>327</v>
      </c>
      <c r="Q128" s="173" t="s">
        <v>327</v>
      </c>
      <c r="R128" s="173" t="s">
        <v>327</v>
      </c>
      <c r="S128" s="533" t="s">
        <v>327</v>
      </c>
      <c r="T128" s="459" t="s">
        <v>173</v>
      </c>
      <c r="U128" s="459" t="s">
        <v>173</v>
      </c>
      <c r="V128" s="173" t="s">
        <v>327</v>
      </c>
      <c r="W128" s="173" t="s">
        <v>327</v>
      </c>
      <c r="X128" s="173" t="s">
        <v>327</v>
      </c>
      <c r="Y128" s="173" t="s">
        <v>327</v>
      </c>
      <c r="Z128" s="173" t="s">
        <v>327</v>
      </c>
      <c r="AA128" s="171" t="s">
        <v>173</v>
      </c>
      <c r="AB128" s="171" t="s">
        <v>173</v>
      </c>
      <c r="AC128" s="173" t="s">
        <v>327</v>
      </c>
      <c r="AD128" s="173" t="s">
        <v>327</v>
      </c>
      <c r="AE128" s="173" t="s">
        <v>327</v>
      </c>
      <c r="AF128" s="208" t="s">
        <v>327</v>
      </c>
    </row>
    <row r="129" spans="1:32" ht="27.75" customHeight="1">
      <c r="A129" s="271" t="s">
        <v>353</v>
      </c>
      <c r="B129" s="214" t="s">
        <v>329</v>
      </c>
      <c r="C129" s="170" t="s">
        <v>329</v>
      </c>
      <c r="D129" s="170" t="s">
        <v>329</v>
      </c>
      <c r="E129" s="170" t="s">
        <v>329</v>
      </c>
      <c r="F129" s="171" t="s">
        <v>173</v>
      </c>
      <c r="G129" s="171" t="s">
        <v>173</v>
      </c>
      <c r="H129" s="173" t="s">
        <v>327</v>
      </c>
      <c r="I129" s="173" t="s">
        <v>327</v>
      </c>
      <c r="J129" s="173" t="s">
        <v>327</v>
      </c>
      <c r="K129" s="173" t="s">
        <v>327</v>
      </c>
      <c r="L129" s="173" t="s">
        <v>327</v>
      </c>
      <c r="M129" s="199" t="s">
        <v>173</v>
      </c>
      <c r="N129" s="171" t="s">
        <v>173</v>
      </c>
      <c r="O129" s="170" t="s">
        <v>329</v>
      </c>
      <c r="P129" s="170" t="s">
        <v>329</v>
      </c>
      <c r="Q129" s="170" t="s">
        <v>329</v>
      </c>
      <c r="R129" s="534" t="s">
        <v>329</v>
      </c>
      <c r="S129" s="170" t="s">
        <v>329</v>
      </c>
      <c r="T129" s="171" t="s">
        <v>173</v>
      </c>
      <c r="U129" s="171" t="s">
        <v>173</v>
      </c>
      <c r="V129" s="465" t="s">
        <v>327</v>
      </c>
      <c r="W129" s="173" t="s">
        <v>327</v>
      </c>
      <c r="X129" s="173" t="s">
        <v>327</v>
      </c>
      <c r="Y129" s="173" t="s">
        <v>327</v>
      </c>
      <c r="Z129" s="173" t="s">
        <v>327</v>
      </c>
      <c r="AA129" s="488" t="s">
        <v>9</v>
      </c>
      <c r="AB129" s="488" t="s">
        <v>9</v>
      </c>
      <c r="AC129" s="488" t="s">
        <v>9</v>
      </c>
      <c r="AD129" s="488" t="s">
        <v>9</v>
      </c>
      <c r="AE129" s="488" t="s">
        <v>9</v>
      </c>
      <c r="AF129" s="510" t="s">
        <v>9</v>
      </c>
    </row>
    <row r="130" spans="1:32" ht="27.75" customHeight="1">
      <c r="A130" s="272" t="s">
        <v>627</v>
      </c>
      <c r="B130" s="221" t="s">
        <v>325</v>
      </c>
      <c r="C130" s="174" t="s">
        <v>325</v>
      </c>
      <c r="D130" s="174" t="s">
        <v>325</v>
      </c>
      <c r="E130" s="174" t="s">
        <v>325</v>
      </c>
      <c r="F130" s="171" t="s">
        <v>173</v>
      </c>
      <c r="G130" s="171" t="s">
        <v>173</v>
      </c>
      <c r="H130" s="183" t="s">
        <v>327</v>
      </c>
      <c r="I130" s="183" t="s">
        <v>327</v>
      </c>
      <c r="J130" s="183" t="s">
        <v>327</v>
      </c>
      <c r="K130" s="297" t="s">
        <v>805</v>
      </c>
      <c r="L130" s="183" t="s">
        <v>327</v>
      </c>
      <c r="M130" s="200" t="s">
        <v>173</v>
      </c>
      <c r="N130" s="171" t="s">
        <v>173</v>
      </c>
      <c r="O130" s="174" t="s">
        <v>325</v>
      </c>
      <c r="P130" s="174" t="s">
        <v>325</v>
      </c>
      <c r="Q130" s="174" t="s">
        <v>325</v>
      </c>
      <c r="R130" s="535" t="s">
        <v>325</v>
      </c>
      <c r="S130" s="174" t="s">
        <v>325</v>
      </c>
      <c r="T130" s="297" t="s">
        <v>806</v>
      </c>
      <c r="U130" s="171" t="s">
        <v>173</v>
      </c>
      <c r="V130" s="486" t="s">
        <v>331</v>
      </c>
      <c r="W130" s="172" t="s">
        <v>331</v>
      </c>
      <c r="X130" s="172" t="s">
        <v>331</v>
      </c>
      <c r="Y130" s="172" t="s">
        <v>331</v>
      </c>
      <c r="Z130" s="172" t="s">
        <v>331</v>
      </c>
      <c r="AA130" s="172" t="s">
        <v>14</v>
      </c>
      <c r="AB130" s="172" t="s">
        <v>14</v>
      </c>
      <c r="AC130" s="174" t="s">
        <v>325</v>
      </c>
      <c r="AD130" s="174" t="s">
        <v>325</v>
      </c>
      <c r="AE130" s="174" t="s">
        <v>325</v>
      </c>
      <c r="AF130" s="223" t="s">
        <v>325</v>
      </c>
    </row>
    <row r="131" spans="1:32" ht="27.75" customHeight="1">
      <c r="A131" s="273" t="s">
        <v>360</v>
      </c>
      <c r="B131" s="207" t="s">
        <v>331</v>
      </c>
      <c r="C131" s="172" t="s">
        <v>331</v>
      </c>
      <c r="D131" s="172" t="s">
        <v>331</v>
      </c>
      <c r="E131" s="172" t="s">
        <v>331</v>
      </c>
      <c r="F131" s="172" t="s">
        <v>14</v>
      </c>
      <c r="G131" s="172" t="s">
        <v>14</v>
      </c>
      <c r="H131" s="174" t="s">
        <v>325</v>
      </c>
      <c r="I131" s="174" t="s">
        <v>325</v>
      </c>
      <c r="J131" s="174" t="s">
        <v>325</v>
      </c>
      <c r="K131" s="174" t="s">
        <v>325</v>
      </c>
      <c r="L131" s="174" t="s">
        <v>325</v>
      </c>
      <c r="M131" s="200" t="s">
        <v>173</v>
      </c>
      <c r="N131" s="171" t="s">
        <v>173</v>
      </c>
      <c r="O131" s="173" t="s">
        <v>327</v>
      </c>
      <c r="P131" s="173" t="s">
        <v>327</v>
      </c>
      <c r="Q131" s="173" t="s">
        <v>327</v>
      </c>
      <c r="R131" s="536" t="s">
        <v>807</v>
      </c>
      <c r="S131" s="173" t="s">
        <v>327</v>
      </c>
      <c r="T131" s="537" t="s">
        <v>9</v>
      </c>
      <c r="U131" s="537" t="s">
        <v>9</v>
      </c>
      <c r="V131" s="537" t="s">
        <v>9</v>
      </c>
      <c r="W131" s="488" t="s">
        <v>9</v>
      </c>
      <c r="X131" s="488" t="s">
        <v>9</v>
      </c>
      <c r="Y131" s="488" t="s">
        <v>9</v>
      </c>
      <c r="Z131" s="488" t="s">
        <v>9</v>
      </c>
      <c r="AA131" s="488" t="s">
        <v>9</v>
      </c>
      <c r="AB131" s="488" t="s">
        <v>9</v>
      </c>
      <c r="AC131" s="183" t="s">
        <v>327</v>
      </c>
      <c r="AD131" s="183" t="s">
        <v>327</v>
      </c>
      <c r="AE131" s="183" t="s">
        <v>327</v>
      </c>
      <c r="AF131" s="213" t="s">
        <v>327</v>
      </c>
    </row>
    <row r="132" spans="1:32" ht="27.75" customHeight="1">
      <c r="A132" s="272" t="s">
        <v>363</v>
      </c>
      <c r="B132" s="214" t="s">
        <v>383</v>
      </c>
      <c r="C132" s="170" t="s">
        <v>383</v>
      </c>
      <c r="D132" s="170" t="s">
        <v>383</v>
      </c>
      <c r="E132" s="170" t="s">
        <v>383</v>
      </c>
      <c r="F132" s="171"/>
      <c r="G132" s="171"/>
      <c r="H132" s="172" t="s">
        <v>331</v>
      </c>
      <c r="I132" s="172" t="s">
        <v>331</v>
      </c>
      <c r="J132" s="172" t="s">
        <v>331</v>
      </c>
      <c r="K132" s="172" t="s">
        <v>331</v>
      </c>
      <c r="L132" s="172" t="s">
        <v>331</v>
      </c>
      <c r="M132" s="172" t="s">
        <v>14</v>
      </c>
      <c r="N132" s="172" t="s">
        <v>14</v>
      </c>
      <c r="O132" s="170" t="s">
        <v>329</v>
      </c>
      <c r="P132" s="538" t="s">
        <v>336</v>
      </c>
      <c r="Q132" s="538" t="s">
        <v>336</v>
      </c>
      <c r="R132" s="538" t="s">
        <v>336</v>
      </c>
      <c r="S132" s="539" t="s">
        <v>336</v>
      </c>
      <c r="T132" s="539" t="s">
        <v>336</v>
      </c>
      <c r="U132" s="539" t="s">
        <v>336</v>
      </c>
      <c r="V132" s="538" t="s">
        <v>336</v>
      </c>
      <c r="W132" s="173" t="s">
        <v>327</v>
      </c>
      <c r="X132" s="173" t="s">
        <v>327</v>
      </c>
      <c r="Y132" s="297" t="s">
        <v>808</v>
      </c>
      <c r="Z132" s="173" t="s">
        <v>327</v>
      </c>
      <c r="AA132" s="171"/>
      <c r="AB132" s="171"/>
      <c r="AC132" s="170" t="s">
        <v>383</v>
      </c>
      <c r="AD132" s="170" t="s">
        <v>383</v>
      </c>
      <c r="AE132" s="170" t="s">
        <v>383</v>
      </c>
      <c r="AF132" s="206" t="s">
        <v>383</v>
      </c>
    </row>
    <row r="133" spans="1:32" ht="27.75" customHeight="1">
      <c r="A133" s="274" t="s">
        <v>364</v>
      </c>
      <c r="B133" s="222" t="s">
        <v>327</v>
      </c>
      <c r="C133" s="184" t="s">
        <v>327</v>
      </c>
      <c r="D133" s="184" t="s">
        <v>327</v>
      </c>
      <c r="E133" s="184" t="s">
        <v>327</v>
      </c>
      <c r="F133" s="176" t="s">
        <v>173</v>
      </c>
      <c r="G133" s="298" t="s">
        <v>809</v>
      </c>
      <c r="H133" s="175" t="s">
        <v>329</v>
      </c>
      <c r="I133" s="175" t="s">
        <v>329</v>
      </c>
      <c r="J133" s="175" t="s">
        <v>329</v>
      </c>
      <c r="K133" s="175" t="s">
        <v>329</v>
      </c>
      <c r="L133" s="175" t="s">
        <v>329</v>
      </c>
      <c r="M133" s="522" t="s">
        <v>173</v>
      </c>
      <c r="N133" s="176" t="s">
        <v>173</v>
      </c>
      <c r="O133" s="228" t="s">
        <v>331</v>
      </c>
      <c r="P133" s="228" t="s">
        <v>331</v>
      </c>
      <c r="Q133" s="228" t="s">
        <v>331</v>
      </c>
      <c r="R133" s="228" t="s">
        <v>331</v>
      </c>
      <c r="S133" s="228" t="s">
        <v>331</v>
      </c>
      <c r="T133" s="228" t="s">
        <v>14</v>
      </c>
      <c r="U133" s="228" t="s">
        <v>14</v>
      </c>
      <c r="V133" s="178" t="s">
        <v>325</v>
      </c>
      <c r="W133" s="178" t="s">
        <v>325</v>
      </c>
      <c r="X133" s="178" t="s">
        <v>325</v>
      </c>
      <c r="Y133" s="178" t="s">
        <v>325</v>
      </c>
      <c r="Z133" s="178" t="s">
        <v>325</v>
      </c>
      <c r="AA133" s="176" t="s">
        <v>173</v>
      </c>
      <c r="AB133" s="176" t="s">
        <v>173</v>
      </c>
      <c r="AC133" s="228" t="s">
        <v>331</v>
      </c>
      <c r="AD133" s="228" t="s">
        <v>331</v>
      </c>
      <c r="AE133" s="228" t="s">
        <v>331</v>
      </c>
      <c r="AF133" s="236" t="s">
        <v>331</v>
      </c>
    </row>
    <row r="134" spans="1:32" ht="27.75" customHeight="1">
      <c r="F134" s="96"/>
    </row>
    <row r="135" spans="1:32" ht="27.75" customHeight="1">
      <c r="B135" s="970" t="s">
        <v>430</v>
      </c>
      <c r="C135" s="971"/>
      <c r="D135" s="971"/>
      <c r="E135" s="971"/>
      <c r="F135" s="971"/>
      <c r="G135" s="971"/>
      <c r="H135" s="971"/>
      <c r="I135" s="971"/>
      <c r="J135" s="971"/>
      <c r="K135" s="971"/>
      <c r="L135" s="971"/>
      <c r="M135" s="971"/>
      <c r="N135" s="971"/>
      <c r="O135" s="971"/>
      <c r="P135" s="971"/>
      <c r="Q135" s="971"/>
      <c r="R135" s="971"/>
      <c r="S135" s="971"/>
      <c r="T135" s="971"/>
      <c r="U135" s="971"/>
      <c r="V135" s="971"/>
      <c r="W135" s="971"/>
      <c r="X135" s="971"/>
      <c r="Y135" s="971"/>
      <c r="Z135" s="971"/>
      <c r="AA135" s="971"/>
      <c r="AB135" s="971"/>
      <c r="AC135" s="971"/>
      <c r="AD135" s="971"/>
      <c r="AE135" s="972"/>
    </row>
    <row r="136" spans="1:32" ht="27.75" customHeight="1">
      <c r="A136" s="976" t="s">
        <v>341</v>
      </c>
      <c r="B136" s="180" t="s">
        <v>9</v>
      </c>
      <c r="C136" s="181" t="s">
        <v>84</v>
      </c>
      <c r="D136" s="169" t="s">
        <v>85</v>
      </c>
      <c r="E136" s="181" t="s">
        <v>86</v>
      </c>
      <c r="F136" s="181" t="s">
        <v>87</v>
      </c>
      <c r="G136" s="181" t="s">
        <v>44</v>
      </c>
      <c r="H136" s="181" t="s">
        <v>28</v>
      </c>
      <c r="I136" s="181" t="s">
        <v>9</v>
      </c>
      <c r="J136" s="181" t="s">
        <v>84</v>
      </c>
      <c r="K136" s="169" t="s">
        <v>85</v>
      </c>
      <c r="L136" s="181" t="s">
        <v>86</v>
      </c>
      <c r="M136" s="181" t="s">
        <v>87</v>
      </c>
      <c r="N136" s="181" t="s">
        <v>44</v>
      </c>
      <c r="O136" s="181" t="s">
        <v>28</v>
      </c>
      <c r="P136" s="181" t="s">
        <v>9</v>
      </c>
      <c r="Q136" s="181" t="s">
        <v>84</v>
      </c>
      <c r="R136" s="169" t="s">
        <v>85</v>
      </c>
      <c r="S136" s="181" t="s">
        <v>86</v>
      </c>
      <c r="T136" s="181" t="s">
        <v>87</v>
      </c>
      <c r="U136" s="181" t="s">
        <v>44</v>
      </c>
      <c r="V136" s="181" t="s">
        <v>28</v>
      </c>
      <c r="W136" s="181" t="s">
        <v>9</v>
      </c>
      <c r="X136" s="181" t="s">
        <v>84</v>
      </c>
      <c r="Y136" s="169" t="s">
        <v>85</v>
      </c>
      <c r="Z136" s="181" t="s">
        <v>86</v>
      </c>
      <c r="AA136" s="181" t="s">
        <v>87</v>
      </c>
      <c r="AB136" s="181" t="s">
        <v>44</v>
      </c>
      <c r="AC136" s="181" t="s">
        <v>28</v>
      </c>
      <c r="AD136" s="181" t="s">
        <v>9</v>
      </c>
      <c r="AE136" s="182" t="s">
        <v>84</v>
      </c>
    </row>
    <row r="137" spans="1:32" ht="27.75" customHeight="1">
      <c r="A137" s="977"/>
      <c r="B137" s="229">
        <v>1</v>
      </c>
      <c r="C137" s="216">
        <v>2</v>
      </c>
      <c r="D137" s="216">
        <v>3</v>
      </c>
      <c r="E137" s="226">
        <v>4</v>
      </c>
      <c r="F137" s="226">
        <v>5</v>
      </c>
      <c r="G137" s="226">
        <v>6</v>
      </c>
      <c r="H137" s="226">
        <v>7</v>
      </c>
      <c r="I137" s="226">
        <v>8</v>
      </c>
      <c r="J137" s="240">
        <v>9</v>
      </c>
      <c r="K137" s="216">
        <v>10</v>
      </c>
      <c r="L137" s="226">
        <v>11</v>
      </c>
      <c r="M137" s="226">
        <v>12</v>
      </c>
      <c r="N137" s="226">
        <v>13</v>
      </c>
      <c r="O137" s="226">
        <v>14</v>
      </c>
      <c r="P137" s="226">
        <v>15</v>
      </c>
      <c r="Q137" s="216">
        <v>16</v>
      </c>
      <c r="R137" s="216">
        <v>17</v>
      </c>
      <c r="S137" s="226">
        <v>18</v>
      </c>
      <c r="T137" s="226">
        <v>19</v>
      </c>
      <c r="U137" s="226">
        <v>20</v>
      </c>
      <c r="V137" s="226">
        <v>21</v>
      </c>
      <c r="W137" s="226">
        <v>22</v>
      </c>
      <c r="X137" s="216">
        <v>23</v>
      </c>
      <c r="Y137" s="216">
        <v>24</v>
      </c>
      <c r="Z137" s="226">
        <v>25</v>
      </c>
      <c r="AA137" s="226">
        <v>26</v>
      </c>
      <c r="AB137" s="226">
        <v>27</v>
      </c>
      <c r="AC137" s="226">
        <v>28</v>
      </c>
      <c r="AD137" s="226">
        <v>29</v>
      </c>
      <c r="AE137" s="217">
        <v>30</v>
      </c>
    </row>
    <row r="138" spans="1:32" ht="27.75" customHeight="1">
      <c r="A138" s="268" t="s">
        <v>345</v>
      </c>
      <c r="B138" s="201" t="s">
        <v>173</v>
      </c>
      <c r="C138" s="203" t="s">
        <v>173</v>
      </c>
      <c r="D138" s="203" t="s">
        <v>173</v>
      </c>
      <c r="E138" s="202" t="s">
        <v>329</v>
      </c>
      <c r="F138" s="202" t="s">
        <v>329</v>
      </c>
      <c r="G138" s="202" t="s">
        <v>329</v>
      </c>
      <c r="H138" s="540" t="s">
        <v>810</v>
      </c>
      <c r="I138" s="202" t="s">
        <v>329</v>
      </c>
      <c r="J138" s="238" t="s">
        <v>173</v>
      </c>
      <c r="K138" s="203" t="s">
        <v>173</v>
      </c>
      <c r="L138" s="524" t="s">
        <v>811</v>
      </c>
      <c r="M138" s="202" t="s">
        <v>329</v>
      </c>
      <c r="N138" s="202" t="s">
        <v>329</v>
      </c>
      <c r="O138" s="202" t="s">
        <v>329</v>
      </c>
      <c r="P138" s="202" t="s">
        <v>329</v>
      </c>
      <c r="Q138" s="203" t="s">
        <v>173</v>
      </c>
      <c r="R138" s="541" t="s">
        <v>812</v>
      </c>
      <c r="S138" s="202" t="s">
        <v>329</v>
      </c>
      <c r="T138" s="202" t="s">
        <v>329</v>
      </c>
      <c r="U138" s="202" t="s">
        <v>329</v>
      </c>
      <c r="V138" s="202" t="s">
        <v>329</v>
      </c>
      <c r="W138" s="202" t="s">
        <v>329</v>
      </c>
      <c r="X138" s="203" t="s">
        <v>173</v>
      </c>
      <c r="Y138" s="203" t="s">
        <v>173</v>
      </c>
      <c r="Z138" s="202" t="s">
        <v>329</v>
      </c>
      <c r="AA138" s="202" t="s">
        <v>329</v>
      </c>
      <c r="AB138" s="202" t="s">
        <v>329</v>
      </c>
      <c r="AC138" s="202" t="s">
        <v>329</v>
      </c>
      <c r="AD138" s="202" t="s">
        <v>329</v>
      </c>
      <c r="AE138" s="219" t="s">
        <v>173</v>
      </c>
    </row>
    <row r="139" spans="1:32" ht="27.75" customHeight="1">
      <c r="A139" s="269" t="s">
        <v>347</v>
      </c>
      <c r="B139" s="205" t="s">
        <v>173</v>
      </c>
      <c r="C139" s="171" t="s">
        <v>173</v>
      </c>
      <c r="D139" s="171" t="s">
        <v>173</v>
      </c>
      <c r="E139" s="170" t="s">
        <v>329</v>
      </c>
      <c r="F139" s="170" t="s">
        <v>329</v>
      </c>
      <c r="G139" s="170" t="s">
        <v>329</v>
      </c>
      <c r="H139" s="170" t="s">
        <v>329</v>
      </c>
      <c r="I139" s="170" t="s">
        <v>329</v>
      </c>
      <c r="J139" s="199" t="s">
        <v>173</v>
      </c>
      <c r="K139" s="171" t="s">
        <v>173</v>
      </c>
      <c r="L139" s="170" t="s">
        <v>329</v>
      </c>
      <c r="M139" s="170" t="s">
        <v>329</v>
      </c>
      <c r="N139" s="464" t="s">
        <v>329</v>
      </c>
      <c r="O139" s="464" t="s">
        <v>329</v>
      </c>
      <c r="P139" s="464" t="s">
        <v>329</v>
      </c>
      <c r="Q139" s="171" t="s">
        <v>173</v>
      </c>
      <c r="R139" s="171" t="s">
        <v>173</v>
      </c>
      <c r="S139" s="170" t="s">
        <v>329</v>
      </c>
      <c r="T139" s="170" t="s">
        <v>329</v>
      </c>
      <c r="U139" s="170" t="s">
        <v>329</v>
      </c>
      <c r="V139" s="170" t="s">
        <v>329</v>
      </c>
      <c r="W139" s="170" t="s">
        <v>329</v>
      </c>
      <c r="X139" s="171" t="s">
        <v>173</v>
      </c>
      <c r="Y139" s="171" t="s">
        <v>173</v>
      </c>
      <c r="Z139" s="170" t="s">
        <v>329</v>
      </c>
      <c r="AA139" s="170" t="s">
        <v>329</v>
      </c>
      <c r="AB139" s="170" t="s">
        <v>329</v>
      </c>
      <c r="AC139" s="170" t="s">
        <v>329</v>
      </c>
      <c r="AD139" s="170" t="s">
        <v>329</v>
      </c>
      <c r="AE139" s="186" t="s">
        <v>173</v>
      </c>
    </row>
    <row r="140" spans="1:32" ht="27.75" customHeight="1">
      <c r="A140" s="270" t="s">
        <v>349</v>
      </c>
      <c r="B140" s="209" t="s">
        <v>173</v>
      </c>
      <c r="C140" s="171" t="s">
        <v>173</v>
      </c>
      <c r="D140" s="171" t="s">
        <v>173</v>
      </c>
      <c r="E140" s="173" t="s">
        <v>327</v>
      </c>
      <c r="F140" s="173" t="s">
        <v>327</v>
      </c>
      <c r="G140" s="173" t="s">
        <v>327</v>
      </c>
      <c r="H140" s="173" t="s">
        <v>327</v>
      </c>
      <c r="I140" s="173" t="s">
        <v>327</v>
      </c>
      <c r="J140" s="200" t="s">
        <v>173</v>
      </c>
      <c r="K140" s="171" t="s">
        <v>173</v>
      </c>
      <c r="L140" s="173" t="s">
        <v>327</v>
      </c>
      <c r="M140" s="460" t="s">
        <v>327</v>
      </c>
      <c r="N140" s="173" t="s">
        <v>327</v>
      </c>
      <c r="O140" s="297" t="s">
        <v>813</v>
      </c>
      <c r="P140" s="173" t="s">
        <v>327</v>
      </c>
      <c r="Q140" s="542" t="s">
        <v>814</v>
      </c>
      <c r="R140" s="171" t="s">
        <v>173</v>
      </c>
      <c r="S140" s="173" t="s">
        <v>327</v>
      </c>
      <c r="T140" s="173" t="s">
        <v>327</v>
      </c>
      <c r="U140" s="173" t="s">
        <v>327</v>
      </c>
      <c r="V140" s="173" t="s">
        <v>327</v>
      </c>
      <c r="W140" s="173" t="s">
        <v>327</v>
      </c>
      <c r="X140" s="542" t="s">
        <v>814</v>
      </c>
      <c r="Y140" s="171" t="s">
        <v>173</v>
      </c>
      <c r="Z140" s="173" t="s">
        <v>327</v>
      </c>
      <c r="AA140" s="173" t="s">
        <v>327</v>
      </c>
      <c r="AB140" s="173" t="s">
        <v>327</v>
      </c>
      <c r="AC140" s="173" t="s">
        <v>327</v>
      </c>
      <c r="AD140" s="173" t="s">
        <v>327</v>
      </c>
      <c r="AE140" s="186" t="s">
        <v>173</v>
      </c>
    </row>
    <row r="141" spans="1:32" ht="27.75" customHeight="1">
      <c r="A141" s="271" t="s">
        <v>353</v>
      </c>
      <c r="B141" s="244" t="s">
        <v>9</v>
      </c>
      <c r="C141" s="488" t="s">
        <v>9</v>
      </c>
      <c r="D141" s="488" t="s">
        <v>9</v>
      </c>
      <c r="E141" s="509" t="s">
        <v>12</v>
      </c>
      <c r="F141" s="488" t="s">
        <v>9</v>
      </c>
      <c r="G141" s="488" t="s">
        <v>9</v>
      </c>
      <c r="H141" s="543" t="s">
        <v>9</v>
      </c>
      <c r="I141" s="543" t="s">
        <v>9</v>
      </c>
      <c r="J141" s="543" t="s">
        <v>9</v>
      </c>
      <c r="K141" s="488" t="s">
        <v>9</v>
      </c>
      <c r="L141" s="170" t="s">
        <v>329</v>
      </c>
      <c r="M141" s="534" t="s">
        <v>329</v>
      </c>
      <c r="N141" s="170" t="s">
        <v>329</v>
      </c>
      <c r="O141" s="544" t="s">
        <v>815</v>
      </c>
      <c r="P141" s="170" t="s">
        <v>329</v>
      </c>
      <c r="Q141" s="461" t="s">
        <v>173</v>
      </c>
      <c r="R141" s="171" t="s">
        <v>173</v>
      </c>
      <c r="S141" s="173" t="s">
        <v>327</v>
      </c>
      <c r="T141" s="173" t="s">
        <v>327</v>
      </c>
      <c r="U141" s="173" t="s">
        <v>327</v>
      </c>
      <c r="V141" s="173" t="s">
        <v>327</v>
      </c>
      <c r="W141" s="173" t="s">
        <v>327</v>
      </c>
      <c r="X141" s="171" t="s">
        <v>173</v>
      </c>
      <c r="Y141" s="171" t="s">
        <v>173</v>
      </c>
      <c r="Z141" s="170" t="s">
        <v>329</v>
      </c>
      <c r="AA141" s="170" t="s">
        <v>329</v>
      </c>
      <c r="AB141" s="170" t="s">
        <v>329</v>
      </c>
      <c r="AC141" s="170" t="s">
        <v>329</v>
      </c>
      <c r="AD141" s="170" t="s">
        <v>329</v>
      </c>
      <c r="AE141" s="186" t="s">
        <v>173</v>
      </c>
    </row>
    <row r="142" spans="1:32" ht="27.75" customHeight="1">
      <c r="A142" s="272" t="s">
        <v>627</v>
      </c>
      <c r="B142" s="209" t="s">
        <v>173</v>
      </c>
      <c r="C142" s="171" t="s">
        <v>173</v>
      </c>
      <c r="D142" s="171" t="s">
        <v>173</v>
      </c>
      <c r="E142" s="183" t="s">
        <v>327</v>
      </c>
      <c r="F142" s="183" t="s">
        <v>327</v>
      </c>
      <c r="G142" s="545" t="s">
        <v>327</v>
      </c>
      <c r="H142" s="183" t="s">
        <v>327</v>
      </c>
      <c r="I142" s="183" t="s">
        <v>327</v>
      </c>
      <c r="J142" s="200" t="s">
        <v>173</v>
      </c>
      <c r="K142" s="461" t="s">
        <v>173</v>
      </c>
      <c r="L142" s="170" t="s">
        <v>329</v>
      </c>
      <c r="M142" s="534" t="s">
        <v>329</v>
      </c>
      <c r="N142" s="170" t="s">
        <v>329</v>
      </c>
      <c r="O142" s="297" t="s">
        <v>816</v>
      </c>
      <c r="P142" s="170" t="s">
        <v>329</v>
      </c>
      <c r="Q142" s="461" t="s">
        <v>173</v>
      </c>
      <c r="R142" s="171" t="s">
        <v>173</v>
      </c>
      <c r="S142" s="172" t="s">
        <v>331</v>
      </c>
      <c r="T142" s="172" t="s">
        <v>331</v>
      </c>
      <c r="U142" s="172" t="s">
        <v>331</v>
      </c>
      <c r="V142" s="172" t="s">
        <v>331</v>
      </c>
      <c r="W142" s="172" t="s">
        <v>331</v>
      </c>
      <c r="X142" s="172" t="s">
        <v>14</v>
      </c>
      <c r="Y142" s="172" t="s">
        <v>14</v>
      </c>
      <c r="Z142" s="174" t="s">
        <v>325</v>
      </c>
      <c r="AA142" s="174" t="s">
        <v>325</v>
      </c>
      <c r="AB142" s="174" t="s">
        <v>325</v>
      </c>
      <c r="AC142" s="174" t="s">
        <v>325</v>
      </c>
      <c r="AD142" s="174" t="s">
        <v>325</v>
      </c>
      <c r="AE142" s="186" t="s">
        <v>173</v>
      </c>
    </row>
    <row r="143" spans="1:32" ht="27.75" customHeight="1">
      <c r="A143" s="273" t="s">
        <v>360</v>
      </c>
      <c r="B143" s="209" t="s">
        <v>173</v>
      </c>
      <c r="C143" s="171" t="s">
        <v>173</v>
      </c>
      <c r="D143" s="171" t="s">
        <v>173</v>
      </c>
      <c r="E143" s="170" t="s">
        <v>329</v>
      </c>
      <c r="F143" s="170" t="s">
        <v>329</v>
      </c>
      <c r="G143" s="534" t="s">
        <v>329</v>
      </c>
      <c r="H143" s="170" t="s">
        <v>329</v>
      </c>
      <c r="I143" s="546" t="s">
        <v>817</v>
      </c>
      <c r="J143" s="200" t="s">
        <v>173</v>
      </c>
      <c r="K143" s="461" t="s">
        <v>173</v>
      </c>
      <c r="L143" s="172" t="s">
        <v>331</v>
      </c>
      <c r="M143" s="172" t="s">
        <v>331</v>
      </c>
      <c r="N143" s="547" t="s">
        <v>331</v>
      </c>
      <c r="O143" s="547" t="s">
        <v>331</v>
      </c>
      <c r="P143" s="547" t="s">
        <v>331</v>
      </c>
      <c r="Q143" s="172" t="s">
        <v>14</v>
      </c>
      <c r="R143" s="172" t="s">
        <v>14</v>
      </c>
      <c r="S143" s="174" t="s">
        <v>325</v>
      </c>
      <c r="T143" s="174" t="s">
        <v>325</v>
      </c>
      <c r="U143" s="174" t="s">
        <v>325</v>
      </c>
      <c r="V143" s="174" t="s">
        <v>325</v>
      </c>
      <c r="W143" s="174" t="s">
        <v>325</v>
      </c>
      <c r="X143" s="171" t="s">
        <v>173</v>
      </c>
      <c r="Y143" s="171" t="s">
        <v>173</v>
      </c>
      <c r="Z143" s="183" t="s">
        <v>327</v>
      </c>
      <c r="AA143" s="183" t="s">
        <v>327</v>
      </c>
      <c r="AB143" s="183" t="s">
        <v>327</v>
      </c>
      <c r="AC143" s="548" t="s">
        <v>818</v>
      </c>
      <c r="AD143" s="183" t="s">
        <v>327</v>
      </c>
      <c r="AE143" s="186" t="s">
        <v>173</v>
      </c>
    </row>
    <row r="144" spans="1:32" ht="27.75" customHeight="1">
      <c r="A144" s="272" t="s">
        <v>363</v>
      </c>
      <c r="B144" s="209" t="s">
        <v>173</v>
      </c>
      <c r="C144" s="171"/>
      <c r="D144" s="171"/>
      <c r="E144" s="172" t="s">
        <v>331</v>
      </c>
      <c r="F144" s="172" t="s">
        <v>331</v>
      </c>
      <c r="G144" s="466" t="s">
        <v>331</v>
      </c>
      <c r="H144" s="172" t="s">
        <v>331</v>
      </c>
      <c r="I144" s="172" t="s">
        <v>331</v>
      </c>
      <c r="J144" s="172" t="s">
        <v>14</v>
      </c>
      <c r="K144" s="486" t="s">
        <v>14</v>
      </c>
      <c r="L144" s="174" t="s">
        <v>325</v>
      </c>
      <c r="M144" s="174" t="s">
        <v>325</v>
      </c>
      <c r="N144" s="174" t="s">
        <v>325</v>
      </c>
      <c r="O144" s="174" t="s">
        <v>325</v>
      </c>
      <c r="P144" s="174" t="s">
        <v>325</v>
      </c>
      <c r="Q144" s="171" t="s">
        <v>173</v>
      </c>
      <c r="R144" s="171" t="s">
        <v>173</v>
      </c>
      <c r="S144" s="173" t="s">
        <v>327</v>
      </c>
      <c r="T144" s="173" t="s">
        <v>327</v>
      </c>
      <c r="U144" s="173" t="s">
        <v>327</v>
      </c>
      <c r="V144" s="173" t="s">
        <v>327</v>
      </c>
      <c r="W144" s="173" t="s">
        <v>327</v>
      </c>
      <c r="X144" s="171"/>
      <c r="Y144" s="171"/>
      <c r="Z144" s="170" t="s">
        <v>383</v>
      </c>
      <c r="AA144" s="170" t="s">
        <v>383</v>
      </c>
      <c r="AB144" s="170" t="s">
        <v>383</v>
      </c>
      <c r="AC144" s="170" t="s">
        <v>383</v>
      </c>
      <c r="AD144" s="170" t="s">
        <v>383</v>
      </c>
      <c r="AE144" s="186"/>
    </row>
    <row r="145" spans="1:34" ht="27.75" customHeight="1">
      <c r="A145" s="274" t="s">
        <v>364</v>
      </c>
      <c r="B145" s="237" t="s">
        <v>14</v>
      </c>
      <c r="C145" s="228" t="s">
        <v>14</v>
      </c>
      <c r="D145" s="228" t="s">
        <v>14</v>
      </c>
      <c r="E145" s="178" t="s">
        <v>325</v>
      </c>
      <c r="F145" s="178" t="s">
        <v>325</v>
      </c>
      <c r="G145" s="178" t="s">
        <v>325</v>
      </c>
      <c r="H145" s="549" t="s">
        <v>325</v>
      </c>
      <c r="I145" s="549" t="s">
        <v>325</v>
      </c>
      <c r="J145" s="498" t="s">
        <v>9</v>
      </c>
      <c r="K145" s="498" t="s">
        <v>9</v>
      </c>
      <c r="L145" s="498" t="s">
        <v>9</v>
      </c>
      <c r="M145" s="498" t="s">
        <v>9</v>
      </c>
      <c r="N145" s="498" t="s">
        <v>9</v>
      </c>
      <c r="O145" s="498" t="s">
        <v>9</v>
      </c>
      <c r="P145" s="498" t="s">
        <v>9</v>
      </c>
      <c r="Q145" s="498" t="s">
        <v>9</v>
      </c>
      <c r="R145" s="498" t="s">
        <v>9</v>
      </c>
      <c r="S145" s="175" t="s">
        <v>329</v>
      </c>
      <c r="T145" s="175" t="s">
        <v>329</v>
      </c>
      <c r="U145" s="175" t="s">
        <v>329</v>
      </c>
      <c r="V145" s="175" t="s">
        <v>329</v>
      </c>
      <c r="W145" s="175" t="s">
        <v>329</v>
      </c>
      <c r="X145" s="176" t="s">
        <v>173</v>
      </c>
      <c r="Y145" s="176" t="s">
        <v>173</v>
      </c>
      <c r="Z145" s="228" t="s">
        <v>331</v>
      </c>
      <c r="AA145" s="228" t="s">
        <v>331</v>
      </c>
      <c r="AB145" s="228" t="s">
        <v>331</v>
      </c>
      <c r="AC145" s="228" t="s">
        <v>331</v>
      </c>
      <c r="AD145" s="228" t="s">
        <v>331</v>
      </c>
      <c r="AE145" s="236" t="s">
        <v>14</v>
      </c>
    </row>
    <row r="147" spans="1:34" ht="27.75" customHeight="1">
      <c r="B147" s="963" t="s">
        <v>431</v>
      </c>
      <c r="C147" s="964"/>
      <c r="D147" s="964"/>
      <c r="E147" s="964"/>
      <c r="F147" s="964"/>
      <c r="G147" s="964"/>
      <c r="H147" s="964"/>
      <c r="I147" s="964"/>
      <c r="J147" s="964"/>
      <c r="K147" s="964"/>
      <c r="L147" s="964"/>
      <c r="M147" s="964"/>
      <c r="N147" s="964"/>
      <c r="O147" s="964"/>
      <c r="P147" s="964"/>
      <c r="Q147" s="964"/>
      <c r="R147" s="964"/>
      <c r="S147" s="964"/>
      <c r="T147" s="964"/>
      <c r="U147" s="964"/>
      <c r="V147" s="964"/>
      <c r="W147" s="964"/>
      <c r="X147" s="964"/>
      <c r="Y147" s="964"/>
      <c r="Z147" s="964"/>
      <c r="AA147" s="964"/>
      <c r="AB147" s="964"/>
      <c r="AC147" s="964"/>
      <c r="AD147" s="964"/>
      <c r="AE147" s="964"/>
      <c r="AF147" s="965"/>
    </row>
    <row r="148" spans="1:34" ht="27.75" customHeight="1">
      <c r="A148" s="976" t="s">
        <v>341</v>
      </c>
      <c r="B148" s="235" t="s">
        <v>85</v>
      </c>
      <c r="C148" s="181" t="s">
        <v>86</v>
      </c>
      <c r="D148" s="181" t="s">
        <v>87</v>
      </c>
      <c r="E148" s="181" t="s">
        <v>44</v>
      </c>
      <c r="F148" s="181" t="s">
        <v>28</v>
      </c>
      <c r="G148" s="181" t="s">
        <v>9</v>
      </c>
      <c r="H148" s="181" t="s">
        <v>84</v>
      </c>
      <c r="I148" s="169" t="s">
        <v>85</v>
      </c>
      <c r="J148" s="181" t="s">
        <v>86</v>
      </c>
      <c r="K148" s="181" t="s">
        <v>87</v>
      </c>
      <c r="L148" s="181" t="s">
        <v>44</v>
      </c>
      <c r="M148" s="181" t="s">
        <v>28</v>
      </c>
      <c r="N148" s="181" t="s">
        <v>9</v>
      </c>
      <c r="O148" s="181" t="s">
        <v>84</v>
      </c>
      <c r="P148" s="169" t="s">
        <v>85</v>
      </c>
      <c r="Q148" s="181" t="s">
        <v>86</v>
      </c>
      <c r="R148" s="181" t="s">
        <v>87</v>
      </c>
      <c r="S148" s="181" t="s">
        <v>44</v>
      </c>
      <c r="T148" s="181" t="s">
        <v>28</v>
      </c>
      <c r="U148" s="181" t="s">
        <v>9</v>
      </c>
      <c r="V148" s="181" t="s">
        <v>84</v>
      </c>
      <c r="W148" s="169" t="s">
        <v>85</v>
      </c>
      <c r="X148" s="181" t="s">
        <v>86</v>
      </c>
      <c r="Y148" s="181" t="s">
        <v>87</v>
      </c>
      <c r="Z148" s="181" t="s">
        <v>44</v>
      </c>
      <c r="AA148" s="181" t="s">
        <v>28</v>
      </c>
      <c r="AB148" s="181" t="s">
        <v>9</v>
      </c>
      <c r="AC148" s="181" t="s">
        <v>84</v>
      </c>
      <c r="AD148" s="169" t="s">
        <v>85</v>
      </c>
      <c r="AE148" s="181" t="s">
        <v>86</v>
      </c>
      <c r="AF148" s="182" t="s">
        <v>87</v>
      </c>
    </row>
    <row r="149" spans="1:34" ht="27.75" customHeight="1">
      <c r="A149" s="977"/>
      <c r="B149" s="229">
        <v>1</v>
      </c>
      <c r="C149" s="226">
        <v>2</v>
      </c>
      <c r="D149" s="226">
        <v>3</v>
      </c>
      <c r="E149" s="226">
        <v>4</v>
      </c>
      <c r="F149" s="226">
        <v>5</v>
      </c>
      <c r="G149" s="216">
        <v>6</v>
      </c>
      <c r="H149" s="216">
        <v>7</v>
      </c>
      <c r="I149" s="216">
        <v>8</v>
      </c>
      <c r="J149" s="226">
        <v>9</v>
      </c>
      <c r="K149" s="226">
        <v>10</v>
      </c>
      <c r="L149" s="226">
        <v>11</v>
      </c>
      <c r="M149" s="226">
        <v>12</v>
      </c>
      <c r="N149" s="226">
        <v>13</v>
      </c>
      <c r="O149" s="216">
        <v>14</v>
      </c>
      <c r="P149" s="216">
        <v>15</v>
      </c>
      <c r="Q149" s="226">
        <v>16</v>
      </c>
      <c r="R149" s="226">
        <v>17</v>
      </c>
      <c r="S149" s="226">
        <v>18</v>
      </c>
      <c r="T149" s="226">
        <v>19</v>
      </c>
      <c r="U149" s="226">
        <v>20</v>
      </c>
      <c r="V149" s="216">
        <v>21</v>
      </c>
      <c r="W149" s="216">
        <v>22</v>
      </c>
      <c r="X149" s="226">
        <v>23</v>
      </c>
      <c r="Y149" s="226">
        <v>24</v>
      </c>
      <c r="Z149" s="216">
        <v>25</v>
      </c>
      <c r="AA149" s="226">
        <v>26</v>
      </c>
      <c r="AB149" s="226">
        <v>27</v>
      </c>
      <c r="AC149" s="216">
        <v>28</v>
      </c>
      <c r="AD149" s="216">
        <v>29</v>
      </c>
      <c r="AE149" s="226">
        <v>30</v>
      </c>
      <c r="AF149" s="227">
        <v>31</v>
      </c>
    </row>
    <row r="150" spans="1:34" ht="27.75" customHeight="1">
      <c r="A150" s="268" t="s">
        <v>345</v>
      </c>
      <c r="B150" s="230" t="s">
        <v>173</v>
      </c>
      <c r="C150" s="202" t="s">
        <v>329</v>
      </c>
      <c r="D150" s="202" t="s">
        <v>329</v>
      </c>
      <c r="E150" s="202" t="s">
        <v>329</v>
      </c>
      <c r="F150" s="524" t="s">
        <v>819</v>
      </c>
      <c r="G150" s="550" t="s">
        <v>173</v>
      </c>
      <c r="H150" s="203" t="s">
        <v>173</v>
      </c>
      <c r="I150" s="203" t="s">
        <v>173</v>
      </c>
      <c r="J150" s="202" t="s">
        <v>329</v>
      </c>
      <c r="K150" s="202" t="s">
        <v>329</v>
      </c>
      <c r="L150" s="551" t="s">
        <v>329</v>
      </c>
      <c r="M150" s="551" t="s">
        <v>329</v>
      </c>
      <c r="N150" s="551" t="s">
        <v>329</v>
      </c>
      <c r="O150" s="203" t="s">
        <v>173</v>
      </c>
      <c r="P150" s="203" t="s">
        <v>173</v>
      </c>
      <c r="Q150" s="202" t="s">
        <v>329</v>
      </c>
      <c r="R150" s="202" t="s">
        <v>329</v>
      </c>
      <c r="S150" s="202" t="s">
        <v>329</v>
      </c>
      <c r="T150" s="513" t="s">
        <v>9</v>
      </c>
      <c r="U150" s="202" t="s">
        <v>329</v>
      </c>
      <c r="V150" s="203" t="s">
        <v>173</v>
      </c>
      <c r="W150" s="203" t="s">
        <v>173</v>
      </c>
      <c r="X150" s="202" t="s">
        <v>329</v>
      </c>
      <c r="Y150" s="202" t="s">
        <v>329</v>
      </c>
      <c r="Z150" s="238" t="s">
        <v>173</v>
      </c>
      <c r="AA150" s="202" t="s">
        <v>329</v>
      </c>
      <c r="AB150" s="202" t="s">
        <v>329</v>
      </c>
      <c r="AC150" s="203" t="s">
        <v>173</v>
      </c>
      <c r="AD150" s="203" t="s">
        <v>173</v>
      </c>
      <c r="AE150" s="202" t="s">
        <v>329</v>
      </c>
      <c r="AF150" s="204" t="s">
        <v>329</v>
      </c>
    </row>
    <row r="151" spans="1:34" ht="27.75" customHeight="1">
      <c r="A151" s="269" t="s">
        <v>347</v>
      </c>
      <c r="B151" s="231" t="s">
        <v>173</v>
      </c>
      <c r="C151" s="170" t="s">
        <v>329</v>
      </c>
      <c r="D151" s="170" t="s">
        <v>329</v>
      </c>
      <c r="E151" s="170" t="s">
        <v>329</v>
      </c>
      <c r="F151" s="170" t="s">
        <v>329</v>
      </c>
      <c r="G151" s="552" t="s">
        <v>173</v>
      </c>
      <c r="H151" s="171" t="s">
        <v>173</v>
      </c>
      <c r="I151" s="171" t="s">
        <v>173</v>
      </c>
      <c r="J151" s="170" t="s">
        <v>329</v>
      </c>
      <c r="K151" s="534" t="s">
        <v>329</v>
      </c>
      <c r="L151" s="170" t="s">
        <v>329</v>
      </c>
      <c r="M151" s="170" t="s">
        <v>329</v>
      </c>
      <c r="N151" s="170" t="s">
        <v>329</v>
      </c>
      <c r="O151" s="461" t="s">
        <v>173</v>
      </c>
      <c r="P151" s="171" t="s">
        <v>173</v>
      </c>
      <c r="Q151" s="170" t="s">
        <v>329</v>
      </c>
      <c r="R151" s="170" t="s">
        <v>329</v>
      </c>
      <c r="S151" s="170" t="s">
        <v>329</v>
      </c>
      <c r="T151" s="170" t="s">
        <v>329</v>
      </c>
      <c r="U151" s="488" t="s">
        <v>9</v>
      </c>
      <c r="V151" s="488" t="s">
        <v>9</v>
      </c>
      <c r="W151" s="488" t="s">
        <v>9</v>
      </c>
      <c r="X151" s="488" t="s">
        <v>9</v>
      </c>
      <c r="Y151" s="488" t="s">
        <v>9</v>
      </c>
      <c r="Z151" s="488" t="s">
        <v>9</v>
      </c>
      <c r="AA151" s="488" t="s">
        <v>9</v>
      </c>
      <c r="AB151" s="488" t="s">
        <v>9</v>
      </c>
      <c r="AC151" s="488" t="s">
        <v>9</v>
      </c>
      <c r="AD151" s="488" t="s">
        <v>9</v>
      </c>
      <c r="AE151" s="488" t="s">
        <v>9</v>
      </c>
      <c r="AF151" s="510" t="s">
        <v>9</v>
      </c>
    </row>
    <row r="152" spans="1:34" ht="27.75" customHeight="1">
      <c r="A152" s="270" t="s">
        <v>349</v>
      </c>
      <c r="B152" s="231" t="s">
        <v>173</v>
      </c>
      <c r="C152" s="173" t="s">
        <v>327</v>
      </c>
      <c r="D152" s="173" t="s">
        <v>327</v>
      </c>
      <c r="E152" s="173" t="s">
        <v>327</v>
      </c>
      <c r="F152" s="173" t="s">
        <v>327</v>
      </c>
      <c r="G152" s="294" t="s">
        <v>820</v>
      </c>
      <c r="H152" s="171" t="s">
        <v>173</v>
      </c>
      <c r="I152" s="171" t="s">
        <v>173</v>
      </c>
      <c r="J152" s="173" t="s">
        <v>327</v>
      </c>
      <c r="K152" s="460" t="s">
        <v>327</v>
      </c>
      <c r="L152" s="173" t="s">
        <v>327</v>
      </c>
      <c r="M152" s="297" t="s">
        <v>640</v>
      </c>
      <c r="N152" s="297" t="s">
        <v>640</v>
      </c>
      <c r="O152" s="461" t="s">
        <v>173</v>
      </c>
      <c r="P152" s="171" t="s">
        <v>173</v>
      </c>
      <c r="Q152" s="173" t="s">
        <v>327</v>
      </c>
      <c r="R152" s="173" t="s">
        <v>327</v>
      </c>
      <c r="S152" s="173" t="s">
        <v>327</v>
      </c>
      <c r="T152" s="173" t="s">
        <v>327</v>
      </c>
      <c r="U152" s="488" t="s">
        <v>9</v>
      </c>
      <c r="V152" s="488" t="s">
        <v>9</v>
      </c>
      <c r="W152" s="488" t="s">
        <v>9</v>
      </c>
      <c r="X152" s="488" t="s">
        <v>9</v>
      </c>
      <c r="Y152" s="173" t="s">
        <v>327</v>
      </c>
      <c r="Z152" s="200" t="s">
        <v>173</v>
      </c>
      <c r="AA152" s="173" t="s">
        <v>327</v>
      </c>
      <c r="AB152" s="173" t="s">
        <v>327</v>
      </c>
      <c r="AC152" s="488" t="s">
        <v>9</v>
      </c>
      <c r="AD152" s="488" t="s">
        <v>9</v>
      </c>
      <c r="AE152" s="488" t="s">
        <v>9</v>
      </c>
      <c r="AF152" s="510" t="s">
        <v>9</v>
      </c>
    </row>
    <row r="153" spans="1:34" ht="27.75" customHeight="1">
      <c r="A153" s="271" t="s">
        <v>353</v>
      </c>
      <c r="B153" s="231" t="s">
        <v>173</v>
      </c>
      <c r="C153" s="173" t="s">
        <v>327</v>
      </c>
      <c r="D153" s="173" t="s">
        <v>327</v>
      </c>
      <c r="E153" s="173" t="s">
        <v>327</v>
      </c>
      <c r="F153" s="173" t="s">
        <v>327</v>
      </c>
      <c r="G153" s="552" t="s">
        <v>173</v>
      </c>
      <c r="H153" s="171" t="s">
        <v>173</v>
      </c>
      <c r="I153" s="171" t="s">
        <v>173</v>
      </c>
      <c r="J153" s="170" t="s">
        <v>329</v>
      </c>
      <c r="K153" s="534" t="s">
        <v>329</v>
      </c>
      <c r="L153" s="170" t="s">
        <v>329</v>
      </c>
      <c r="M153" s="170" t="s">
        <v>329</v>
      </c>
      <c r="N153" s="170" t="s">
        <v>329</v>
      </c>
      <c r="O153" s="461" t="s">
        <v>173</v>
      </c>
      <c r="P153" s="171" t="s">
        <v>173</v>
      </c>
      <c r="Q153" s="173" t="s">
        <v>327</v>
      </c>
      <c r="R153" s="173" t="s">
        <v>327</v>
      </c>
      <c r="S153" s="173" t="s">
        <v>327</v>
      </c>
      <c r="T153" s="173" t="s">
        <v>327</v>
      </c>
      <c r="U153" s="173" t="s">
        <v>327</v>
      </c>
      <c r="V153" s="488" t="s">
        <v>9</v>
      </c>
      <c r="W153" s="488" t="s">
        <v>9</v>
      </c>
      <c r="X153" s="488" t="s">
        <v>9</v>
      </c>
      <c r="Y153" s="488" t="s">
        <v>9</v>
      </c>
      <c r="Z153" s="488" t="s">
        <v>9</v>
      </c>
      <c r="AA153" s="488" t="s">
        <v>9</v>
      </c>
      <c r="AB153" s="488" t="s">
        <v>9</v>
      </c>
      <c r="AC153" s="488" t="s">
        <v>9</v>
      </c>
      <c r="AD153" s="488" t="s">
        <v>9</v>
      </c>
      <c r="AE153" s="173" t="s">
        <v>327</v>
      </c>
      <c r="AF153" s="208" t="s">
        <v>327</v>
      </c>
    </row>
    <row r="154" spans="1:34" ht="27.75" customHeight="1">
      <c r="A154" s="272" t="s">
        <v>627</v>
      </c>
      <c r="B154" s="231" t="s">
        <v>173</v>
      </c>
      <c r="C154" s="183" t="s">
        <v>327</v>
      </c>
      <c r="D154" s="183" t="s">
        <v>327</v>
      </c>
      <c r="E154" s="183" t="s">
        <v>327</v>
      </c>
      <c r="F154" s="183" t="s">
        <v>327</v>
      </c>
      <c r="G154" s="553" t="s">
        <v>173</v>
      </c>
      <c r="H154" s="171" t="s">
        <v>173</v>
      </c>
      <c r="I154" s="171" t="s">
        <v>173</v>
      </c>
      <c r="J154" s="170" t="s">
        <v>329</v>
      </c>
      <c r="K154" s="297" t="s">
        <v>821</v>
      </c>
      <c r="L154" s="300" t="s">
        <v>329</v>
      </c>
      <c r="M154" s="300" t="s">
        <v>329</v>
      </c>
      <c r="N154" s="554" t="s">
        <v>325</v>
      </c>
      <c r="O154" s="171" t="s">
        <v>173</v>
      </c>
      <c r="P154" s="171" t="s">
        <v>173</v>
      </c>
      <c r="Q154" s="172" t="s">
        <v>331</v>
      </c>
      <c r="R154" s="172" t="s">
        <v>331</v>
      </c>
      <c r="S154" s="172" t="s">
        <v>331</v>
      </c>
      <c r="T154" s="172" t="s">
        <v>331</v>
      </c>
      <c r="U154" s="172" t="s">
        <v>331</v>
      </c>
      <c r="V154" s="172" t="s">
        <v>14</v>
      </c>
      <c r="W154" s="172" t="s">
        <v>14</v>
      </c>
      <c r="X154" s="174" t="s">
        <v>325</v>
      </c>
      <c r="Y154" s="174" t="s">
        <v>325</v>
      </c>
      <c r="Z154" s="200" t="s">
        <v>173</v>
      </c>
      <c r="AA154" s="174" t="s">
        <v>325</v>
      </c>
      <c r="AB154" s="174" t="s">
        <v>325</v>
      </c>
      <c r="AC154" s="171" t="s">
        <v>173</v>
      </c>
      <c r="AD154" s="171" t="s">
        <v>173</v>
      </c>
      <c r="AE154" s="174" t="s">
        <v>325</v>
      </c>
      <c r="AF154" s="213" t="s">
        <v>327</v>
      </c>
    </row>
    <row r="155" spans="1:34" ht="27.75" customHeight="1">
      <c r="A155" s="273" t="s">
        <v>360</v>
      </c>
      <c r="B155" s="231" t="s">
        <v>173</v>
      </c>
      <c r="C155" s="170" t="s">
        <v>329</v>
      </c>
      <c r="D155" s="170" t="s">
        <v>329</v>
      </c>
      <c r="E155" s="170" t="s">
        <v>329</v>
      </c>
      <c r="F155" s="170" t="s">
        <v>329</v>
      </c>
      <c r="G155" s="553" t="s">
        <v>173</v>
      </c>
      <c r="H155" s="171" t="s">
        <v>173</v>
      </c>
      <c r="I155" s="171" t="s">
        <v>173</v>
      </c>
      <c r="J155" s="172" t="s">
        <v>331</v>
      </c>
      <c r="K155" s="172" t="s">
        <v>331</v>
      </c>
      <c r="L155" s="172" t="s">
        <v>331</v>
      </c>
      <c r="M155" s="172" t="s">
        <v>331</v>
      </c>
      <c r="N155" s="172" t="s">
        <v>331</v>
      </c>
      <c r="O155" s="172" t="s">
        <v>14</v>
      </c>
      <c r="P155" s="172" t="s">
        <v>14</v>
      </c>
      <c r="Q155" s="174" t="s">
        <v>325</v>
      </c>
      <c r="R155" s="174" t="s">
        <v>325</v>
      </c>
      <c r="S155" s="174" t="s">
        <v>325</v>
      </c>
      <c r="T155" s="174" t="s">
        <v>325</v>
      </c>
      <c r="U155" s="174" t="s">
        <v>325</v>
      </c>
      <c r="V155" s="171" t="s">
        <v>173</v>
      </c>
      <c r="W155" s="171" t="s">
        <v>173</v>
      </c>
      <c r="X155" s="183" t="s">
        <v>327</v>
      </c>
      <c r="Y155" s="183" t="s">
        <v>327</v>
      </c>
      <c r="Z155" s="200" t="s">
        <v>173</v>
      </c>
      <c r="AA155" s="488" t="s">
        <v>9</v>
      </c>
      <c r="AB155" s="183" t="s">
        <v>327</v>
      </c>
      <c r="AC155" s="171" t="s">
        <v>173</v>
      </c>
      <c r="AD155" s="171" t="s">
        <v>173</v>
      </c>
      <c r="AE155" s="488" t="s">
        <v>9</v>
      </c>
      <c r="AF155" s="223" t="s">
        <v>325</v>
      </c>
    </row>
    <row r="156" spans="1:34" ht="27.75" customHeight="1">
      <c r="A156" s="272" t="s">
        <v>363</v>
      </c>
      <c r="B156" s="231"/>
      <c r="C156" s="172" t="s">
        <v>331</v>
      </c>
      <c r="D156" s="172" t="s">
        <v>331</v>
      </c>
      <c r="E156" s="172" t="s">
        <v>331</v>
      </c>
      <c r="F156" s="172" t="s">
        <v>331</v>
      </c>
      <c r="G156" s="555" t="s">
        <v>14</v>
      </c>
      <c r="H156" s="172" t="s">
        <v>14</v>
      </c>
      <c r="I156" s="172" t="s">
        <v>14</v>
      </c>
      <c r="J156" s="174" t="s">
        <v>325</v>
      </c>
      <c r="K156" s="174" t="s">
        <v>325</v>
      </c>
      <c r="L156" s="174" t="s">
        <v>325</v>
      </c>
      <c r="M156" s="174" t="s">
        <v>325</v>
      </c>
      <c r="N156" s="488" t="s">
        <v>9</v>
      </c>
      <c r="O156" s="488" t="s">
        <v>9</v>
      </c>
      <c r="P156" s="488" t="s">
        <v>9</v>
      </c>
      <c r="Q156" s="173" t="s">
        <v>327</v>
      </c>
      <c r="R156" s="173" t="s">
        <v>327</v>
      </c>
      <c r="S156" s="173" t="s">
        <v>327</v>
      </c>
      <c r="T156" s="173" t="s">
        <v>327</v>
      </c>
      <c r="U156" s="539" t="s">
        <v>336</v>
      </c>
      <c r="V156" s="171" t="s">
        <v>173</v>
      </c>
      <c r="W156" s="171" t="s">
        <v>173</v>
      </c>
      <c r="X156" s="539" t="s">
        <v>336</v>
      </c>
      <c r="Y156" s="539" t="s">
        <v>336</v>
      </c>
      <c r="Z156" s="200" t="s">
        <v>173</v>
      </c>
      <c r="AA156" s="539" t="s">
        <v>336</v>
      </c>
      <c r="AB156" s="539" t="s">
        <v>336</v>
      </c>
      <c r="AC156" s="171" t="s">
        <v>173</v>
      </c>
      <c r="AD156" s="171" t="s">
        <v>173</v>
      </c>
      <c r="AE156" s="172" t="s">
        <v>331</v>
      </c>
      <c r="AF156" s="232" t="s">
        <v>331</v>
      </c>
    </row>
    <row r="157" spans="1:34" ht="27.75" customHeight="1">
      <c r="A157" s="274" t="s">
        <v>364</v>
      </c>
      <c r="B157" s="237" t="s">
        <v>14</v>
      </c>
      <c r="C157" s="178" t="s">
        <v>325</v>
      </c>
      <c r="D157" s="178" t="s">
        <v>325</v>
      </c>
      <c r="E157" s="178" t="s">
        <v>325</v>
      </c>
      <c r="F157" s="178" t="s">
        <v>325</v>
      </c>
      <c r="G157" s="556" t="s">
        <v>173</v>
      </c>
      <c r="H157" s="176" t="s">
        <v>173</v>
      </c>
      <c r="I157" s="176" t="s">
        <v>173</v>
      </c>
      <c r="J157" s="184" t="s">
        <v>327</v>
      </c>
      <c r="K157" s="184" t="s">
        <v>327</v>
      </c>
      <c r="L157" s="184" t="s">
        <v>327</v>
      </c>
      <c r="M157" s="184" t="s">
        <v>327</v>
      </c>
      <c r="N157" s="184" t="s">
        <v>327</v>
      </c>
      <c r="O157" s="557" t="s">
        <v>822</v>
      </c>
      <c r="P157" s="176" t="s">
        <v>173</v>
      </c>
      <c r="Q157" s="175" t="s">
        <v>329</v>
      </c>
      <c r="R157" s="175" t="s">
        <v>329</v>
      </c>
      <c r="S157" s="175" t="s">
        <v>329</v>
      </c>
      <c r="T157" s="175" t="s">
        <v>329</v>
      </c>
      <c r="U157" s="175" t="s">
        <v>329</v>
      </c>
      <c r="V157" s="176" t="s">
        <v>173</v>
      </c>
      <c r="W157" s="176" t="s">
        <v>173</v>
      </c>
      <c r="X157" s="228" t="s">
        <v>331</v>
      </c>
      <c r="Y157" s="228" t="s">
        <v>331</v>
      </c>
      <c r="Z157" s="228" t="s">
        <v>14</v>
      </c>
      <c r="AA157" s="228" t="s">
        <v>331</v>
      </c>
      <c r="AB157" s="228" t="s">
        <v>331</v>
      </c>
      <c r="AC157" s="228" t="s">
        <v>14</v>
      </c>
      <c r="AD157" s="228" t="s">
        <v>14</v>
      </c>
      <c r="AE157" s="175" t="s">
        <v>329</v>
      </c>
      <c r="AF157" s="511" t="s">
        <v>9</v>
      </c>
    </row>
    <row r="159" spans="1:34" ht="27.75" customHeight="1">
      <c r="A159" s="950">
        <v>2025</v>
      </c>
      <c r="B159" s="951"/>
      <c r="C159" s="951"/>
      <c r="D159" s="951"/>
      <c r="E159" s="951"/>
      <c r="F159" s="951"/>
      <c r="G159" s="951"/>
      <c r="H159" s="951"/>
      <c r="I159" s="951"/>
      <c r="J159" s="951"/>
      <c r="K159" s="951"/>
      <c r="L159" s="951"/>
      <c r="M159" s="951"/>
      <c r="N159" s="951"/>
      <c r="O159" s="951"/>
      <c r="P159" s="951"/>
      <c r="Q159" s="951"/>
      <c r="R159" s="951"/>
      <c r="S159" s="951"/>
      <c r="T159" s="951"/>
      <c r="U159" s="951"/>
      <c r="V159" s="951"/>
      <c r="W159" s="951"/>
      <c r="X159" s="951"/>
      <c r="Y159" s="951"/>
      <c r="Z159" s="951"/>
      <c r="AA159" s="951"/>
      <c r="AB159" s="951"/>
      <c r="AC159" s="951"/>
      <c r="AD159" s="951"/>
      <c r="AE159" s="951"/>
      <c r="AF159" s="952"/>
    </row>
    <row r="160" spans="1:34" ht="27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</row>
    <row r="161" spans="1:32" ht="27.75" customHeight="1">
      <c r="B161" s="963" t="s">
        <v>105</v>
      </c>
      <c r="C161" s="964"/>
      <c r="D161" s="964"/>
      <c r="E161" s="964"/>
      <c r="F161" s="964"/>
      <c r="G161" s="964"/>
      <c r="H161" s="964"/>
      <c r="I161" s="964"/>
      <c r="J161" s="964"/>
      <c r="K161" s="964"/>
      <c r="L161" s="964"/>
      <c r="M161" s="964"/>
      <c r="N161" s="964"/>
      <c r="O161" s="964"/>
      <c r="P161" s="964"/>
      <c r="Q161" s="964"/>
      <c r="R161" s="964"/>
      <c r="S161" s="964"/>
      <c r="T161" s="964"/>
      <c r="U161" s="964"/>
      <c r="V161" s="964"/>
      <c r="W161" s="964"/>
      <c r="X161" s="964"/>
      <c r="Y161" s="964"/>
      <c r="Z161" s="964"/>
      <c r="AA161" s="964"/>
      <c r="AB161" s="964"/>
      <c r="AC161" s="964"/>
      <c r="AD161" s="964"/>
      <c r="AE161" s="964"/>
      <c r="AF161" s="965"/>
    </row>
    <row r="162" spans="1:32" ht="27.75" customHeight="1">
      <c r="A162" s="973" t="s">
        <v>341</v>
      </c>
      <c r="B162" s="180" t="s">
        <v>44</v>
      </c>
      <c r="C162" s="181" t="s">
        <v>28</v>
      </c>
      <c r="D162" s="181" t="s">
        <v>9</v>
      </c>
      <c r="E162" s="181" t="s">
        <v>84</v>
      </c>
      <c r="F162" s="169" t="s">
        <v>85</v>
      </c>
      <c r="G162" s="181" t="s">
        <v>86</v>
      </c>
      <c r="H162" s="181" t="s">
        <v>87</v>
      </c>
      <c r="I162" s="181" t="s">
        <v>44</v>
      </c>
      <c r="J162" s="181" t="s">
        <v>28</v>
      </c>
      <c r="K162" s="181" t="s">
        <v>9</v>
      </c>
      <c r="L162" s="181" t="s">
        <v>84</v>
      </c>
      <c r="M162" s="169" t="s">
        <v>85</v>
      </c>
      <c r="N162" s="181" t="s">
        <v>86</v>
      </c>
      <c r="O162" s="181" t="s">
        <v>87</v>
      </c>
      <c r="P162" s="181" t="s">
        <v>44</v>
      </c>
      <c r="Q162" s="181" t="s">
        <v>28</v>
      </c>
      <c r="R162" s="181" t="s">
        <v>9</v>
      </c>
      <c r="S162" s="181" t="s">
        <v>84</v>
      </c>
      <c r="T162" s="169" t="s">
        <v>85</v>
      </c>
      <c r="U162" s="181" t="s">
        <v>86</v>
      </c>
      <c r="V162" s="181" t="s">
        <v>87</v>
      </c>
      <c r="W162" s="181" t="s">
        <v>44</v>
      </c>
      <c r="X162" s="181" t="s">
        <v>28</v>
      </c>
      <c r="Y162" s="181" t="s">
        <v>9</v>
      </c>
      <c r="Z162" s="181" t="s">
        <v>84</v>
      </c>
      <c r="AA162" s="169" t="s">
        <v>85</v>
      </c>
      <c r="AB162" s="181" t="s">
        <v>86</v>
      </c>
      <c r="AC162" s="181" t="s">
        <v>87</v>
      </c>
      <c r="AD162" s="181" t="s">
        <v>44</v>
      </c>
      <c r="AE162" s="181" t="s">
        <v>28</v>
      </c>
      <c r="AF162" s="182" t="s">
        <v>9</v>
      </c>
    </row>
    <row r="163" spans="1:32" ht="27.75" customHeight="1">
      <c r="A163" s="975"/>
      <c r="B163" s="225">
        <v>1</v>
      </c>
      <c r="C163" s="226">
        <v>2</v>
      </c>
      <c r="D163" s="226">
        <v>3</v>
      </c>
      <c r="E163" s="216">
        <v>4</v>
      </c>
      <c r="F163" s="216">
        <v>5</v>
      </c>
      <c r="G163" s="216">
        <v>6</v>
      </c>
      <c r="H163" s="226">
        <v>7</v>
      </c>
      <c r="I163" s="226">
        <v>8</v>
      </c>
      <c r="J163" s="226">
        <v>9</v>
      </c>
      <c r="K163" s="226">
        <v>10</v>
      </c>
      <c r="L163" s="216">
        <v>11</v>
      </c>
      <c r="M163" s="216">
        <v>12</v>
      </c>
      <c r="N163" s="226">
        <v>13</v>
      </c>
      <c r="O163" s="226">
        <v>14</v>
      </c>
      <c r="P163" s="226">
        <v>15</v>
      </c>
      <c r="Q163" s="226">
        <v>16</v>
      </c>
      <c r="R163" s="226">
        <v>17</v>
      </c>
      <c r="S163" s="216">
        <v>18</v>
      </c>
      <c r="T163" s="216">
        <v>19</v>
      </c>
      <c r="U163" s="226">
        <v>20</v>
      </c>
      <c r="V163" s="226">
        <v>21</v>
      </c>
      <c r="W163" s="226">
        <v>22</v>
      </c>
      <c r="X163" s="226">
        <v>23</v>
      </c>
      <c r="Y163" s="226">
        <v>24</v>
      </c>
      <c r="Z163" s="216">
        <v>25</v>
      </c>
      <c r="AA163" s="216">
        <v>26</v>
      </c>
      <c r="AB163" s="226">
        <v>27</v>
      </c>
      <c r="AC163" s="226">
        <v>28</v>
      </c>
      <c r="AD163" s="226">
        <v>29</v>
      </c>
      <c r="AE163" s="226">
        <v>30</v>
      </c>
      <c r="AF163" s="227">
        <v>31</v>
      </c>
    </row>
    <row r="164" spans="1:32" ht="27.75" customHeight="1">
      <c r="A164" s="268" t="s">
        <v>345</v>
      </c>
      <c r="B164" s="201" t="s">
        <v>173</v>
      </c>
      <c r="C164" s="202" t="s">
        <v>329</v>
      </c>
      <c r="D164" s="202" t="s">
        <v>329</v>
      </c>
      <c r="E164" s="203" t="s">
        <v>173</v>
      </c>
      <c r="F164" s="203" t="s">
        <v>173</v>
      </c>
      <c r="G164" s="238" t="s">
        <v>173</v>
      </c>
      <c r="H164" s="202" t="s">
        <v>329</v>
      </c>
      <c r="I164" s="202" t="s">
        <v>329</v>
      </c>
      <c r="J164" s="202" t="s">
        <v>329</v>
      </c>
      <c r="K164" s="202" t="s">
        <v>329</v>
      </c>
      <c r="L164" s="203" t="s">
        <v>173</v>
      </c>
      <c r="M164" s="203" t="s">
        <v>173</v>
      </c>
      <c r="N164" s="202" t="s">
        <v>329</v>
      </c>
      <c r="O164" s="202" t="s">
        <v>329</v>
      </c>
      <c r="P164" s="202" t="s">
        <v>329</v>
      </c>
      <c r="Q164" s="202" t="s">
        <v>329</v>
      </c>
      <c r="R164" s="202" t="s">
        <v>329</v>
      </c>
      <c r="S164" s="203" t="s">
        <v>173</v>
      </c>
      <c r="T164" s="203" t="s">
        <v>173</v>
      </c>
      <c r="U164" s="202" t="s">
        <v>329</v>
      </c>
      <c r="V164" s="202" t="s">
        <v>329</v>
      </c>
      <c r="W164" s="202" t="s">
        <v>329</v>
      </c>
      <c r="X164" s="202" t="s">
        <v>329</v>
      </c>
      <c r="Y164" s="202" t="s">
        <v>329</v>
      </c>
      <c r="Z164" s="203" t="s">
        <v>173</v>
      </c>
      <c r="AA164" s="203" t="s">
        <v>173</v>
      </c>
      <c r="AB164" s="202" t="s">
        <v>329</v>
      </c>
      <c r="AC164" s="202" t="s">
        <v>329</v>
      </c>
      <c r="AD164" s="202" t="s">
        <v>329</v>
      </c>
      <c r="AE164" s="202" t="s">
        <v>329</v>
      </c>
      <c r="AF164" s="204" t="s">
        <v>329</v>
      </c>
    </row>
    <row r="165" spans="1:32" ht="27.75" customHeight="1">
      <c r="A165" s="269" t="s">
        <v>347</v>
      </c>
      <c r="B165" s="244" t="s">
        <v>9</v>
      </c>
      <c r="C165" s="488" t="s">
        <v>9</v>
      </c>
      <c r="D165" s="488" t="s">
        <v>9</v>
      </c>
      <c r="E165" s="488" t="s">
        <v>9</v>
      </c>
      <c r="F165" s="488" t="s">
        <v>9</v>
      </c>
      <c r="G165" s="488" t="s">
        <v>9</v>
      </c>
      <c r="H165" s="170" t="s">
        <v>329</v>
      </c>
      <c r="I165" s="170" t="s">
        <v>329</v>
      </c>
      <c r="J165" s="170" t="s">
        <v>329</v>
      </c>
      <c r="K165" s="170" t="s">
        <v>329</v>
      </c>
      <c r="L165" s="171" t="s">
        <v>173</v>
      </c>
      <c r="M165" s="171" t="s">
        <v>173</v>
      </c>
      <c r="N165" s="170" t="s">
        <v>329</v>
      </c>
      <c r="O165" s="170" t="s">
        <v>329</v>
      </c>
      <c r="P165" s="170" t="s">
        <v>329</v>
      </c>
      <c r="Q165" s="170" t="s">
        <v>329</v>
      </c>
      <c r="R165" s="170" t="s">
        <v>329</v>
      </c>
      <c r="S165" s="171" t="s">
        <v>173</v>
      </c>
      <c r="T165" s="171" t="s">
        <v>173</v>
      </c>
      <c r="U165" s="170" t="s">
        <v>329</v>
      </c>
      <c r="V165" s="170" t="s">
        <v>329</v>
      </c>
      <c r="W165" s="170" t="s">
        <v>329</v>
      </c>
      <c r="X165" s="170" t="s">
        <v>329</v>
      </c>
      <c r="Y165" s="170" t="s">
        <v>329</v>
      </c>
      <c r="Z165" s="171" t="s">
        <v>173</v>
      </c>
      <c r="AA165" s="171" t="s">
        <v>173</v>
      </c>
      <c r="AB165" s="170" t="s">
        <v>329</v>
      </c>
      <c r="AC165" s="170" t="s">
        <v>329</v>
      </c>
      <c r="AD165" s="170" t="s">
        <v>329</v>
      </c>
      <c r="AE165" s="170" t="s">
        <v>329</v>
      </c>
      <c r="AF165" s="206" t="s">
        <v>329</v>
      </c>
    </row>
    <row r="166" spans="1:32" ht="27.75" customHeight="1">
      <c r="A166" s="270" t="s">
        <v>349</v>
      </c>
      <c r="B166" s="244" t="s">
        <v>9</v>
      </c>
      <c r="C166" s="488" t="s">
        <v>9</v>
      </c>
      <c r="D166" s="488" t="s">
        <v>9</v>
      </c>
      <c r="E166" s="488" t="s">
        <v>9</v>
      </c>
      <c r="F166" s="488" t="s">
        <v>9</v>
      </c>
      <c r="G166" s="488" t="s">
        <v>9</v>
      </c>
      <c r="H166" s="173" t="s">
        <v>327</v>
      </c>
      <c r="I166" s="173" t="s">
        <v>327</v>
      </c>
      <c r="J166" s="173" t="s">
        <v>327</v>
      </c>
      <c r="K166" s="173" t="s">
        <v>327</v>
      </c>
      <c r="L166" s="171" t="s">
        <v>173</v>
      </c>
      <c r="M166" s="171" t="s">
        <v>173</v>
      </c>
      <c r="N166" s="173" t="s">
        <v>327</v>
      </c>
      <c r="O166" s="173" t="s">
        <v>327</v>
      </c>
      <c r="P166" s="173" t="s">
        <v>327</v>
      </c>
      <c r="Q166" s="173" t="s">
        <v>327</v>
      </c>
      <c r="R166" s="173" t="s">
        <v>327</v>
      </c>
      <c r="S166" s="171" t="s">
        <v>173</v>
      </c>
      <c r="T166" s="171" t="s">
        <v>173</v>
      </c>
      <c r="U166" s="173" t="s">
        <v>327</v>
      </c>
      <c r="V166" s="173" t="s">
        <v>327</v>
      </c>
      <c r="W166" s="173" t="s">
        <v>327</v>
      </c>
      <c r="X166" s="173" t="s">
        <v>327</v>
      </c>
      <c r="Y166" s="173" t="s">
        <v>327</v>
      </c>
      <c r="Z166" s="171" t="s">
        <v>173</v>
      </c>
      <c r="AA166" s="171" t="s">
        <v>173</v>
      </c>
      <c r="AB166" s="173" t="s">
        <v>327</v>
      </c>
      <c r="AC166" s="173" t="s">
        <v>327</v>
      </c>
      <c r="AD166" s="173" t="s">
        <v>327</v>
      </c>
      <c r="AE166" s="173" t="s">
        <v>327</v>
      </c>
      <c r="AF166" s="208" t="s">
        <v>327</v>
      </c>
    </row>
    <row r="167" spans="1:32" ht="27.75" customHeight="1">
      <c r="A167" s="271" t="s">
        <v>353</v>
      </c>
      <c r="B167" s="205" t="s">
        <v>173</v>
      </c>
      <c r="C167" s="173" t="s">
        <v>327</v>
      </c>
      <c r="D167" s="173" t="s">
        <v>327</v>
      </c>
      <c r="E167" s="171" t="s">
        <v>173</v>
      </c>
      <c r="F167" s="171" t="s">
        <v>173</v>
      </c>
      <c r="G167" s="199" t="s">
        <v>173</v>
      </c>
      <c r="H167" s="170" t="s">
        <v>329</v>
      </c>
      <c r="I167" s="170" t="s">
        <v>329</v>
      </c>
      <c r="J167" s="170" t="s">
        <v>329</v>
      </c>
      <c r="K167" s="170" t="s">
        <v>329</v>
      </c>
      <c r="L167" s="171" t="s">
        <v>173</v>
      </c>
      <c r="M167" s="171" t="s">
        <v>173</v>
      </c>
      <c r="N167" s="173" t="s">
        <v>327</v>
      </c>
      <c r="O167" s="173" t="s">
        <v>327</v>
      </c>
      <c r="P167" s="173" t="s">
        <v>327</v>
      </c>
      <c r="Q167" s="173" t="s">
        <v>327</v>
      </c>
      <c r="R167" s="173" t="s">
        <v>327</v>
      </c>
      <c r="S167" s="171" t="s">
        <v>173</v>
      </c>
      <c r="T167" s="171" t="s">
        <v>173</v>
      </c>
      <c r="U167" s="170" t="s">
        <v>329</v>
      </c>
      <c r="V167" s="170" t="s">
        <v>329</v>
      </c>
      <c r="W167" s="170" t="s">
        <v>329</v>
      </c>
      <c r="X167" s="170" t="s">
        <v>329</v>
      </c>
      <c r="Y167" s="170" t="s">
        <v>329</v>
      </c>
      <c r="Z167" s="171" t="s">
        <v>173</v>
      </c>
      <c r="AA167" s="171" t="s">
        <v>173</v>
      </c>
      <c r="AB167" s="173" t="s">
        <v>327</v>
      </c>
      <c r="AC167" s="173" t="s">
        <v>327</v>
      </c>
      <c r="AD167" s="173" t="s">
        <v>327</v>
      </c>
      <c r="AE167" s="173" t="s">
        <v>327</v>
      </c>
      <c r="AF167" s="208" t="s">
        <v>327</v>
      </c>
    </row>
    <row r="168" spans="1:32" ht="27.75" customHeight="1">
      <c r="A168" s="272" t="s">
        <v>627</v>
      </c>
      <c r="B168" s="244" t="s">
        <v>9</v>
      </c>
      <c r="C168" s="488" t="s">
        <v>9</v>
      </c>
      <c r="D168" s="488" t="s">
        <v>9</v>
      </c>
      <c r="E168" s="488" t="s">
        <v>9</v>
      </c>
      <c r="F168" s="488" t="s">
        <v>9</v>
      </c>
      <c r="G168" s="488" t="s">
        <v>9</v>
      </c>
      <c r="H168" s="488" t="s">
        <v>9</v>
      </c>
      <c r="I168" s="488" t="s">
        <v>9</v>
      </c>
      <c r="J168" s="488" t="s">
        <v>9</v>
      </c>
      <c r="K168" s="488" t="s">
        <v>9</v>
      </c>
      <c r="L168" s="488" t="s">
        <v>9</v>
      </c>
      <c r="M168" s="488" t="s">
        <v>9</v>
      </c>
      <c r="N168" s="172" t="s">
        <v>331</v>
      </c>
      <c r="O168" s="172" t="s">
        <v>331</v>
      </c>
      <c r="P168" s="172" t="s">
        <v>331</v>
      </c>
      <c r="Q168" s="172" t="s">
        <v>331</v>
      </c>
      <c r="R168" s="172" t="s">
        <v>331</v>
      </c>
      <c r="S168" s="172" t="s">
        <v>14</v>
      </c>
      <c r="T168" s="172" t="s">
        <v>14</v>
      </c>
      <c r="U168" s="488" t="s">
        <v>9</v>
      </c>
      <c r="V168" s="488" t="s">
        <v>9</v>
      </c>
      <c r="W168" s="488" t="s">
        <v>9</v>
      </c>
      <c r="X168" s="488" t="s">
        <v>9</v>
      </c>
      <c r="Y168" s="488" t="s">
        <v>9</v>
      </c>
      <c r="Z168" s="488" t="s">
        <v>9</v>
      </c>
      <c r="AA168" s="488" t="s">
        <v>9</v>
      </c>
      <c r="AB168" s="488" t="s">
        <v>9</v>
      </c>
      <c r="AC168" s="488" t="s">
        <v>9</v>
      </c>
      <c r="AD168" s="488" t="s">
        <v>9</v>
      </c>
      <c r="AE168" s="488" t="s">
        <v>9</v>
      </c>
      <c r="AF168" s="510" t="s">
        <v>9</v>
      </c>
    </row>
    <row r="169" spans="1:32" ht="27.75" customHeight="1">
      <c r="A169" s="273" t="s">
        <v>360</v>
      </c>
      <c r="B169" s="209" t="s">
        <v>173</v>
      </c>
      <c r="C169" s="174" t="s">
        <v>325</v>
      </c>
      <c r="D169" s="174" t="s">
        <v>325</v>
      </c>
      <c r="E169" s="171" t="s">
        <v>173</v>
      </c>
      <c r="F169" s="171" t="s">
        <v>173</v>
      </c>
      <c r="G169" s="172" t="s">
        <v>14</v>
      </c>
      <c r="H169" s="172" t="s">
        <v>331</v>
      </c>
      <c r="I169" s="301" t="s">
        <v>325</v>
      </c>
      <c r="J169" s="301" t="s">
        <v>325</v>
      </c>
      <c r="K169" s="301" t="s">
        <v>325</v>
      </c>
      <c r="L169" s="172" t="s">
        <v>14</v>
      </c>
      <c r="M169" s="172" t="s">
        <v>14</v>
      </c>
      <c r="N169" s="174" t="s">
        <v>325</v>
      </c>
      <c r="O169" s="174" t="s">
        <v>325</v>
      </c>
      <c r="P169" s="174" t="s">
        <v>325</v>
      </c>
      <c r="Q169" s="174" t="s">
        <v>325</v>
      </c>
      <c r="R169" s="174" t="s">
        <v>325</v>
      </c>
      <c r="S169" s="171" t="s">
        <v>173</v>
      </c>
      <c r="T169" s="171" t="s">
        <v>173</v>
      </c>
      <c r="U169" s="488" t="s">
        <v>9</v>
      </c>
      <c r="V169" s="488" t="s">
        <v>9</v>
      </c>
      <c r="W169" s="488" t="s">
        <v>9</v>
      </c>
      <c r="X169" s="183" t="s">
        <v>327</v>
      </c>
      <c r="Y169" s="183" t="s">
        <v>327</v>
      </c>
      <c r="Z169" s="171" t="s">
        <v>173</v>
      </c>
      <c r="AA169" s="171" t="s">
        <v>173</v>
      </c>
      <c r="AB169" s="170" t="s">
        <v>329</v>
      </c>
      <c r="AC169" s="170" t="s">
        <v>329</v>
      </c>
      <c r="AD169" s="170" t="s">
        <v>329</v>
      </c>
      <c r="AE169" s="170" t="s">
        <v>329</v>
      </c>
      <c r="AF169" s="206" t="s">
        <v>329</v>
      </c>
    </row>
    <row r="170" spans="1:32" ht="27.75" customHeight="1">
      <c r="A170" s="272" t="s">
        <v>363</v>
      </c>
      <c r="B170" s="207" t="s">
        <v>14</v>
      </c>
      <c r="C170" s="172" t="s">
        <v>331</v>
      </c>
      <c r="D170" s="172" t="s">
        <v>331</v>
      </c>
      <c r="E170" s="172" t="s">
        <v>14</v>
      </c>
      <c r="F170" s="172" t="s">
        <v>14</v>
      </c>
      <c r="G170" s="199" t="s">
        <v>173</v>
      </c>
      <c r="H170" s="488" t="s">
        <v>9</v>
      </c>
      <c r="I170" s="488" t="s">
        <v>9</v>
      </c>
      <c r="J170" s="488" t="s">
        <v>9</v>
      </c>
      <c r="K170" s="488" t="s">
        <v>9</v>
      </c>
      <c r="L170" s="488" t="s">
        <v>9</v>
      </c>
      <c r="M170" s="488" t="s">
        <v>9</v>
      </c>
      <c r="N170" s="488" t="s">
        <v>9</v>
      </c>
      <c r="O170" s="488" t="s">
        <v>9</v>
      </c>
      <c r="P170" s="488" t="s">
        <v>9</v>
      </c>
      <c r="Q170" s="488" t="s">
        <v>9</v>
      </c>
      <c r="R170" s="488" t="s">
        <v>9</v>
      </c>
      <c r="S170" s="488" t="s">
        <v>9</v>
      </c>
      <c r="T170" s="488" t="s">
        <v>9</v>
      </c>
      <c r="U170" s="174" t="s">
        <v>325</v>
      </c>
      <c r="V170" s="174" t="s">
        <v>325</v>
      </c>
      <c r="W170" s="174" t="s">
        <v>325</v>
      </c>
      <c r="X170" s="174" t="s">
        <v>325</v>
      </c>
      <c r="Y170" s="174" t="s">
        <v>325</v>
      </c>
      <c r="Z170" s="171"/>
      <c r="AA170" s="171"/>
      <c r="AB170" s="172" t="s">
        <v>331</v>
      </c>
      <c r="AC170" s="172" t="s">
        <v>331</v>
      </c>
      <c r="AD170" s="172" t="s">
        <v>331</v>
      </c>
      <c r="AE170" s="172" t="s">
        <v>331</v>
      </c>
      <c r="AF170" s="232" t="s">
        <v>331</v>
      </c>
    </row>
    <row r="171" spans="1:32" ht="27.75" customHeight="1">
      <c r="A171" s="274" t="s">
        <v>364</v>
      </c>
      <c r="B171" s="210" t="s">
        <v>173</v>
      </c>
      <c r="C171" s="175" t="s">
        <v>329</v>
      </c>
      <c r="D171" s="175" t="s">
        <v>329</v>
      </c>
      <c r="E171" s="176" t="s">
        <v>173</v>
      </c>
      <c r="F171" s="176" t="s">
        <v>173</v>
      </c>
      <c r="G171" s="239" t="s">
        <v>173</v>
      </c>
      <c r="H171" s="178" t="s">
        <v>325</v>
      </c>
      <c r="I171" s="177" t="s">
        <v>331</v>
      </c>
      <c r="J171" s="177" t="s">
        <v>331</v>
      </c>
      <c r="K171" s="177" t="s">
        <v>331</v>
      </c>
      <c r="L171" s="176" t="s">
        <v>173</v>
      </c>
      <c r="M171" s="176" t="s">
        <v>173</v>
      </c>
      <c r="N171" s="175" t="s">
        <v>329</v>
      </c>
      <c r="O171" s="175" t="s">
        <v>329</v>
      </c>
      <c r="P171" s="175" t="s">
        <v>329</v>
      </c>
      <c r="Q171" s="175" t="s">
        <v>329</v>
      </c>
      <c r="R171" s="175" t="s">
        <v>329</v>
      </c>
      <c r="S171" s="176" t="s">
        <v>173</v>
      </c>
      <c r="T171" s="176" t="s">
        <v>173</v>
      </c>
      <c r="U171" s="228" t="s">
        <v>331</v>
      </c>
      <c r="V171" s="228" t="s">
        <v>331</v>
      </c>
      <c r="W171" s="228" t="s">
        <v>331</v>
      </c>
      <c r="X171" s="228" t="s">
        <v>331</v>
      </c>
      <c r="Y171" s="228" t="s">
        <v>331</v>
      </c>
      <c r="Z171" s="228" t="s">
        <v>14</v>
      </c>
      <c r="AA171" s="228" t="s">
        <v>14</v>
      </c>
      <c r="AB171" s="178" t="s">
        <v>325</v>
      </c>
      <c r="AC171" s="178" t="s">
        <v>325</v>
      </c>
      <c r="AD171" s="178" t="s">
        <v>325</v>
      </c>
      <c r="AE171" s="178" t="s">
        <v>325</v>
      </c>
      <c r="AF171" s="211" t="s">
        <v>325</v>
      </c>
    </row>
  </sheetData>
  <mergeCells count="38">
    <mergeCell ref="B161:AF161"/>
    <mergeCell ref="A162:A163"/>
    <mergeCell ref="A124:A125"/>
    <mergeCell ref="B135:AE135"/>
    <mergeCell ref="A136:A137"/>
    <mergeCell ref="B147:AF147"/>
    <mergeCell ref="A148:A149"/>
    <mergeCell ref="A159:AF159"/>
    <mergeCell ref="B123:AF123"/>
    <mergeCell ref="A52:A53"/>
    <mergeCell ref="B63:AF63"/>
    <mergeCell ref="A64:A65"/>
    <mergeCell ref="B75:AE75"/>
    <mergeCell ref="A76:A77"/>
    <mergeCell ref="B87:AF87"/>
    <mergeCell ref="A88:A89"/>
    <mergeCell ref="B99:AF99"/>
    <mergeCell ref="A100:A101"/>
    <mergeCell ref="B111:AE111"/>
    <mergeCell ref="A112:A113"/>
    <mergeCell ref="B51:AE51"/>
    <mergeCell ref="B8:AF8"/>
    <mergeCell ref="B9:AF9"/>
    <mergeCell ref="B10:AF10"/>
    <mergeCell ref="B11:AF11"/>
    <mergeCell ref="A13:AF13"/>
    <mergeCell ref="B15:AF15"/>
    <mergeCell ref="A16:A17"/>
    <mergeCell ref="B27:AD27"/>
    <mergeCell ref="A28:A29"/>
    <mergeCell ref="B39:AF39"/>
    <mergeCell ref="A40:A41"/>
    <mergeCell ref="B7:AF7"/>
    <mergeCell ref="B2:AF2"/>
    <mergeCell ref="B3:AF3"/>
    <mergeCell ref="B4:AF4"/>
    <mergeCell ref="B5:AF5"/>
    <mergeCell ref="B6:A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B35A6298AD14BA6BC6A578B047353" ma:contentTypeVersion="20" ma:contentTypeDescription="Create a new document." ma:contentTypeScope="" ma:versionID="cb804e91db75fccd249753824ee159ff">
  <xsd:schema xmlns:xsd="http://www.w3.org/2001/XMLSchema" xmlns:xs="http://www.w3.org/2001/XMLSchema" xmlns:p="http://schemas.microsoft.com/office/2006/metadata/properties" xmlns:ns1="http://schemas.microsoft.com/sharepoint/v3" xmlns:ns2="9f3dd4fd-5d36-4e1b-b869-b56f92604e8f" xmlns:ns3="150a7fad-579e-49f4-9142-304cdcb118f8" targetNamespace="http://schemas.microsoft.com/office/2006/metadata/properties" ma:root="true" ma:fieldsID="b24b86006405d89ff112d3808b358112" ns1:_="" ns2:_="" ns3:_="">
    <xsd:import namespace="http://schemas.microsoft.com/sharepoint/v3"/>
    <xsd:import namespace="9f3dd4fd-5d36-4e1b-b869-b56f92604e8f"/>
    <xsd:import namespace="150a7fad-579e-49f4-9142-304cdcb118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Comentario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dd4fd-5d36-4e1b-b869-b56f92604e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Comentarios" ma:index="21" nillable="true" ma:displayName="Comentarios" ma:format="Dropdown" ma:internalName="Comentarios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a7fad-579e-49f4-9142-304cdcb118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20fa65-c6be-4645-99da-ff22f38ba81f}" ma:internalName="TaxCatchAll" ma:showField="CatchAllData" ma:web="150a7fad-579e-49f4-9142-304cdcb118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3dd4fd-5d36-4e1b-b869-b56f92604e8f">
      <Terms xmlns="http://schemas.microsoft.com/office/infopath/2007/PartnerControls"/>
    </lcf76f155ced4ddcb4097134ff3c332f>
    <TaxCatchAll xmlns="150a7fad-579e-49f4-9142-304cdcb118f8" xsi:nil="true"/>
    <Comentarios xmlns="9f3dd4fd-5d36-4e1b-b869-b56f92604e8f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E114072-440C-49EC-B86B-CE100ED8E26B}"/>
</file>

<file path=customXml/itemProps2.xml><?xml version="1.0" encoding="utf-8"?>
<ds:datastoreItem xmlns:ds="http://schemas.openxmlformats.org/officeDocument/2006/customXml" ds:itemID="{FD2BE309-3F90-472A-BE0A-E1699602E51E}"/>
</file>

<file path=customXml/itemProps3.xml><?xml version="1.0" encoding="utf-8"?>
<ds:datastoreItem xmlns:ds="http://schemas.openxmlformats.org/officeDocument/2006/customXml" ds:itemID="{558C9906-48A7-4546-B804-6C37B6B9D7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de Vacaciones 2017</dc:title>
  <dc:subject/>
  <dc:creator>x061331</dc:creator>
  <cp:keywords>vacaciones</cp:keywords>
  <dc:description/>
  <cp:lastModifiedBy>Felipe Garcia Hector</cp:lastModifiedBy>
  <cp:revision/>
  <dcterms:created xsi:type="dcterms:W3CDTF">2018-05-07T07:14:33Z</dcterms:created>
  <dcterms:modified xsi:type="dcterms:W3CDTF">2026-05-14T13:47:30Z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TC103524783082</vt:lpwstr>
  </property>
  <property fmtid="{D5CDD505-2E9C-101B-9397-08002B2CF9AE}" pid="3" name="ContentTypeId">
    <vt:lpwstr>0x01010083FB35A6298AD14BA6BC6A578B047353</vt:lpwstr>
  </property>
  <property fmtid="{D5CDD505-2E9C-101B-9397-08002B2CF9AE}" pid="4" name="AuthorIds_UIVersion_38912">
    <vt:lpwstr>19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2022-01-04T15:41:20Z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77fb625c-304f-4432-82b6-014bbed6a21e</vt:lpwstr>
  </property>
  <property fmtid="{D5CDD505-2E9C-101B-9397-08002B2CF9AE}" pid="11" name="MSIP_Label_0c2abd79-57a9-4473-8700-c843f76a1e37_ContentBits">
    <vt:lpwstr>0</vt:lpwstr>
  </property>
  <property fmtid="{D5CDD505-2E9C-101B-9397-08002B2CF9AE}" pid="12" name="MediaServiceImageTags">
    <vt:lpwstr/>
  </property>
</Properties>
</file>