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EUTLote2/Shared Documents/General/03. Control de Intervenciones/"/>
    </mc:Choice>
  </mc:AlternateContent>
  <xr:revisionPtr revIDLastSave="9491" documentId="13_ncr:1_{D01E97F0-F80B-46A9-B9C9-6B646FDB7C0F}" xr6:coauthVersionLast="47" xr6:coauthVersionMax="47" xr10:uidLastSave="{BFF6AFBA-4CBF-4F2B-ADCD-E53A5974A680}"/>
  <bookViews>
    <workbookView xWindow="-120" yWindow="-120" windowWidth="29040" windowHeight="15720" firstSheet="1" activeTab="1" xr2:uid="{00000000-000D-0000-FFFF-FFFF00000000}"/>
  </bookViews>
  <sheets>
    <sheet name="Guardias" sheetId="2" r:id="rId1"/>
    <sheet name="Bolsa de horas Servicio2026" sheetId="6" r:id="rId2"/>
    <sheet name="Exceso de horas" sheetId="4" r:id="rId3"/>
    <sheet name="Bolsa de horas Servicio2025" sheetId="3" r:id="rId4"/>
    <sheet name="Bolsa de horas Servicio2024" sheetId="1" r:id="rId5"/>
    <sheet name="Hoja1" sheetId="7" r:id="rId6"/>
  </sheets>
  <definedNames>
    <definedName name="_xlnm._FilterDatabase" localSheetId="4" hidden="1">'Bolsa de horas Servicio2024'!$A$2:$G$116</definedName>
    <definedName name="_xlnm._FilterDatabase" localSheetId="3" hidden="1">'Bolsa de horas Servicio2025'!$A$2:$G$198</definedName>
    <definedName name="_xlnm._FilterDatabase" localSheetId="2" hidden="1">'Exceso de horas'!$B$1:$F$1</definedName>
    <definedName name="_xlnm._FilterDatabase" localSheetId="1" hidden="1">'Bolsa de horas Servicio2026'!$A$2:$G$190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6" l="1"/>
  <c r="G186" i="6"/>
  <c r="I27" i="6"/>
  <c r="I44" i="6"/>
  <c r="I56" i="6"/>
  <c r="I66" i="6"/>
  <c r="I84" i="6"/>
  <c r="L5" i="6" l="1"/>
  <c r="M22" i="3"/>
  <c r="M21" i="3"/>
  <c r="L4" i="6" l="1"/>
  <c r="W3" i="6" a="1"/>
  <c r="W3" i="6" s="1"/>
  <c r="V3" i="6" a="1"/>
  <c r="V3" i="6" s="1"/>
  <c r="U3" i="6" a="1"/>
  <c r="U3" i="6" s="1"/>
  <c r="T3" i="6" a="1"/>
  <c r="T3" i="6" s="1"/>
  <c r="S3" i="6" a="1"/>
  <c r="S3" i="6" s="1"/>
  <c r="R3" i="6" a="1"/>
  <c r="R3" i="6" s="1"/>
  <c r="Q3" i="6" a="1"/>
  <c r="Q3" i="6" s="1"/>
  <c r="P3" i="6" a="1"/>
  <c r="P3" i="6" s="1"/>
  <c r="M10" i="6" s="1"/>
  <c r="G197" i="3"/>
  <c r="I196" i="3"/>
  <c r="I15" i="3"/>
  <c r="I177" i="3"/>
  <c r="P3" i="3" a="1"/>
  <c r="P3" i="3" s="1"/>
  <c r="P2" i="6" l="1"/>
  <c r="L10" i="6" s="1"/>
  <c r="T3" i="1" a="1"/>
  <c r="T3" i="1"/>
  <c r="S3" i="1" a="1"/>
  <c r="S3" i="1"/>
  <c r="R3" i="1" a="1"/>
  <c r="R3" i="1"/>
  <c r="Q3" i="1" a="1"/>
  <c r="Q3" i="1"/>
  <c r="P3" i="1" a="1"/>
  <c r="P3" i="1"/>
  <c r="O3" i="1" a="1"/>
  <c r="O3" i="1"/>
  <c r="H121" i="1"/>
  <c r="N3" i="1" a="1"/>
  <c r="N3" i="1"/>
  <c r="G122" i="1"/>
  <c r="I185" i="6"/>
  <c r="N3" i="6"/>
  <c r="L6" i="6"/>
  <c r="I101" i="6"/>
  <c r="I114" i="6"/>
  <c r="I128" i="6"/>
  <c r="I148" i="6"/>
  <c r="I159" i="6"/>
  <c r="I174" i="6"/>
  <c r="M17" i="3"/>
  <c r="W2" i="6" l="1"/>
  <c r="L17" i="6" s="1"/>
  <c r="M17" i="6"/>
  <c r="M11" i="6"/>
  <c r="Q2" i="6"/>
  <c r="L11" i="6" s="1"/>
  <c r="M12" i="6"/>
  <c r="R2" i="6"/>
  <c r="L12" i="6" s="1"/>
  <c r="S2" i="6"/>
  <c r="L13" i="6" s="1"/>
  <c r="M13" i="6"/>
  <c r="T2" i="6"/>
  <c r="L14" i="6" s="1"/>
  <c r="M14" i="6"/>
  <c r="U2" i="6"/>
  <c r="L15" i="6" s="1"/>
  <c r="M15" i="6"/>
  <c r="V2" i="6"/>
  <c r="L16" i="6" s="1"/>
  <c r="M16" i="6"/>
  <c r="L21" i="6" l="1"/>
  <c r="M20" i="6"/>
  <c r="M21" i="6" s="1"/>
  <c r="I149" i="3" l="1"/>
  <c r="I114" i="3"/>
  <c r="I100" i="3"/>
  <c r="I137" i="3"/>
  <c r="I87" i="3"/>
  <c r="I70" i="3"/>
  <c r="I53" i="3"/>
  <c r="I34" i="3"/>
  <c r="H114" i="1"/>
  <c r="H104" i="1"/>
  <c r="H96" i="1"/>
  <c r="H83" i="1"/>
  <c r="H71" i="1"/>
  <c r="H61" i="1"/>
  <c r="H43" i="1"/>
  <c r="H38" i="1"/>
  <c r="H25" i="1"/>
  <c r="H22" i="1"/>
  <c r="H13" i="1"/>
  <c r="N3" i="3"/>
  <c r="I165" i="3" l="1"/>
  <c r="V3" i="3" a="1"/>
  <c r="V3" i="3" s="1"/>
  <c r="U3" i="3" a="1"/>
  <c r="U3" i="3" s="1"/>
  <c r="T3" i="3" a="1"/>
  <c r="T3" i="3" s="1"/>
  <c r="S3" i="3" a="1"/>
  <c r="S3" i="3" s="1"/>
  <c r="R3" i="3" a="1"/>
  <c r="R3" i="3" s="1"/>
  <c r="Q3" i="3" a="1"/>
  <c r="Q3" i="3" s="1"/>
  <c r="L4" i="3"/>
  <c r="L6" i="3" s="1"/>
  <c r="L5" i="3"/>
  <c r="L5" i="1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3" i="2"/>
  <c r="T2" i="1"/>
  <c r="J14" i="1" s="1"/>
  <c r="S2" i="1"/>
  <c r="J13" i="1" s="1"/>
  <c r="R2" i="1"/>
  <c r="J12" i="1" s="1"/>
  <c r="N2" i="1"/>
  <c r="J8" i="1" s="1"/>
  <c r="Q2" i="1"/>
  <c r="J11" i="1" s="1"/>
  <c r="O2" i="1"/>
  <c r="J9" i="1" s="1"/>
  <c r="P2" i="1"/>
  <c r="J10" i="1" s="1"/>
  <c r="P2" i="3" l="1"/>
  <c r="Q2" i="3"/>
  <c r="R2" i="3"/>
  <c r="S2" i="3"/>
  <c r="T2" i="3"/>
  <c r="U2" i="3"/>
  <c r="V2" i="3"/>
  <c r="J4" i="1"/>
  <c r="J5" i="1" s="1"/>
  <c r="L15" i="3" l="1"/>
  <c r="M15" i="3"/>
  <c r="L12" i="3"/>
  <c r="M12" i="3"/>
  <c r="L14" i="3"/>
  <c r="M14" i="3"/>
  <c r="L11" i="3"/>
  <c r="M11" i="3"/>
  <c r="L10" i="3"/>
  <c r="M10" i="3"/>
  <c r="L13" i="3"/>
  <c r="M13" i="3"/>
  <c r="L9" i="3"/>
  <c r="M9" i="3"/>
  <c r="L20" i="3" l="1"/>
  <c r="L2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<sst xmlns="http://schemas.openxmlformats.org/spreadsheetml/2006/main" count="2279" uniqueCount="896">
  <si>
    <t xml:space="preserve">Semana </t>
  </si>
  <si>
    <t>Personas de guardia (nº)</t>
  </si>
  <si>
    <t>Horas</t>
  </si>
  <si>
    <t>Lunes</t>
  </si>
  <si>
    <t>Martes</t>
  </si>
  <si>
    <t>Miercoles</t>
  </si>
  <si>
    <t>Jueves</t>
  </si>
  <si>
    <t>Viernes</t>
  </si>
  <si>
    <t>Sabado</t>
  </si>
  <si>
    <t>Domingo</t>
  </si>
  <si>
    <t>Jose Luis Cartas</t>
  </si>
  <si>
    <t>Fernando Martín</t>
  </si>
  <si>
    <t>Liviu Lazar</t>
  </si>
  <si>
    <t>Fernando Rubio</t>
  </si>
  <si>
    <t>José Miguel Perea</t>
  </si>
  <si>
    <t>Fernando Langreo</t>
  </si>
  <si>
    <t>Mariano Grillo</t>
  </si>
  <si>
    <t>José Luis Cartas</t>
  </si>
  <si>
    <t>José Luis de Juan</t>
  </si>
  <si>
    <t>Héctor Felipe</t>
  </si>
  <si>
    <t>CAMBIO</t>
  </si>
  <si>
    <t>FECHA</t>
  </si>
  <si>
    <t>HORARIO</t>
  </si>
  <si>
    <t>TAREA</t>
  </si>
  <si>
    <t>Técnico Asignado</t>
  </si>
  <si>
    <t>Tipo de Actuación</t>
  </si>
  <si>
    <t>DURACIÓN (h)</t>
  </si>
  <si>
    <t>Prioridad</t>
  </si>
  <si>
    <t>CHG002690103</t>
  </si>
  <si>
    <t>19:00 a 20:00</t>
  </si>
  <si>
    <t>Descripciones Unity Corrección 1</t>
  </si>
  <si>
    <t>Internacional</t>
  </si>
  <si>
    <t>Horas totales contratadas</t>
  </si>
  <si>
    <t>CHG002691127
CHG002691154</t>
  </si>
  <si>
    <t>20:00 a 00:00</t>
  </si>
  <si>
    <t>Precarga actualización de CISCO Fase 0 y Piloto 9200</t>
  </si>
  <si>
    <t>Nacional</t>
  </si>
  <si>
    <t>Horas disponibles</t>
  </si>
  <si>
    <t>CHG002691195
CHG002691204</t>
  </si>
  <si>
    <t>08:00 a 16:00</t>
  </si>
  <si>
    <t>Actualización de CISCO Fase 0 y Piloto 9200</t>
  </si>
  <si>
    <t>Horas consumidas</t>
  </si>
  <si>
    <t>CHG002690170</t>
  </si>
  <si>
    <t>20:00 a 23:00</t>
  </si>
  <si>
    <t>Certificado wifiguest</t>
  </si>
  <si>
    <t>% consumido</t>
  </si>
  <si>
    <t>Avisar 80%</t>
  </si>
  <si>
    <t>CHG002705178</t>
  </si>
  <si>
    <t>18:00 a 23:00</t>
  </si>
  <si>
    <t>Provisión de nuevas Distribuciones Centro Médico, Guardería, Hotel, Intercambiador</t>
  </si>
  <si>
    <t>CHG002705179</t>
  </si>
  <si>
    <t>18:00 a 00:00</t>
  </si>
  <si>
    <t>Provisión de nuevas Distribuciones amazonia, Pinar, Maya, Dehesa</t>
  </si>
  <si>
    <t>CHG002705181</t>
  </si>
  <si>
    <t>18:00 a 22:30</t>
  </si>
  <si>
    <t>Provisiónde nuevas Distribuciones Arrecife, Pampa, CPD Este, CPd Oeste</t>
  </si>
  <si>
    <t>Intervenciones</t>
  </si>
  <si>
    <t>CHG002697899 CHG002697902</t>
  </si>
  <si>
    <t>Precarga actualización de CISCO Fase 1 y Piloto 9300</t>
  </si>
  <si>
    <t>CHG002697911 CHG002697953</t>
  </si>
  <si>
    <t>08:00 a 14:00</t>
  </si>
  <si>
    <t>Actualización de CISCO Fase 1 y Piloto 9300</t>
  </si>
  <si>
    <t>CHG002705185</t>
  </si>
  <si>
    <t>08:00 a 11:30</t>
  </si>
  <si>
    <t>Provisión de nuevas Distribuciones Encinar, Marisma</t>
  </si>
  <si>
    <t>CHG002536134</t>
  </si>
  <si>
    <t>Upgrade WLC_TENA_01, WLC_TENA_02 y Josefa Valcárcel</t>
  </si>
  <si>
    <t>CHG002694704
CHG002703320</t>
  </si>
  <si>
    <t>19:00 a 21:00</t>
  </si>
  <si>
    <t>Configuración de puertos en Unity para torretas.</t>
  </si>
  <si>
    <t>CHG002698009</t>
  </si>
  <si>
    <t>CHG002698018</t>
  </si>
  <si>
    <t>19:00 a 22:00</t>
  </si>
  <si>
    <t>Actualización final descripciones TSQ</t>
  </si>
  <si>
    <t>CHG002705201</t>
  </si>
  <si>
    <t>18:00 a 22:00</t>
  </si>
  <si>
    <t>Provisión de nuevas Distribuciones, Faro, Pereda, Solaruco</t>
  </si>
  <si>
    <t>CHG002698039</t>
  </si>
  <si>
    <t>Configuración de puertos en Triton para Thin Client</t>
  </si>
  <si>
    <t>CHG002723681</t>
  </si>
  <si>
    <t>16:00 a 18:30</t>
  </si>
  <si>
    <t>Cambio sustitución switch Tena ESTJ1C10</t>
  </si>
  <si>
    <t>Total Horas</t>
  </si>
  <si>
    <t>CHG002699630</t>
  </si>
  <si>
    <t>Precarga actualización de CISCO Fase 2</t>
  </si>
  <si>
    <t>Total Intervenciones</t>
  </si>
  <si>
    <t>CHG002699652</t>
  </si>
  <si>
    <t>Actualización de CISCO Fase 2</t>
  </si>
  <si>
    <t>Media Mensual</t>
  </si>
  <si>
    <t>Cambio sustitución switch Tena ESTJ1C10 y reinicio ESTJ1D10</t>
  </si>
  <si>
    <t>CHG002736928</t>
  </si>
  <si>
    <t>19:00 a 21:30</t>
  </si>
  <si>
    <t>CHG002703473</t>
  </si>
  <si>
    <t>CHG002703510</t>
  </si>
  <si>
    <t>INC063238929</t>
  </si>
  <si>
    <t>19:00 a 23:00</t>
  </si>
  <si>
    <t>Incidencia INC063238929 cambio fibra y/o SFP en RSBOAD42A</t>
  </si>
  <si>
    <t>CHG002726839</t>
  </si>
  <si>
    <t>Total Mes:</t>
  </si>
  <si>
    <t>CHG002727716</t>
  </si>
  <si>
    <t>Clear counters en todos los puertos en duda de Unity Fase 1</t>
  </si>
  <si>
    <t>CHG002727466</t>
  </si>
  <si>
    <t>22:00 a 23:00</t>
  </si>
  <si>
    <t>Cambio contraseña SSID OPENBANKSB</t>
  </si>
  <si>
    <t>CHG002747628</t>
  </si>
  <si>
    <t>20:00 a 21:00</t>
  </si>
  <si>
    <t>Traslado Torreta Tena SCTASK22064732</t>
  </si>
  <si>
    <t>CGG002739321</t>
  </si>
  <si>
    <t>20:00 a 03:00</t>
  </si>
  <si>
    <t>Migración Distribuciones Hotel</t>
  </si>
  <si>
    <t>CHG002739496</t>
  </si>
  <si>
    <t>Precarga actualización de CISCO Fase 3</t>
  </si>
  <si>
    <t>CHG002717335</t>
  </si>
  <si>
    <t>21:30 a 00:30</t>
  </si>
  <si>
    <t>Actualización Fortimanager y Fortianalyzer 7.4.5 a 7.4.8</t>
  </si>
  <si>
    <t>CHG002739567</t>
  </si>
  <si>
    <t>08:00 a 13:00</t>
  </si>
  <si>
    <t>Actualización de CISCO Fase 3</t>
  </si>
  <si>
    <t>CHG002765690</t>
  </si>
  <si>
    <t>Actualización final descripciones Unity Puertos +49 Fase 1</t>
  </si>
  <si>
    <t>CHG002762670</t>
  </si>
  <si>
    <t xml:space="preserve">CHG002770873 </t>
  </si>
  <si>
    <t>Configuración de puertos en Triton para Thin Client STRITONS05E-09  port:5  MAC Address: 5c:28:86:51:69:25</t>
  </si>
  <si>
    <t>CHG002753608</t>
  </si>
  <si>
    <t>20:00 a 04:00</t>
  </si>
  <si>
    <t>Migración Distribuciones Centro Médico</t>
  </si>
  <si>
    <t>CHG002753599</t>
  </si>
  <si>
    <t>Nueva cámara en Luca de Tena - SCTASK22132195</t>
  </si>
  <si>
    <t>CHG002739547</t>
  </si>
  <si>
    <t>Precarga actualización de CISCO Fase 4</t>
  </si>
  <si>
    <t>CHG002739630</t>
  </si>
  <si>
    <t>Actualización de CISCO Fase 4</t>
  </si>
  <si>
    <t>CHG002790664</t>
  </si>
  <si>
    <t>CHG002806544</t>
  </si>
  <si>
    <t>23:00 a 1:30</t>
  </si>
  <si>
    <t>Incidencia balanceo de tráfico al respaldo en TSQ</t>
  </si>
  <si>
    <t>CHG002799200</t>
  </si>
  <si>
    <t>Cambio SFP Monomodo Bifibra CEJOSEFA2 - VCIXCN01 por cambio de trazado en JV</t>
  </si>
  <si>
    <t xml:space="preserve">TP cancelado con tiempo inferior a 24 horas			</t>
  </si>
  <si>
    <t>CHG002799195</t>
  </si>
  <si>
    <t>18:00 a 3:00</t>
  </si>
  <si>
    <t>Sustitución del equipo BMS ESTJSD10 - Sótano de Cantabria</t>
  </si>
  <si>
    <t>CHG002809957</t>
  </si>
  <si>
    <t>Interfaces Konecta - VCIXBO /CN</t>
  </si>
  <si>
    <t>CHG002788479 CHG002788547</t>
  </si>
  <si>
    <t>20:00 a 22:00</t>
  </si>
  <si>
    <t>Precarga actualización de CISCO Fase 5 y Piloto 9400</t>
  </si>
  <si>
    <t>CHG002792385 CHG002796644</t>
  </si>
  <si>
    <t>Actualización de CISCO Fase 5 y Piloto 9400</t>
  </si>
  <si>
    <t>CHG002753581</t>
  </si>
  <si>
    <t>08:00 a 15:00</t>
  </si>
  <si>
    <t>Migración Distribuciones Intercambiador</t>
  </si>
  <si>
    <t>CHG002833345</t>
  </si>
  <si>
    <t>23:00 a 00:00</t>
  </si>
  <si>
    <t>Show tech en RSTRITONSBE-01 y RSTRITONSBW-01</t>
  </si>
  <si>
    <t>CHG002808678</t>
  </si>
  <si>
    <t>Pruebas Conjuntas con Cisco para hacer pruebas de SNMP en RSBOACC1 y 2</t>
  </si>
  <si>
    <t>CHG002799681</t>
  </si>
  <si>
    <t>Precarga actualización de CISCO Fase 6</t>
  </si>
  <si>
    <t>CHG002799812</t>
  </si>
  <si>
    <t>08:00 a 17:00</t>
  </si>
  <si>
    <t>Actualización de CISCO Fase 6</t>
  </si>
  <si>
    <t>INC065675211</t>
  </si>
  <si>
    <t>7:00 a 8:00</t>
  </si>
  <si>
    <t>Sustitución SFP y fibra edificio Abelias</t>
  </si>
  <si>
    <t>CHG002771524</t>
  </si>
  <si>
    <t>Migración Distribuciones Solaruco</t>
  </si>
  <si>
    <t>CHG002873390</t>
  </si>
  <si>
    <t>22:00 a 6:30</t>
  </si>
  <si>
    <t>Actualización del nodo NAC NTXVVDNACP0001 a versión 3.4 P5 (tarea de validación) + INC066093220</t>
  </si>
  <si>
    <t>CHG002914306</t>
  </si>
  <si>
    <t>00:00 a 07:00</t>
  </si>
  <si>
    <t>Despliegue nuevo nodo NAC NTXVVDNACP0001 a versión 3.4 P5 (tarea de validación) + INC066157190</t>
  </si>
  <si>
    <t>CHG002890683</t>
  </si>
  <si>
    <t>Renovación Certificado wificontroller.bancosantander.es</t>
  </si>
  <si>
    <t>FLIP FLOP</t>
  </si>
  <si>
    <t>21:30 a 07:30</t>
  </si>
  <si>
    <t>Flip Flop Gravity Frankfurt</t>
  </si>
  <si>
    <t>INC066326758</t>
  </si>
  <si>
    <t>Push Controladoras</t>
  </si>
  <si>
    <t>CHG002914299</t>
  </si>
  <si>
    <t>Precarga actualización de CISCO Fase 7</t>
  </si>
  <si>
    <t>CHG002914300</t>
  </si>
  <si>
    <t>Actualización de CISCO Fase 7</t>
  </si>
  <si>
    <t>CHG002929201</t>
  </si>
  <si>
    <t>18:00 a 20:30</t>
  </si>
  <si>
    <t>WLCParís CHG002929201</t>
  </si>
  <si>
    <t>CHG002868498</t>
  </si>
  <si>
    <t>Precarga actualización de CISCO Fase 8</t>
  </si>
  <si>
    <t>CHG002868705</t>
  </si>
  <si>
    <t>Actualización de CISCO Fase 8</t>
  </si>
  <si>
    <t>CHG002949538</t>
  </si>
  <si>
    <t>Actualización WLCS (Wireless Controller) 9800 SCF (Levallois, Francia) VERSIÓN 17.12.07</t>
  </si>
  <si>
    <t>CHG002971942
CHG002971750</t>
  </si>
  <si>
    <t>19:30 a 23:00</t>
  </si>
  <si>
    <t>Cierre de puertos en Triton Square</t>
  </si>
  <si>
    <t>CHG002972205</t>
  </si>
  <si>
    <t>Torretas en Triton Square</t>
  </si>
  <si>
    <t>CHG002976726</t>
  </si>
  <si>
    <t>Precarga actualización de CISCO Fase 9</t>
  </si>
  <si>
    <t>CHG002976727</t>
  </si>
  <si>
    <t>Actualización de CISCO Fase 9</t>
  </si>
  <si>
    <t>08:30 a 13:30</t>
  </si>
  <si>
    <t>Migración Distribuciones Guardería</t>
  </si>
  <si>
    <t>CHG002978349</t>
  </si>
  <si>
    <t>Pasar la Vlan 780 por RSBOAD32A, RSBOAD32B y configurarla en SBOA3202 int Te3/0/1 int Te3/0/2 TenGigabitEthernet5/0/25</t>
  </si>
  <si>
    <t>CHG003004159</t>
  </si>
  <si>
    <t>Enrutamiento en necesario para permitir la conexión a los Cloud PC desde los edificios.</t>
  </si>
  <si>
    <t>INC067471438</t>
  </si>
  <si>
    <t>21:00 a 22:00</t>
  </si>
  <si>
    <t>Cambio de canal AP APMBOA421222 por interferencias zona PCN Maya (prueba Dani Portugués)</t>
  </si>
  <si>
    <t>CHG002986904</t>
  </si>
  <si>
    <t>Sustitución de Fibras y SFP Josefa Valcárcel</t>
  </si>
  <si>
    <t>CHG002978169</t>
  </si>
  <si>
    <t>19:00 a 20:30</t>
  </si>
  <si>
    <t>Shutdown final puertos Unity Place</t>
  </si>
  <si>
    <t>CHG002992209</t>
  </si>
  <si>
    <t>Carga de certificados en STACACSBO01-STACACSBE01-sanvccawavp0001-ssrwifibo01-ssrwifibe01</t>
  </si>
  <si>
    <t>CHG002998805</t>
  </si>
  <si>
    <t>Precarga actualización de CISCO Fase 10</t>
  </si>
  <si>
    <t>CHG003001011</t>
  </si>
  <si>
    <t>Actualización de CISCO Fase 10</t>
  </si>
  <si>
    <t>CHG003009678</t>
  </si>
  <si>
    <t>Enrutamiento en Core SDWAN RIVCIX de CGS y CTC para solventar SCTASK23666051</t>
  </si>
  <si>
    <t>CHG003026687</t>
  </si>
  <si>
    <t>Precarga actualización de CISCO Fase 11</t>
  </si>
  <si>
    <t>CHG003022872</t>
  </si>
  <si>
    <t>Actualización de CISCO Fase 11</t>
  </si>
  <si>
    <t>Precarga actualización de CISCO Fase 12</t>
  </si>
  <si>
    <t>Actualización de CISCO Fase 12</t>
  </si>
  <si>
    <t>Precarga actualización de CISCO Fase 13</t>
  </si>
  <si>
    <t>Actualización de CISCO Fase 13</t>
  </si>
  <si>
    <t>Precarga actualización de CISCO Fase 14</t>
  </si>
  <si>
    <t>Actualización de CISCO Fase 14</t>
  </si>
  <si>
    <t>Precarga actualización de CISCO Fase 15</t>
  </si>
  <si>
    <t>Actualización de CISCO Fase 15</t>
  </si>
  <si>
    <t>Precarga actualización de CISCO Fase 16</t>
  </si>
  <si>
    <t>Actualización de CISCO Fase 16</t>
  </si>
  <si>
    <t>Total</t>
  </si>
  <si>
    <t>Nombre</t>
  </si>
  <si>
    <t>Fecha</t>
  </si>
  <si>
    <t>Horario Previsto</t>
  </si>
  <si>
    <t>Exceso (horas)</t>
  </si>
  <si>
    <t>Causa</t>
  </si>
  <si>
    <t>M2+</t>
  </si>
  <si>
    <t>Realización Informe mensual</t>
  </si>
  <si>
    <t>Actualización equipos Abelias junto a Jorge Zamorano</t>
  </si>
  <si>
    <t>M3</t>
  </si>
  <si>
    <t>Realización de la operativa tras la Actualziación de equipos de Abelias junto a Jorge Zamorano</t>
  </si>
  <si>
    <t>Gestión de cambios</t>
  </si>
  <si>
    <t>Gestion de cambios</t>
  </si>
  <si>
    <t>M2</t>
  </si>
  <si>
    <t>Cambios Impresoras</t>
  </si>
  <si>
    <t>Actualización tras cambio de portátil</t>
  </si>
  <si>
    <t>Informe a terceros</t>
  </si>
  <si>
    <t>Incidencia INC054248339</t>
  </si>
  <si>
    <t>FUERA DE HORAS</t>
  </si>
  <si>
    <t xml:space="preserve">ID CAMBIO </t>
  </si>
  <si>
    <t>CHG001987118</t>
  </si>
  <si>
    <t>21:00 a 2:00</t>
  </si>
  <si>
    <t>Actualización de Licencias de máquinas corporativas SSRDHCPBE01 y SSRDHCPBO01</t>
  </si>
  <si>
    <t>INC050191720</t>
  </si>
  <si>
    <t xml:space="preserve">20.00 a 22:00 </t>
  </si>
  <si>
    <t>Cambio de fuente de alimentación STRITONS04W-09 Triton Square</t>
  </si>
  <si>
    <t>CHG001987093</t>
  </si>
  <si>
    <t xml:space="preserve">Reglas de FW Unity Place </t>
  </si>
  <si>
    <t>CHG002002932</t>
  </si>
  <si>
    <t xml:space="preserve">20.00 a 21:00 </t>
  </si>
  <si>
    <t>CHG002004718</t>
  </si>
  <si>
    <t>Continuación de las pruebas de maqueta Webex Calling</t>
  </si>
  <si>
    <t>Nº</t>
  </si>
  <si>
    <t>INC050265010</t>
  </si>
  <si>
    <t>22:00 a 00:00</t>
  </si>
  <si>
    <t>Incidencia en el circuito CETENA2 to VCIXCS1_NEW (soporte al cambio de SFP del equipo de Telefónica en VCIXCS1_NEW)</t>
  </si>
  <si>
    <t>CHG001993156</t>
  </si>
  <si>
    <t>Actualización de distribuciones Juniper en edificio Luca de Tena a la versión 21.4R3-S8.5</t>
  </si>
  <si>
    <t>CHG001993196</t>
  </si>
  <si>
    <t>20:00 a 01:00</t>
  </si>
  <si>
    <t>Actualización de Licencias de máquinas corporativas SSRDHCPBE01 y SSRDHCPBO01 (Infoblox)</t>
  </si>
  <si>
    <t>CHG002009913</t>
  </si>
  <si>
    <t>Plan de Migración de telefonía corporativa Cisco HCS a Cisco Webex Calling</t>
  </si>
  <si>
    <t>Flip FLop</t>
  </si>
  <si>
    <t>02:30 a 11:30</t>
  </si>
  <si>
    <t>Flip Flop Chile</t>
  </si>
  <si>
    <t>10:30 a 16:30</t>
  </si>
  <si>
    <t>CHG002037064</t>
  </si>
  <si>
    <t>20:00 a 2:00</t>
  </si>
  <si>
    <t>CHG002037528</t>
  </si>
  <si>
    <t>Proyecto Migración Clearpass a ISE - MAB Abelias 3/4</t>
  </si>
  <si>
    <t>CHG002044188</t>
  </si>
  <si>
    <t>Proyecto Migración Clearpass a ISE - MAB Josefa Valcárcel</t>
  </si>
  <si>
    <t>CHG002023149</t>
  </si>
  <si>
    <t>Cargar nuevo certificado HTTPS wifiguest.bancosantander.es</t>
  </si>
  <si>
    <t>CHG002009981</t>
  </si>
  <si>
    <t>CHG002039187</t>
  </si>
  <si>
    <t>Proyecto Migración Clearpass a ISE - MAB Tena - Suances</t>
  </si>
  <si>
    <t>CHG002034184</t>
  </si>
  <si>
    <t>19:00 a 02:00</t>
  </si>
  <si>
    <t>Proyecto Migración Clearpass a ISE - DOT1X Migración Pastilla Abelias</t>
  </si>
  <si>
    <t>CHG002028626</t>
  </si>
  <si>
    <t>21:00 a 00:00</t>
  </si>
  <si>
    <t>CHG002044179</t>
  </si>
  <si>
    <t>Proyecto Migración Clearpass a ISE - MAB Tena -Magdalena</t>
  </si>
  <si>
    <t>INC051408668</t>
  </si>
  <si>
    <t>15:00 a 22:00</t>
  </si>
  <si>
    <t>Incidencia caída miembro switch ESTJ1C02</t>
  </si>
  <si>
    <t>CHG002028346</t>
  </si>
  <si>
    <t>08:00 a 22:00</t>
  </si>
  <si>
    <t>CHG002051218</t>
  </si>
  <si>
    <t>08:00 a 11:00</t>
  </si>
  <si>
    <t>Proyecto Migración Clearpass a ISE - DOT1X Migración Edificio Abelias (4 pastillas)</t>
  </si>
  <si>
    <t>CHG002051257</t>
  </si>
  <si>
    <t>Proyecto Migración Clearpass a ISE - MAB Tena - Cantabria</t>
  </si>
  <si>
    <t>CHG002051438</t>
  </si>
  <si>
    <t>Proyecto Migración Clearpass a ISE - MAB Tena - Centro de Servicios y Pedreña</t>
  </si>
  <si>
    <t>CHG002051477</t>
  </si>
  <si>
    <t>Proyecto Migración Clearpass a ISE - DOT1X Tena - Centro de Servicios (Piloto)</t>
  </si>
  <si>
    <t>CHG002063548</t>
  </si>
  <si>
    <t>19:30 a 21:30</t>
  </si>
  <si>
    <t>Actualización GSGUEST Meraki</t>
  </si>
  <si>
    <t>CHG002054503</t>
  </si>
  <si>
    <t>CHG002065810</t>
  </si>
  <si>
    <t>Proyecto Migración Clearpass a ISE - MAB Salia</t>
  </si>
  <si>
    <t>CHG002065930</t>
  </si>
  <si>
    <t>Proyecto Migración Clearpass a ISE - MAB Recoletos</t>
  </si>
  <si>
    <t>CHG002065997</t>
  </si>
  <si>
    <t>18:30 a 20:30</t>
  </si>
  <si>
    <t>Proyecto Migración Clearpass a ISE - DOT1X Migración 1 planta Josefa Valcárcel</t>
  </si>
  <si>
    <t>CHG002079211</t>
  </si>
  <si>
    <t>Proyecto Migración Clearpass a ISE - DOT1X Migración 1 planta Salia</t>
  </si>
  <si>
    <t>CHG002079327</t>
  </si>
  <si>
    <t>Proyecto Migración Clearpass a ISE - DOT1X Migración 1 planta Recoletos</t>
  </si>
  <si>
    <t>CHG002079916</t>
  </si>
  <si>
    <t>21:30 a 23:30</t>
  </si>
  <si>
    <t>Proyecto Migración Clearpass a ISE - WIFI Migración WiFi Salia</t>
  </si>
  <si>
    <t>CHG002074545</t>
  </si>
  <si>
    <t>CHG002079951</t>
  </si>
  <si>
    <t>Proyecto Migración Clearpass a ISE - DOT1X Migración Luca de Tena 1/2</t>
  </si>
  <si>
    <t>CHG002097145</t>
  </si>
  <si>
    <t>Proyecto Migración Clearpass a ISE - DOT1X Migración Salia</t>
  </si>
  <si>
    <t>CHG002097205</t>
  </si>
  <si>
    <t>Proyecto Migración Clearpass a ISE - DOT1X Migración Recoletos</t>
  </si>
  <si>
    <t>CHG002097159</t>
  </si>
  <si>
    <t>Proyecto Migración Clearpass a ISE - DOT1X Migración Josefa Valcárcel</t>
  </si>
  <si>
    <t>CHG001924760</t>
  </si>
  <si>
    <t>02:00 a 08:00</t>
  </si>
  <si>
    <t>Cambio de firewalls actuales FWVCIXREDBE/FWVCIXREDBEO (EDIFICIOS) por nuevos por renovación de equipamiento</t>
  </si>
  <si>
    <t xml:space="preserve">TP cancelado con tiempo inferior a 2 horas			</t>
  </si>
  <si>
    <t>CHG002095589</t>
  </si>
  <si>
    <t>22:00 a 03:00</t>
  </si>
  <si>
    <t>H&amp;E Etiquetado de equipos en Unity Place</t>
  </si>
  <si>
    <t>CHG002106888</t>
  </si>
  <si>
    <t>00:00 a 03:00</t>
  </si>
  <si>
    <t>Sustitución equipo en Triton Square STRITONS05W-02</t>
  </si>
  <si>
    <t>CHG002100763</t>
  </si>
  <si>
    <t>CHG002108919</t>
  </si>
  <si>
    <t>Actualización APs Abelias</t>
  </si>
  <si>
    <t>CHG002124084</t>
  </si>
  <si>
    <t>20:30 a 1:30</t>
  </si>
  <si>
    <t>Apagado programado Equipos AEGON edificio Cristalia (CEAEGON1, CEAEGON2, SAEGON1, SAEGON2, WLCAEGON1)</t>
  </si>
  <si>
    <t>Trabajo avisado con tiempo inferior a 24 horas</t>
  </si>
  <si>
    <t>CHG002104762</t>
  </si>
  <si>
    <t>Proyecto Migración Clearpass a ISE - WIFI Migración WiFi Josefa Valcárcel</t>
  </si>
  <si>
    <t>CHG002106840</t>
  </si>
  <si>
    <t>Proyecto Migración Clearpass a ISE - WIFI Migración WiFi Luca de Tena</t>
  </si>
  <si>
    <t>CHG002115325</t>
  </si>
  <si>
    <t>INC053015850</t>
  </si>
  <si>
    <t>Basculado del enlace entre VCIXBE1 y CEABELIAS1</t>
  </si>
  <si>
    <t>CHG002102208</t>
  </si>
  <si>
    <t>05/04/20025</t>
  </si>
  <si>
    <t>CHG001921656</t>
  </si>
  <si>
    <t>00:00 a 06:00</t>
  </si>
  <si>
    <t>Cambio de los firewalls actuales FWSAN3RDBE/FWSAN3RDBO - FW TERCEROS de CheckPoint a Palo Alto</t>
  </si>
  <si>
    <t>08:00 a 09:00</t>
  </si>
  <si>
    <t>CHG002110029</t>
  </si>
  <si>
    <t>Shutdown puertos físicos RVICIXCN1</t>
  </si>
  <si>
    <t>CHG002141523</t>
  </si>
  <si>
    <t>Cambio Rango IP Proveedor MX-WARSAW</t>
  </si>
  <si>
    <t>CHG002149221</t>
  </si>
  <si>
    <t>Etiquetado de equipos Unity</t>
  </si>
  <si>
    <t>CHG002120099</t>
  </si>
  <si>
    <t>18:00 a 20:00</t>
  </si>
  <si>
    <t>Proyecto Migración Clearpass a ISE - Recoletos Dot1X</t>
  </si>
  <si>
    <t>CHG002171073</t>
  </si>
  <si>
    <t>22:00 a 01:00</t>
  </si>
  <si>
    <t>Upgrade Meraki (Varios Restauración - Centro Médico)</t>
  </si>
  <si>
    <t>CHG002132504</t>
  </si>
  <si>
    <t>Cambio prueba Script Puertos Unity SUNITYP00B-01</t>
  </si>
  <si>
    <t>CHG002152911</t>
  </si>
  <si>
    <t>Cambio de VRF NTP en RSBOAD100A, RSBOAD100B, rsboad11a y rsboad11b</t>
  </si>
  <si>
    <t>INC053017427</t>
  </si>
  <si>
    <t>Obtención logs AP sin gestión APM-TSQ-P5W-13</t>
  </si>
  <si>
    <t>CHG002142864</t>
  </si>
  <si>
    <t>Shutdown puertos físicos RIVCIXCS1</t>
  </si>
  <si>
    <t>CHG002176969</t>
  </si>
  <si>
    <t>Cambio de VRF NTP en rsboad12a, rsboad12b, rsboad21a, rsboad21b</t>
  </si>
  <si>
    <t>CHG002180271</t>
  </si>
  <si>
    <t>Cambio de VRF NTP en RILAFINCA1A, RILAFINCA1B, RIMLEGENDRE1, RIMLEGENDRE2</t>
  </si>
  <si>
    <t>CHG002170621</t>
  </si>
  <si>
    <t>19:00 a 00:00</t>
  </si>
  <si>
    <t>Precarga Upgrade equipos CISCO 9300 en edificio de ABELIAS - BMS Santander España por obsolecencia, nueva version cat9k_iosxe.17.12.04.SPA.bin</t>
  </si>
  <si>
    <t>CHG002158872</t>
  </si>
  <si>
    <t>Upgrade equipos CISCO 9300 en edificio de ABELIAS - BMS Santander España por obsolecencia, nueva version cat9k_iosxe.17.12.04.SPA.bin</t>
  </si>
  <si>
    <t>CHG002165027</t>
  </si>
  <si>
    <t>INC053169231</t>
  </si>
  <si>
    <t>Cambio SFP SUNITYP05A-01</t>
  </si>
  <si>
    <t>CHG002189105</t>
  </si>
  <si>
    <t>Upgrade Meraki (LANDCO Valencia, Sevilla, Barcelona)</t>
  </si>
  <si>
    <t>CHG002214018</t>
  </si>
  <si>
    <t>Cambio AP Triton 5º Planta</t>
  </si>
  <si>
    <t>CHG002205315</t>
  </si>
  <si>
    <t>22:00 a 00:30</t>
  </si>
  <si>
    <t>Upgrade Meraki (Wide Room - Solaruco - Escuela Infantil)</t>
  </si>
  <si>
    <t>CHG002201727</t>
  </si>
  <si>
    <t>Script obtención puertos en todo Unity</t>
  </si>
  <si>
    <t>CHG002201965</t>
  </si>
  <si>
    <t>20:00 a 21:30</t>
  </si>
  <si>
    <t>Upgrade Meraki (Polonia - SCIB)</t>
  </si>
  <si>
    <t>CHG002207818</t>
  </si>
  <si>
    <t>Precarga Upgrade equipos CISCO 9300 en edificio de ABELIAS - Usuarios Santander España por obsolecencia, nueva version cat9k_iosxe.17.12.04.SPA.bin</t>
  </si>
  <si>
    <t>CHG002207883</t>
  </si>
  <si>
    <t>08:00 a 18:00</t>
  </si>
  <si>
    <t>Upgrade equipos CISCO 9300 en edificio de ABELIAS - Usuarios Santander España por obsolecencia, nueva version cat9k_iosxe.17.12.04.SPA.bin</t>
  </si>
  <si>
    <t>CHG002210830</t>
  </si>
  <si>
    <t>Actualización de versiones de APs en Abelias</t>
  </si>
  <si>
    <t>CHG002237457</t>
  </si>
  <si>
    <t>Rutas en SDWAN</t>
  </si>
  <si>
    <t>CHG002218243</t>
  </si>
  <si>
    <t>Upgrade Meraki (Test WIFI6 - CGS Mobility Corner)</t>
  </si>
  <si>
    <t>CHG002207677</t>
  </si>
  <si>
    <t>Carga Script Compliance Juniper</t>
  </si>
  <si>
    <t>CHG002208713</t>
  </si>
  <si>
    <t>Plan de Migración de telefonía corporativa Cisco HCS a Cisco Webex Calling - Cambio 6 de 15 - Bloque ACDs</t>
  </si>
  <si>
    <t>CHG002234846</t>
  </si>
  <si>
    <t>Traslado del cableado del switch de BMS de JV34 ESKC0203 a nuevo patch pannel</t>
  </si>
  <si>
    <t xml:space="preserve"> CHG002234738</t>
  </si>
  <si>
    <t>Actualización de versiones de APs en Tena</t>
  </si>
  <si>
    <t>CHG002218457</t>
  </si>
  <si>
    <t>Upgrade equipos CISCO 9300 en edificios CEABELIAS1 y 2 CEJOSEFA1 y 2 por obsolecencia, nueva version cat9k_iosxe.17.12.04.SPA.bin</t>
  </si>
  <si>
    <t>CHG002223185</t>
  </si>
  <si>
    <t>CHG002242934</t>
  </si>
  <si>
    <t>Precarga Upgrade equipos CISCO WS-C2960X-48FPD-L Seguridad CGS por obsolecencia, nueva version c2960x-universalk9-mz.152-7.E11.bin</t>
  </si>
  <si>
    <t>CHG002243122</t>
  </si>
  <si>
    <t>Upgrade equipos CISCO WS-C2960X-48FPD-L Seguridad CGS por obsolecencia, nueva version c2960x-universalk9-mz.152-7.E11.bin</t>
  </si>
  <si>
    <t>Flip</t>
  </si>
  <si>
    <t>20:00 a 06:00</t>
  </si>
  <si>
    <t>Flip Flop</t>
  </si>
  <si>
    <t>Flop</t>
  </si>
  <si>
    <t>05:30 a 9:30</t>
  </si>
  <si>
    <t>CHG002260897</t>
  </si>
  <si>
    <t>Creation / Modification Logs</t>
  </si>
  <si>
    <t>CHG002278955</t>
  </si>
  <si>
    <t>21:00 a 02:00</t>
  </si>
  <si>
    <t>Upgrade Meraki (Dehesa - CGS)</t>
  </si>
  <si>
    <t>CHG002279848</t>
  </si>
  <si>
    <t>Upgrade Meraki (Marisma y Pinar - CGS)</t>
  </si>
  <si>
    <t>INC055952743</t>
  </si>
  <si>
    <t>Incidencia Raid Infoblox</t>
  </si>
  <si>
    <t>CHG002292952</t>
  </si>
  <si>
    <t>Upgrade Meraki (CGS)</t>
  </si>
  <si>
    <t>CHG002296665</t>
  </si>
  <si>
    <t>CHG002296718</t>
  </si>
  <si>
    <t>CHG002293209</t>
  </si>
  <si>
    <t>08:00 a 12:00</t>
  </si>
  <si>
    <t>CHG002299212</t>
  </si>
  <si>
    <t>UK - Modification of communications equipment descriptions Triton</t>
  </si>
  <si>
    <t>CHG002302962</t>
  </si>
  <si>
    <t>CHG002303051</t>
  </si>
  <si>
    <t>18:30 a 02:00</t>
  </si>
  <si>
    <t>Precarga Upgrade equipos Cisco 9300 Alhambra por obsolescencia, nueva versión cat9k_iosxe.17.12.04.SPA.bin</t>
  </si>
  <si>
    <t>CHG002292626</t>
  </si>
  <si>
    <t>Upgrade equipos Cisco 9300 Alhambra por obsolescencia, nueva versión cat9k_iosxe.17.12.04.SPA.bin</t>
  </si>
  <si>
    <t>CHG002312857</t>
  </si>
  <si>
    <t>Modificación de accesos https a equipos de UK RIUNITYBA-01 y RIUNITYBB-01</t>
  </si>
  <si>
    <t>CHG002247592</t>
  </si>
  <si>
    <t>Actualización de versiones de APs en Recoletos</t>
  </si>
  <si>
    <t>CHG002312402</t>
  </si>
  <si>
    <t>Modificación de filtros en UK Swift</t>
  </si>
  <si>
    <t>CHG002301163</t>
  </si>
  <si>
    <t>CHG002312531</t>
  </si>
  <si>
    <t>CHG002319211</t>
  </si>
  <si>
    <t>19:00 a 22:30</t>
  </si>
  <si>
    <t>UK - Shutdown Puertos con más de 3 meses down</t>
  </si>
  <si>
    <t>CHG002319108</t>
  </si>
  <si>
    <r>
      <rPr>
        <sz val="11"/>
        <color rgb="FF000000"/>
        <rFont val="Calibri"/>
        <family val="2"/>
        <scheme val="minor"/>
      </rPr>
      <t>CHG002321762</t>
    </r>
    <r>
      <rPr>
        <sz val="8"/>
        <color rgb="FF000000"/>
        <rFont val="Calibri"/>
        <family val="2"/>
        <scheme val="minor"/>
      </rPr>
      <t xml:space="preserve"> / </t>
    </r>
    <r>
      <rPr>
        <sz val="11"/>
        <color rgb="FF000000"/>
        <rFont val="Calibri"/>
        <family val="2"/>
        <scheme val="minor"/>
      </rPr>
      <t>CHG002332038</t>
    </r>
  </si>
  <si>
    <t>UK - Shutdown Puertos con más de 3 meses down / no acceso por SSH a RIUNITYBA-01</t>
  </si>
  <si>
    <t>CHG002352862</t>
  </si>
  <si>
    <t>Cambio de punto de corriente a alimentación sucia ESKC0203</t>
  </si>
  <si>
    <t>CHG002368484</t>
  </si>
  <si>
    <t>Precarga Upgrade SBOA8304 CISCO C9200L-48P-4X por obsolecencia, nueva version cat9k_lite_iosxe.17.12.05.SPA.bin</t>
  </si>
  <si>
    <t>CHG002371301</t>
  </si>
  <si>
    <t>08:00 a 10:00</t>
  </si>
  <si>
    <t>Upgrade equipos SBOA8304 CISCO C9200L-48P-4X por obsolecencia, nueva version cat9k_lite_iosxe.17.12.05.SPA.bin</t>
  </si>
  <si>
    <t>CHG002377289</t>
  </si>
  <si>
    <t>Reinicio APs</t>
  </si>
  <si>
    <t>CHG002371301
CHG002374217</t>
  </si>
  <si>
    <t>Cambios Plantillas Estándar UK (Port authentication // Debug/Monitoring)</t>
  </si>
  <si>
    <t>CHG002376956
CHG002376998</t>
  </si>
  <si>
    <t>Cambios Plantillas Estándar UK (Saving Equipment Configuration // Creation / Modification / Delete Vlan and/or Subnets)</t>
  </si>
  <si>
    <t>CHG002395821</t>
  </si>
  <si>
    <t>20:00 a 23:30</t>
  </si>
  <si>
    <t>Reinicio de WLC ( WIFI)  de PCN de MAYA  por recomendacion de Fabricante Cisco.</t>
  </si>
  <si>
    <t>CHG002380541
CHG002380647</t>
  </si>
  <si>
    <t>Cambios Plantillas Estándar UK (Creation / Modification routes // Configure NTP)</t>
  </si>
  <si>
    <t>CHG002380700
CHG002380763</t>
  </si>
  <si>
    <t>Cambios Plantillas Estándar UK (Shutdown / not shutdown interfaces // Creation / Modification DNS)</t>
  </si>
  <si>
    <t>CHG002384683</t>
  </si>
  <si>
    <t>Cambios Plantillas Estándar UK (Creation / Modification DHCP)</t>
  </si>
  <si>
    <t>INC057443605</t>
  </si>
  <si>
    <t>Sustitución AP EQTASB03 en Luca de Tena</t>
  </si>
  <si>
    <t>CHG002390424
CHG002390525</t>
  </si>
  <si>
    <t>Cambios Plantillas Estándar UK ( Configuration access switch port for user interfaces // Configuration access switch port for user interfaces )</t>
  </si>
  <si>
    <t>CHG002421149</t>
  </si>
  <si>
    <t>Reinicio de distribución de Tena por pérdida de paquetes</t>
  </si>
  <si>
    <t>CHG002409252</t>
  </si>
  <si>
    <t>Asistencia Cambio Controladora Inalámbrica PCN Maya (José María Andrés Becerra)</t>
  </si>
  <si>
    <t>CHG002390642
CHG002390678</t>
  </si>
  <si>
    <t>Cambios Plantillas Estándar UK (Configure local users // Creation / Modification TACACs / RADIUS)</t>
  </si>
  <si>
    <t>CHG002390729
CHG002390792</t>
  </si>
  <si>
    <t>Cambios Plantillas Estándar UK (Configure SNMP // Creation / Modification Logs)</t>
  </si>
  <si>
    <t>CHG002390385</t>
  </si>
  <si>
    <t>Precarga Upgrade equipos CISCO C9200L-48P-4X por obsolecencia, nueva version cat9k_lite_iosxe.17.12.05.SPA.bin</t>
  </si>
  <si>
    <t>CHG002395371</t>
  </si>
  <si>
    <t>Upgrade equipos CISCO C9200L-48P-4X por obsolecencia, nueva version cat9k_lite_iosxe.17.12.05.SPA.bin</t>
  </si>
  <si>
    <t>CHG002374032</t>
  </si>
  <si>
    <t>Upgrade SSRWIFIBO01, SSRWIFIBE01, CZAAUSE1, CZBAUSB2, CSAAUSD1, CSAAUSI7</t>
  </si>
  <si>
    <t>CHG002395510
CHG002395344</t>
  </si>
  <si>
    <t>Cambios Plantillas Estándar UK  (Shutdown / not shutdown interfaces // Creation / Modification / Delete Vlan and/or Subnets)</t>
  </si>
  <si>
    <t>CHG002395655</t>
  </si>
  <si>
    <t xml:space="preserve">Cambios Plantillas Estándar UK (Saving Equipment Configuration) </t>
  </si>
  <si>
    <t>CHG002405417</t>
  </si>
  <si>
    <t>Cambios Plantillas Estándar UK (Saving Equipment Configuration)</t>
  </si>
  <si>
    <t>CHG002408442</t>
  </si>
  <si>
    <t>Cambios Plantillas Estándar UK Creation/Modify Authentication on switch port</t>
  </si>
  <si>
    <t>CHG002444819</t>
  </si>
  <si>
    <t>Modificacion en la configuracion de la controladora Wifi de Luca de Tena por incidencia</t>
  </si>
  <si>
    <t>CHG002431886</t>
  </si>
  <si>
    <t>Upgrade SSRWIFIGUESTBE01, SSRWIFIGUESTBO01, ESJAA001, ESJAA002</t>
  </si>
  <si>
    <t>CHG002454543</t>
  </si>
  <si>
    <t>Configuración de puertos en UNITY</t>
  </si>
  <si>
    <t>CHG002469869</t>
  </si>
  <si>
    <t>Revisión Wifi Luca de Tena</t>
  </si>
  <si>
    <t>CHG002447077</t>
  </si>
  <si>
    <t xml:space="preserve">Precarga Upgrade equipos </t>
  </si>
  <si>
    <t>CHG002447142</t>
  </si>
  <si>
    <t xml:space="preserve">Upgrade equipos CISCO </t>
  </si>
  <si>
    <t>CHG002457427</t>
  </si>
  <si>
    <t>09:00 a 13:00</t>
  </si>
  <si>
    <t>Limpieza de config y procesos Luca de Tena</t>
  </si>
  <si>
    <t>CHG002481499</t>
  </si>
  <si>
    <t>TSQ Cambio Vlan STRITONS05W-21 Puerto 48</t>
  </si>
  <si>
    <t xml:space="preserve">CHG002429489 </t>
  </si>
  <si>
    <t>00:00 a 02:00</t>
  </si>
  <si>
    <t>Cambio de los firewalls actuales FWSANVCIXBO02/BE 02 por los nuevos equipos</t>
  </si>
  <si>
    <t>CHG002500372</t>
  </si>
  <si>
    <t>Precarga Upgrade equipos 2960</t>
  </si>
  <si>
    <t>CHG002487845</t>
  </si>
  <si>
    <t>00:00 a 05:00</t>
  </si>
  <si>
    <t>Sustitución tarjeta del modulo 1 del Switch DSWIXBO01 por problema HW</t>
  </si>
  <si>
    <t>CHG002500409</t>
  </si>
  <si>
    <t>08:00 a 21:00</t>
  </si>
  <si>
    <t>Upgrade equipos CISCO 2960</t>
  </si>
  <si>
    <t>CHG002493866</t>
  </si>
  <si>
    <t>Shutdown Puertos Unity</t>
  </si>
  <si>
    <t>CHG002493675 CHG002508846</t>
  </si>
  <si>
    <t>Autenticación Puertos en TSQ</t>
  </si>
  <si>
    <t>CHG002493935</t>
  </si>
  <si>
    <t>CHG002509260</t>
  </si>
  <si>
    <t>CHG002509283</t>
  </si>
  <si>
    <t>CHG002390190</t>
  </si>
  <si>
    <t>Upgrade de los FWs de Palo alto  (navegación de edificios. ) aplicando un  HOTFIX 11.1.4-h16. FWGUESTBE03</t>
  </si>
  <si>
    <t>CHG002543634</t>
  </si>
  <si>
    <t>Reglas de Firewall en TSQ</t>
  </si>
  <si>
    <t>CHG002547165</t>
  </si>
  <si>
    <t>Cambio contraseña SSID OpenbankS en Santa Bárbara</t>
  </si>
  <si>
    <t>CHG002521281</t>
  </si>
  <si>
    <t>CHG002530326</t>
  </si>
  <si>
    <t>Upgrade WLC_TENA_01, WLC_TENA_02</t>
  </si>
  <si>
    <t>Flip-Flop</t>
  </si>
  <si>
    <t>05:00 a 14:30</t>
  </si>
  <si>
    <t>Flip Flop Gravity México</t>
  </si>
  <si>
    <t>CHG002521184
CHG002550930
CHG002554525</t>
  </si>
  <si>
    <t>Shutdown Puertos Unity / UK - ThinkClient Port Configuration / UK - Videoconferencia Port Configuration</t>
  </si>
  <si>
    <t>CHG002551959</t>
  </si>
  <si>
    <t>Reglas de Firewall en TSQ SCTASK20245856</t>
  </si>
  <si>
    <t>CHG002571242</t>
  </si>
  <si>
    <t>CHG002571325</t>
  </si>
  <si>
    <t>CHG002390176</t>
  </si>
  <si>
    <t>00:00 a 02:30</t>
  </si>
  <si>
    <t>Upgrade Palo Alto FWs to hotfix 11.1.4-h16 due to the detection of a vulnerability Edificios</t>
  </si>
  <si>
    <t>INC060436245</t>
  </si>
  <si>
    <t>19:30 a 22:30</t>
  </si>
  <si>
    <t>Revisión Bucle Santa Bárbara</t>
  </si>
  <si>
    <t>CHG002568182</t>
  </si>
  <si>
    <t>Revisión Cableado Centro de Jardinería - Maya - SBOA4202A - RSBOAD42B</t>
  </si>
  <si>
    <t>CHG002589936</t>
  </si>
  <si>
    <t>Reinicio de SBOA1121</t>
  </si>
  <si>
    <t>CHG002530261</t>
  </si>
  <si>
    <t>Actualización Descripciones Interfaces Triton</t>
  </si>
  <si>
    <t>CHG002577176</t>
  </si>
  <si>
    <t>CHG002607342</t>
  </si>
  <si>
    <t>Reunión Fabricante pruebas SNMP RSCTCCS</t>
  </si>
  <si>
    <t>CHG002590731</t>
  </si>
  <si>
    <t xml:space="preserve">Upgrade Controladoras Abelias </t>
  </si>
  <si>
    <t>CHG002636453</t>
  </si>
  <si>
    <t>Descripción Puertos Unity Fase 1</t>
  </si>
  <si>
    <t>CHG002625237</t>
  </si>
  <si>
    <t>Shutdown / No shutdown puerto Te1/10 en RSBOAD82A por err-Disable</t>
  </si>
  <si>
    <t>CHG002629185</t>
  </si>
  <si>
    <t>Revisión de cableado debido a que se han detectados errores en uno de los puertos de la distribución rsboad42a de Maya</t>
  </si>
  <si>
    <t>CHG002639231</t>
  </si>
  <si>
    <t>Descripción Puertos Unity Fase 2</t>
  </si>
  <si>
    <t>CHG002618107</t>
  </si>
  <si>
    <t>CHG002639131</t>
  </si>
  <si>
    <t>Descripción Puertos Unity Fase 3</t>
  </si>
  <si>
    <t>CHG002624100</t>
  </si>
  <si>
    <t>Cambio Autenticación y Vlan Telefonía 981 en Santa Bárbara SSB1NOC, RSSB1, RSSB2</t>
  </si>
  <si>
    <t>CHG002629277</t>
  </si>
  <si>
    <t>Upgrade Controladoras Tunnel y Recoletos</t>
  </si>
  <si>
    <t>CHG002543669</t>
  </si>
  <si>
    <t>Firewall SCF</t>
  </si>
  <si>
    <t>CHG002647520</t>
  </si>
  <si>
    <t>Descripción Puertos Unity Fase 4</t>
  </si>
  <si>
    <t>CHG002639176</t>
  </si>
  <si>
    <t>Descripción Puertos Unity Fase 5</t>
  </si>
  <si>
    <t>CHG002626753</t>
  </si>
  <si>
    <t>Cambio Autenticación y Vlan Multimedia 3811 Tena ESTJCC01, ERTJRG01</t>
  </si>
  <si>
    <t>CHG002647553</t>
  </si>
  <si>
    <t>Descripción Puertos Unity Fase 6</t>
  </si>
  <si>
    <t>CHG002648519</t>
  </si>
  <si>
    <t>Revisión final descripciones en Triton</t>
  </si>
  <si>
    <t>CHG002655188</t>
  </si>
  <si>
    <t>CHG002635775</t>
  </si>
  <si>
    <t>SNMP en RSBOACC2, RSCAST24B y RSCTCCN</t>
  </si>
  <si>
    <t>CHG002647696</t>
  </si>
  <si>
    <t>SNMP en RSBOACC1 y RSCAST24A</t>
  </si>
  <si>
    <t>CHG002661047</t>
  </si>
  <si>
    <t>Revisión de cableado debido a que se han detectados errores entre uno de los puertos de la distribución rsboad42a de Maya y SBOASEG4201.</t>
  </si>
  <si>
    <t>CHG002671574</t>
  </si>
  <si>
    <t>Mac Sticky en Triton</t>
  </si>
  <si>
    <t>TOTAL</t>
  </si>
  <si>
    <t>CHG001412173</t>
  </si>
  <si>
    <t>UK Triton</t>
  </si>
  <si>
    <t>15:00 -18:00</t>
  </si>
  <si>
    <t>CHG001418843</t>
  </si>
  <si>
    <t>Actualización</t>
  </si>
  <si>
    <t>23:00 -01:00</t>
  </si>
  <si>
    <t>CHG001427685</t>
  </si>
  <si>
    <t>Unity UK</t>
  </si>
  <si>
    <t>20:00 - 22:00</t>
  </si>
  <si>
    <t>Ignacio Loperena</t>
  </si>
  <si>
    <t>CHG001418818</t>
  </si>
  <si>
    <t>Actualización de firewall FWBOAD421PCN</t>
  </si>
  <si>
    <t>22:00 - 00:00</t>
  </si>
  <si>
    <t>CHG001424737</t>
  </si>
  <si>
    <t>10:00-14:00</t>
  </si>
  <si>
    <t>INC039637758</t>
  </si>
  <si>
    <t>Luca de Tena - ESTJSB02</t>
  </si>
  <si>
    <t>21:30-00:00</t>
  </si>
  <si>
    <t>Boris Cerda</t>
  </si>
  <si>
    <t>CHG001427633</t>
  </si>
  <si>
    <t>Upgrade Unity</t>
  </si>
  <si>
    <t>08:00-13:30</t>
  </si>
  <si>
    <t>CHG001433571</t>
  </si>
  <si>
    <t>Cargar certificado wifiguest.bancosantander.es por caducidad. Tena</t>
  </si>
  <si>
    <t>22:00-00:00</t>
  </si>
  <si>
    <t>INC039889558</t>
  </si>
  <si>
    <t>Incidencia Luca de Tena</t>
  </si>
  <si>
    <t>21:30-03:00</t>
  </si>
  <si>
    <t>18:00-23:00</t>
  </si>
  <si>
    <t>10:00-12:00</t>
  </si>
  <si>
    <t>CHG001459303</t>
  </si>
  <si>
    <t>Cambios Cyber DHCP/DNS</t>
  </si>
  <si>
    <t>8:00-10:00</t>
  </si>
  <si>
    <t>CHG001453311</t>
  </si>
  <si>
    <t>Upgrade de Juniper</t>
  </si>
  <si>
    <t>08:00-16:00</t>
  </si>
  <si>
    <t>CHG001476496</t>
  </si>
  <si>
    <t>Actualización Fortimanager Unity</t>
  </si>
  <si>
    <t>09:00-11:00</t>
  </si>
  <si>
    <t>CHG001453325</t>
  </si>
  <si>
    <t>Luis Alberto Velasco</t>
  </si>
  <si>
    <t>CHG001453066</t>
  </si>
  <si>
    <t>CHG001499600</t>
  </si>
  <si>
    <t>Basculado Servicio entre los centrales de Santander Consumer España</t>
  </si>
  <si>
    <t>22:00-23:00</t>
  </si>
  <si>
    <t>CHG001505253</t>
  </si>
  <si>
    <t>Actualización distribuciones usuarios y BMS Luca de Tena</t>
  </si>
  <si>
    <t>8:00-14:00</t>
  </si>
  <si>
    <t>INC041352921</t>
  </si>
  <si>
    <t>Incidencia descartes VCIXBE1_NEW - CEFINCA4-1</t>
  </si>
  <si>
    <t>CHG001525518</t>
  </si>
  <si>
    <t>Cambio Adecuación Configuraciones Infraestructura Central Santander Consumer España</t>
  </si>
  <si>
    <t>23:00-00:00</t>
  </si>
  <si>
    <t>CHG001496285</t>
  </si>
  <si>
    <t xml:space="preserve">Actualización Controladoras Aruba Mobility Centrales JV34-36 - Test </t>
  </si>
  <si>
    <t>08:00-14:30</t>
  </si>
  <si>
    <t>INC041681352</t>
  </si>
  <si>
    <t>Incidencia Luca de Tena Controladora Wifi</t>
  </si>
  <si>
    <t>CHG001496333</t>
  </si>
  <si>
    <t xml:space="preserve">Actualización Controladoras Aruba Abelias Recoletos </t>
  </si>
  <si>
    <t>08:00-15:30</t>
  </si>
  <si>
    <t>CHG001496349</t>
  </si>
  <si>
    <t xml:space="preserve">Actualización Controladoras Aruba Tena </t>
  </si>
  <si>
    <t>00:00-8:00</t>
  </si>
  <si>
    <t>08:00-18:30</t>
  </si>
  <si>
    <t>CHG001583829</t>
  </si>
  <si>
    <t xml:space="preserve">Downgrade Controladoras Aruba Abelias Recoletos </t>
  </si>
  <si>
    <t>08:00-13:00</t>
  </si>
  <si>
    <t>Downgrade Controladoras Luca de Tena - Josefa Valcarcel</t>
  </si>
  <si>
    <t>22:00-3:00</t>
  </si>
  <si>
    <t>Downgrade Controladoras Josefa Valcarcel - Josefa Valcarcel</t>
  </si>
  <si>
    <t>CHG001599373</t>
  </si>
  <si>
    <t>Ampliación del buffer de la cola de QoS para evitar descartes en interfaces de VCIXBE1_NEW</t>
  </si>
  <si>
    <t>CHG001586858</t>
  </si>
  <si>
    <t>Cambio de cableado en VCIXBE1_NEW</t>
  </si>
  <si>
    <t>CHG001626079</t>
  </si>
  <si>
    <t>Enrutamiento de la IP 96.16.84.20 (msftconnecttest.com) en breakouts Inet.</t>
  </si>
  <si>
    <t>CHG001616546</t>
  </si>
  <si>
    <t>Controladora Aruba Abelias/Tena</t>
  </si>
  <si>
    <t>INC042870822</t>
  </si>
  <si>
    <t>Problemas Tacac-Clearpass</t>
  </si>
  <si>
    <t>22:00 - 2:00</t>
  </si>
  <si>
    <t>CHG001640614</t>
  </si>
  <si>
    <t>Ampliación de Colas de buffer en VCIXBO1_NEW</t>
  </si>
  <si>
    <t>22:00 a 23:59</t>
  </si>
  <si>
    <t xml:space="preserve">CHG001632364 </t>
  </si>
  <si>
    <t>Actualización Meraki Dehesa + Seguridad Dehesa - ISRA +</t>
  </si>
  <si>
    <t>21:00 a 23:00</t>
  </si>
  <si>
    <t>CHG001640672</t>
  </si>
  <si>
    <t>Configuración de ACL IPv6 en MLegendre Meraki</t>
  </si>
  <si>
    <t>CHG001649199</t>
  </si>
  <si>
    <t>Modificación de los clearpass de Edificios de SanEs los actuales DNS por los nuevos 107.3.8.211 y 107.3.8.212</t>
  </si>
  <si>
    <t>CHG001642510</t>
  </si>
  <si>
    <t>Cambios de los Radius de La Finca 4</t>
  </si>
  <si>
    <t>CHG001645088</t>
  </si>
  <si>
    <t>Actualización Meraki Pinar Marisma + seguridad Marisma  - DANI +</t>
  </si>
  <si>
    <t>9:00 a 15:00</t>
  </si>
  <si>
    <t>CHG001666579</t>
  </si>
  <si>
    <t>Por alarma en la caducidad de "Radius Server Certificate" del Clearpass, se requiere la actualización de dichos certificados.</t>
  </si>
  <si>
    <t>22:00 a 02:00</t>
  </si>
  <si>
    <t>CHG001669754</t>
  </si>
  <si>
    <t>Ampliación de Colas de buffer en VCIXBE1_NEW</t>
  </si>
  <si>
    <t>23:00 a 2:00</t>
  </si>
  <si>
    <t>CHG001669869</t>
  </si>
  <si>
    <t>Cambio en el ClearPass con Carlos en Abelias y Tena</t>
  </si>
  <si>
    <t>CHG001663473</t>
  </si>
  <si>
    <t>Actualización Meraki Solaruco, Hotel, Intercambiador, Seguridad intercambiador y CPD ESTE</t>
  </si>
  <si>
    <t>09:00 a 14:30</t>
  </si>
  <si>
    <t>INC043588029</t>
  </si>
  <si>
    <t>Reinicio Pila ESTJSA10</t>
  </si>
  <si>
    <t>CHG001471329</t>
  </si>
  <si>
    <t xml:space="preserve">Movimiento de interfaces de cobre en switches de la red White de Santander  </t>
  </si>
  <si>
    <t>CHG001683328</t>
  </si>
  <si>
    <t>Actualización Mobility Master</t>
  </si>
  <si>
    <t>20:00 a 24:00</t>
  </si>
  <si>
    <t>CHG001682065</t>
  </si>
  <si>
    <t>Reinicio CdM Telefónica Finca4</t>
  </si>
  <si>
    <t>CHG001701904</t>
  </si>
  <si>
    <t>Enrutamiento en RVCIX</t>
  </si>
  <si>
    <t>INC043930330</t>
  </si>
  <si>
    <t>Incidencia puerto Gi1/0/48 caído en VCIXCS1_NEW</t>
  </si>
  <si>
    <t>CHG001690197</t>
  </si>
  <si>
    <t>Revisión de conectividad WiFi tras actualización de controladora por parte de Carlos Bourgeon</t>
  </si>
  <si>
    <t>CHG001692148</t>
  </si>
  <si>
    <t>Actualización Meraki Centro Médico, Polideportivo, Arrecife y Maya + Seguridad</t>
  </si>
  <si>
    <t>09:00 a 16:00</t>
  </si>
  <si>
    <t xml:space="preserve">CHG001704522 </t>
  </si>
  <si>
    <t>SDWAN Routers 2 CTC, M legendre ,  Castellana24 - Dani - Fernando Martín</t>
  </si>
  <si>
    <t>21:00 a 03:00</t>
  </si>
  <si>
    <t>CHG001671780</t>
  </si>
  <si>
    <t>Actualización Firewall</t>
  </si>
  <si>
    <t>CHG001726945</t>
  </si>
  <si>
    <t>Añadir rutas en los equipos SDWAN centrales de VCIX para corregir routing de vuelta..</t>
  </si>
  <si>
    <t>CHG001716539</t>
  </si>
  <si>
    <t>Cambio de plantilla del clearpass (visita Abelias-Tena-JV)</t>
  </si>
  <si>
    <t>CHG001701941</t>
  </si>
  <si>
    <t>Actualización Meraki CTC, Mauricio Legendre y Castellana24 - Servicio</t>
  </si>
  <si>
    <t xml:space="preserve">Fernando Martín </t>
  </si>
  <si>
    <t>INC044870375</t>
  </si>
  <si>
    <t>30/07/02024</t>
  </si>
  <si>
    <t>Visita a Maya para reinicio del módulo 1 en el equipo RSBOAD42B</t>
  </si>
  <si>
    <t>CHG001732907</t>
  </si>
  <si>
    <t>Migracion DNS de WLC Aruba (visita Abelias-Tena-JV)</t>
  </si>
  <si>
    <t>CHG001747800</t>
  </si>
  <si>
    <t>Añadir rutas en SDWAN y VCIX</t>
  </si>
  <si>
    <t>CHG001751676</t>
  </si>
  <si>
    <t>Por instalación de 2 nuevas controladoras WIFI ARUBA 7210, será necesario el shut/no shut de interfaces en el elemento CRACUSD2.</t>
  </si>
  <si>
    <t>19:30 a 00:30</t>
  </si>
  <si>
    <t>CHG001760230</t>
  </si>
  <si>
    <t>Añadir nueva red de Umbrella en edificios SDWAN</t>
  </si>
  <si>
    <t>CHG001745179</t>
  </si>
  <si>
    <t>Migración de la máquina virtual Airwave sanvccawavp0001 a la nueva máquina sanvccawavp0002</t>
  </si>
  <si>
    <t>00:30 a 03:30</t>
  </si>
  <si>
    <t>CHG001751905</t>
  </si>
  <si>
    <t>Reemplazo de Router/Firewall en Warsaw/Polonia por avería</t>
  </si>
  <si>
    <t>20:00 a 05:00</t>
  </si>
  <si>
    <t>CHG001770520</t>
  </si>
  <si>
    <t>Reinicio FortiSwitch alarmado por exceso de uso de memoria</t>
  </si>
  <si>
    <t>CHG001763620</t>
  </si>
  <si>
    <t>Tras la incidencia INC043930329 se cambia GBIC en mal estado por uno que se encontraba en el puerto Twe5/0/27 en VCIXCN1_NEW.
Cambio para sustituir el GBIC por uno sin errores en el puerto Twe5/0/27</t>
  </si>
  <si>
    <t>CHG001767499</t>
  </si>
  <si>
    <t>17:00 a 20:00</t>
  </si>
  <si>
    <t>CHG001760146</t>
  </si>
  <si>
    <t>Upgrade versión routers Wifi Invitados Edificio Luca de Tena por obsolescencia</t>
  </si>
  <si>
    <t>CHG001787848</t>
  </si>
  <si>
    <t>Añadir  el dominio de Dynatrace sanes-pro.live.dynatrace.com, para que apunte hacia los Firewalls de Palo Alto.</t>
  </si>
  <si>
    <t>CHG001779555</t>
  </si>
  <si>
    <t>Upgrade versión routers Wifi Invitados Edificio Abelias por obsolescencia</t>
  </si>
  <si>
    <t>CHG001792816</t>
  </si>
  <si>
    <t>Actualización de switch Juniper EX3400 de test ubicado en Abelias a la versión 22.4</t>
  </si>
  <si>
    <t>17:00 a 22:00</t>
  </si>
  <si>
    <t>CHG001793246</t>
  </si>
  <si>
    <t>Actualización por obsolescencia de los switches de red en Accesos de Seguridad A,B,C,D de la Ciudad financiera</t>
  </si>
  <si>
    <t>CHG001793394</t>
  </si>
  <si>
    <t>Actualización por obsolescencia de los switches de red en Solaruco, Centro medico, Club de golf, Escuela de golf, Guarderia, Intercambiador Logístico, Jardineria, Polideportivo</t>
  </si>
  <si>
    <t>CHG001789992</t>
  </si>
  <si>
    <t>Actualización controladoras Abelias 8.10.0.13</t>
  </si>
  <si>
    <t>CHG001799014</t>
  </si>
  <si>
    <t>Actualización de Unity para solucionar problema memoria</t>
  </si>
  <si>
    <t>CHG001790341</t>
  </si>
  <si>
    <t>Actualización distribución y switches Juniper de tesorería en Tena</t>
  </si>
  <si>
    <t>07:00 a 12:30 y 19:00 a 1:30</t>
  </si>
  <si>
    <t>CHG001798519</t>
  </si>
  <si>
    <t xml:space="preserve">Cargar nuevo certificado wificontroller.bancosantander.es  por caducidad </t>
  </si>
  <si>
    <t>CHG001805340</t>
  </si>
  <si>
    <t>Actualización controladoras Recoletos 8.10.0.13</t>
  </si>
  <si>
    <t>Actualización controladoras Josefa Valcárcel 8.10.0.13</t>
  </si>
  <si>
    <t xml:space="preserve">CHG001804058 </t>
  </si>
  <si>
    <t>Proyecto de Maestro</t>
  </si>
  <si>
    <t>20:00 a 21:00 y 22:00 a 03:00</t>
  </si>
  <si>
    <t>INC046733051</t>
  </si>
  <si>
    <t>Problemas de lentitud en Tena</t>
  </si>
  <si>
    <t>19:00 a 2:00</t>
  </si>
  <si>
    <t>CHG001814616</t>
  </si>
  <si>
    <t>Actualización controladoras Luca de Tena 8.10.0.13</t>
  </si>
  <si>
    <t>CHG001828992</t>
  </si>
  <si>
    <t>Upgrade de los 11 switches restantes de Unity Place</t>
  </si>
  <si>
    <t>08.00 a 18:00</t>
  </si>
  <si>
    <t>INC047234666</t>
  </si>
  <si>
    <t>Certificados WiFi Controller</t>
  </si>
  <si>
    <t>CHG001845340</t>
  </si>
  <si>
    <t>Ampliación buffer de colas a 4800 en VCIXBO1 y CESB2</t>
  </si>
  <si>
    <t>CHG001845449</t>
  </si>
  <si>
    <t>Ampliación buffer de colas a 4800 en VCIXBE1 y CECESC2</t>
  </si>
  <si>
    <t>INC047455400</t>
  </si>
  <si>
    <t>Cambio de la Distribución de Arrecife RSBOAD32A</t>
  </si>
  <si>
    <t>20:30 a 3:00</t>
  </si>
  <si>
    <t>CHG001866657</t>
  </si>
  <si>
    <t>Activacion de BCMC optimization en las VLANs de usuarios de WLC_TENA_01 y WLC_TENA_02</t>
  </si>
  <si>
    <t>CHG001866713</t>
  </si>
  <si>
    <t>Ampliación buffer de colas a 4800 en VCIXCN1_NEW</t>
  </si>
  <si>
    <t>CHG001906207</t>
  </si>
  <si>
    <t>Ampliación de Colas de buffer en VCIXCS1_NEW</t>
  </si>
  <si>
    <t>CHG001897517</t>
  </si>
  <si>
    <t>[INFRAESTRUCTURAS] Remote Hands (RIVCIXBE1 puerto Te0/0/4)</t>
  </si>
  <si>
    <t>CHG001895407</t>
  </si>
  <si>
    <t>Upgrade de Fortimanager y Fortianalyzer</t>
  </si>
  <si>
    <t>INC048409091</t>
  </si>
  <si>
    <t>Cambio AP Tena</t>
  </si>
  <si>
    <t>INC048408577</t>
  </si>
  <si>
    <t>Cambio SW3 de ESAC1D01 en Abelias</t>
  </si>
  <si>
    <t>18:00 a 00.00</t>
  </si>
  <si>
    <t>CHG001915919</t>
  </si>
  <si>
    <t>Prospección y corrección de errores al detectarse posible bucle de STP generado al perder conexión entre RSLEGENDRE1 y RSLEGENDRE2</t>
  </si>
  <si>
    <t>CHG001915707</t>
  </si>
  <si>
    <t>Actualizar a la versión 22.4R2-S2.6 pilas Juniper Luca de Tena Centro de servicios y pila de seguridad de Tesorería situada en sala fría a la versión 21.4R3-S8.5</t>
  </si>
  <si>
    <t xml:space="preserve">CHG001901204 </t>
  </si>
  <si>
    <t>Upgrade 11 switches UK Unity Place</t>
  </si>
  <si>
    <t>07:45 a 14:45</t>
  </si>
  <si>
    <t>CHG001929046</t>
  </si>
  <si>
    <t>Actualizar a la versión 22.4R2-S2.6 a las pilas Juniper situadas en Luca de Tena edif. Suances</t>
  </si>
  <si>
    <t>08:00 a 23:59</t>
  </si>
  <si>
    <t>CHG001936948</t>
  </si>
  <si>
    <t>Carga de los certificados nuevos de la PKI en el CPPM</t>
  </si>
  <si>
    <t>CHG001961244</t>
  </si>
  <si>
    <t>Reinicio de la Distribución de Usuarios en Tena (ERTJRG01)</t>
  </si>
  <si>
    <t>CHG001946527</t>
  </si>
  <si>
    <t>Actualización switches Juniper en Luca de Tena (Pedreña y Magdalena) a la versión 22.4R2-S2.6</t>
  </si>
  <si>
    <t>INC049271558</t>
  </si>
  <si>
    <t>Incidencia BTP-0003335400 Josefa Valcárcel - Cambio informativo CHG001960618</t>
  </si>
  <si>
    <t>CHG001958593</t>
  </si>
  <si>
    <t>Actualización de certificados de los nodos de Infoblox</t>
  </si>
  <si>
    <t>CHG001973969</t>
  </si>
  <si>
    <t>18:00 a 21:00</t>
  </si>
  <si>
    <t>CHG001955707</t>
  </si>
  <si>
    <t>Actualización de switches Juniper en edificio Luca de Tena edificio Cantabria y Magdalena a la versión 22.4R2-S2.6</t>
  </si>
  <si>
    <t>08:00 a 14:30</t>
  </si>
  <si>
    <t>INC049591135 / INC049608725</t>
  </si>
  <si>
    <t>Incidencia BTP-0003335395 CETENA1 - VCIXBO1_NEW</t>
  </si>
  <si>
    <t>ID CAMBIO</t>
  </si>
  <si>
    <t>FECHA DE CAMBIO</t>
  </si>
  <si>
    <t>HORARIO DE CAMBIO</t>
  </si>
  <si>
    <t>-</t>
  </si>
  <si>
    <t>SCF Paris. Instalación de cableado entre switch de distribución y controladora.</t>
  </si>
  <si>
    <t>CPD NORTE Basement 1 – Cantabria. Acceso a equipamiento Cisco por consola + Reinicio de equipos.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</si>
</sst>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rgb="FF000000"/>
      <name val="Calibri"/>
      <family val="2"/>
      <charset val="1"/>
    </font>
    <font>
      <sz val="11"/>
      <color rgb="FF58617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ACA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C4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6B9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D3D1"/>
        <bgColor rgb="FF000000"/>
      </patternFill>
    </fill>
    <fill>
      <patternFill patternType="solid">
        <fgColor rgb="FFDFECFF"/>
        <bgColor rgb="FF000000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62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4" fontId="0" fillId="6" borderId="14" xfId="0" applyNumberFormat="1" applyFill="1" applyBorder="1" applyAlignment="1">
      <alignment horizontal="center" vertical="center"/>
    </xf>
    <xf numFmtId="14" fontId="0" fillId="6" borderId="10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4" fontId="0" fillId="5" borderId="12" xfId="0" applyNumberFormat="1" applyFill="1" applyBorder="1" applyAlignment="1">
      <alignment horizontal="center" vertical="center"/>
    </xf>
    <xf numFmtId="14" fontId="0" fillId="4" borderId="14" xfId="0" applyNumberFormat="1" applyFill="1" applyBorder="1" applyAlignment="1">
      <alignment horizontal="center" vertical="center"/>
    </xf>
    <xf numFmtId="14" fontId="0" fillId="4" borderId="10" xfId="0" applyNumberForma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14" fontId="0" fillId="7" borderId="14" xfId="0" applyNumberFormat="1" applyFill="1" applyBorder="1" applyAlignment="1">
      <alignment horizontal="center" vertical="center"/>
    </xf>
    <xf numFmtId="14" fontId="0" fillId="7" borderId="10" xfId="0" applyNumberForma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8" borderId="12" xfId="0" applyNumberFormat="1" applyFill="1" applyBorder="1" applyAlignment="1">
      <alignment horizontal="center" vertical="center"/>
    </xf>
    <xf numFmtId="14" fontId="0" fillId="8" borderId="2" xfId="0" applyNumberForma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0" borderId="0" xfId="0" applyFont="1"/>
    <xf numFmtId="0" fontId="9" fillId="9" borderId="6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22" fontId="11" fillId="8" borderId="12" xfId="0" applyNumberFormat="1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22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22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20" fontId="11" fillId="4" borderId="1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14" fontId="0" fillId="6" borderId="14" xfId="0" applyNumberFormat="1" applyFill="1" applyBorder="1" applyAlignment="1">
      <alignment vertical="center" wrapText="1"/>
    </xf>
    <xf numFmtId="14" fontId="0" fillId="6" borderId="1" xfId="0" applyNumberFormat="1" applyFill="1" applyBorder="1" applyAlignment="1">
      <alignment vertical="center" wrapText="1"/>
    </xf>
    <xf numFmtId="14" fontId="0" fillId="6" borderId="10" xfId="0" applyNumberFormat="1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14" fontId="0" fillId="4" borderId="14" xfId="0" applyNumberFormat="1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  <xf numFmtId="14" fontId="0" fillId="4" borderId="10" xfId="0" applyNumberFormat="1" applyFill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7" borderId="14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1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14" fontId="0" fillId="3" borderId="16" xfId="0" applyNumberFormat="1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 vertical="center"/>
    </xf>
    <xf numFmtId="14" fontId="0" fillId="6" borderId="7" xfId="0" applyNumberForma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14" fontId="0" fillId="6" borderId="9" xfId="0" applyNumberForma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9" fontId="8" fillId="0" borderId="23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21" fontId="11" fillId="4" borderId="1" xfId="0" applyNumberFormat="1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20" fontId="11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left" vertical="center"/>
    </xf>
    <xf numFmtId="49" fontId="0" fillId="0" borderId="0" xfId="0" applyNumberFormat="1"/>
    <xf numFmtId="49" fontId="8" fillId="0" borderId="0" xfId="0" applyNumberFormat="1" applyFont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14" fontId="0" fillId="8" borderId="10" xfId="0" applyNumberFormat="1" applyFill="1" applyBorder="1" applyAlignment="1">
      <alignment horizontal="center" vertical="center"/>
    </xf>
    <xf numFmtId="0" fontId="0" fillId="8" borderId="10" xfId="0" applyFill="1" applyBorder="1" applyAlignment="1">
      <alignment vertical="center" wrapText="1"/>
    </xf>
    <xf numFmtId="0" fontId="11" fillId="8" borderId="10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14" fontId="0" fillId="5" borderId="10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vertical="center" wrapText="1"/>
    </xf>
    <xf numFmtId="0" fontId="11" fillId="5" borderId="10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4" borderId="2" xfId="0" applyNumberFormat="1" applyFill="1" applyBorder="1" applyAlignment="1">
      <alignment vertical="center" wrapText="1"/>
    </xf>
    <xf numFmtId="0" fontId="8" fillId="4" borderId="31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4" fontId="0" fillId="4" borderId="12" xfId="0" applyNumberFormat="1" applyFill="1" applyBorder="1" applyAlignment="1">
      <alignment horizontal="center" vertical="center"/>
    </xf>
    <xf numFmtId="14" fontId="0" fillId="4" borderId="12" xfId="0" applyNumberFormat="1" applyFill="1" applyBorder="1" applyAlignment="1">
      <alignment vertical="center" wrapText="1"/>
    </xf>
    <xf numFmtId="0" fontId="11" fillId="4" borderId="12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14" fontId="0" fillId="0" borderId="0" xfId="0" applyNumberFormat="1"/>
    <xf numFmtId="0" fontId="0" fillId="7" borderId="0" xfId="0" applyFill="1" applyAlignment="1">
      <alignment wrapText="1"/>
    </xf>
    <xf numFmtId="0" fontId="8" fillId="7" borderId="27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20" fontId="11" fillId="8" borderId="12" xfId="0" applyNumberFormat="1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  <xf numFmtId="0" fontId="8" fillId="7" borderId="31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14" fontId="0" fillId="8" borderId="32" xfId="0" applyNumberFormat="1" applyFill="1" applyBorder="1" applyAlignment="1">
      <alignment horizontal="center" vertical="center"/>
    </xf>
    <xf numFmtId="0" fontId="0" fillId="8" borderId="32" xfId="0" applyFill="1" applyBorder="1" applyAlignment="1">
      <alignment vertical="center" wrapText="1"/>
    </xf>
    <xf numFmtId="0" fontId="11" fillId="8" borderId="32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14" fontId="0" fillId="6" borderId="30" xfId="0" applyNumberFormat="1" applyFill="1" applyBorder="1" applyAlignment="1">
      <alignment vertical="center" wrapText="1"/>
    </xf>
    <xf numFmtId="0" fontId="11" fillId="6" borderId="33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4" fontId="0" fillId="5" borderId="32" xfId="0" applyNumberForma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11" fillId="4" borderId="33" xfId="0" applyFont="1" applyFill="1" applyBorder="1" applyAlignment="1">
      <alignment horizontal="center" vertical="center"/>
    </xf>
    <xf numFmtId="0" fontId="0" fillId="4" borderId="12" xfId="0" applyFill="1" applyBorder="1" applyAlignment="1">
      <alignment vertical="center" wrapText="1"/>
    </xf>
    <xf numFmtId="0" fontId="10" fillId="9" borderId="6" xfId="0" applyFont="1" applyFill="1" applyBorder="1" applyAlignment="1">
      <alignment vertical="center"/>
    </xf>
    <xf numFmtId="0" fontId="9" fillId="9" borderId="24" xfId="0" applyFont="1" applyFill="1" applyBorder="1" applyAlignment="1">
      <alignment vertical="center"/>
    </xf>
    <xf numFmtId="0" fontId="8" fillId="12" borderId="8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/>
    </xf>
    <xf numFmtId="14" fontId="0" fillId="7" borderId="12" xfId="0" applyNumberFormat="1" applyFill="1" applyBorder="1" applyAlignment="1">
      <alignment horizontal="center" vertical="center"/>
    </xf>
    <xf numFmtId="0" fontId="0" fillId="7" borderId="12" xfId="0" applyFill="1" applyBorder="1" applyAlignment="1">
      <alignment vertical="center" wrapText="1"/>
    </xf>
    <xf numFmtId="0" fontId="11" fillId="7" borderId="12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 wrapText="1"/>
    </xf>
    <xf numFmtId="0" fontId="8" fillId="2" borderId="10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9" fontId="16" fillId="0" borderId="23" xfId="1" applyFont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12" borderId="38" xfId="0" applyFont="1" applyFill="1" applyBorder="1" applyAlignment="1">
      <alignment horizontal="center" vertical="center"/>
    </xf>
    <xf numFmtId="0" fontId="8" fillId="14" borderId="39" xfId="0" applyFont="1" applyFill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/>
    </xf>
    <xf numFmtId="0" fontId="8" fillId="14" borderId="33" xfId="0" applyFont="1" applyFill="1" applyBorder="1" applyAlignment="1">
      <alignment horizontal="center" vertical="center"/>
    </xf>
    <xf numFmtId="0" fontId="8" fillId="12" borderId="34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8" fillId="12" borderId="1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11" fillId="8" borderId="33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vertical="center"/>
    </xf>
    <xf numFmtId="0" fontId="5" fillId="6" borderId="9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/>
    </xf>
    <xf numFmtId="14" fontId="0" fillId="6" borderId="45" xfId="0" applyNumberFormat="1" applyFill="1" applyBorder="1" applyAlignment="1">
      <alignment vertical="center" wrapText="1"/>
    </xf>
    <xf numFmtId="0" fontId="11" fillId="6" borderId="44" xfId="0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14" fontId="0" fillId="6" borderId="47" xfId="0" applyNumberFormat="1" applyFill="1" applyBorder="1" applyAlignment="1">
      <alignment horizontal="center" vertical="center"/>
    </xf>
    <xf numFmtId="0" fontId="11" fillId="6" borderId="47" xfId="0" applyFont="1" applyFill="1" applyBorder="1" applyAlignment="1">
      <alignment horizontal="center" vertical="center"/>
    </xf>
    <xf numFmtId="14" fontId="0" fillId="6" borderId="47" xfId="0" applyNumberFormat="1" applyFill="1" applyBorder="1" applyAlignment="1">
      <alignment vertical="center" wrapText="1"/>
    </xf>
    <xf numFmtId="0" fontId="11" fillId="6" borderId="39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vertical="center" wrapText="1"/>
    </xf>
    <xf numFmtId="20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8" fillId="6" borderId="48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vertical="center" wrapText="1"/>
    </xf>
    <xf numFmtId="0" fontId="8" fillId="5" borderId="43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14" fontId="0" fillId="6" borderId="12" xfId="0" applyNumberForma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14" fontId="0" fillId="6" borderId="49" xfId="0" applyNumberFormat="1" applyFill="1" applyBorder="1" applyAlignment="1">
      <alignment vertical="center" wrapText="1"/>
    </xf>
    <xf numFmtId="0" fontId="11" fillId="6" borderId="50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left" vertical="center" wrapText="1"/>
    </xf>
    <xf numFmtId="0" fontId="8" fillId="6" borderId="51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1" fillId="2" borderId="10" xfId="0" applyFont="1" applyFill="1" applyBorder="1" applyAlignment="1">
      <alignment vertical="center"/>
    </xf>
    <xf numFmtId="20" fontId="11" fillId="7" borderId="12" xfId="0" applyNumberFormat="1" applyFont="1" applyFill="1" applyBorder="1" applyAlignment="1">
      <alignment vertical="center"/>
    </xf>
    <xf numFmtId="20" fontId="11" fillId="7" borderId="1" xfId="0" applyNumberFormat="1" applyFont="1" applyFill="1" applyBorder="1" applyAlignment="1">
      <alignment vertical="center"/>
    </xf>
    <xf numFmtId="22" fontId="11" fillId="8" borderId="1" xfId="0" applyNumberFormat="1" applyFont="1" applyFill="1" applyBorder="1" applyAlignment="1">
      <alignment vertical="center"/>
    </xf>
    <xf numFmtId="22" fontId="11" fillId="8" borderId="2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14" fontId="0" fillId="8" borderId="14" xfId="0" applyNumberFormat="1" applyFill="1" applyBorder="1" applyAlignment="1">
      <alignment horizontal="center" vertical="center"/>
    </xf>
    <xf numFmtId="22" fontId="11" fillId="8" borderId="14" xfId="0" applyNumberFormat="1" applyFont="1" applyFill="1" applyBorder="1" applyAlignment="1">
      <alignment vertical="center"/>
    </xf>
    <xf numFmtId="0" fontId="0" fillId="8" borderId="14" xfId="0" applyFill="1" applyBorder="1" applyAlignment="1">
      <alignment vertical="center" wrapText="1"/>
    </xf>
    <xf numFmtId="0" fontId="11" fillId="8" borderId="14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right" vertical="center"/>
    </xf>
    <xf numFmtId="0" fontId="6" fillId="0" borderId="0" xfId="0" applyFont="1" applyAlignment="1">
      <alignment horizontal="center" wrapText="1"/>
    </xf>
    <xf numFmtId="0" fontId="2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vertical="center" wrapText="1"/>
    </xf>
    <xf numFmtId="0" fontId="9" fillId="9" borderId="24" xfId="0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20" fontId="11" fillId="8" borderId="32" xfId="0" applyNumberFormat="1" applyFont="1" applyFill="1" applyBorder="1" applyAlignment="1">
      <alignment horizontal="center" vertical="center"/>
    </xf>
    <xf numFmtId="20" fontId="11" fillId="8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1" fillId="7" borderId="30" xfId="0" applyFont="1" applyFill="1" applyBorder="1" applyAlignment="1">
      <alignment horizontal="center" vertical="center"/>
    </xf>
    <xf numFmtId="0" fontId="8" fillId="8" borderId="43" xfId="0" applyFont="1" applyFill="1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8" borderId="13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8" borderId="53" xfId="0" applyFill="1" applyBorder="1" applyAlignment="1">
      <alignment horizontal="center" vertical="center" wrapText="1"/>
    </xf>
    <xf numFmtId="14" fontId="0" fillId="8" borderId="54" xfId="0" applyNumberFormat="1" applyFill="1" applyBorder="1" applyAlignment="1">
      <alignment horizontal="center" vertical="center"/>
    </xf>
    <xf numFmtId="22" fontId="11" fillId="8" borderId="54" xfId="0" applyNumberFormat="1" applyFont="1" applyFill="1" applyBorder="1" applyAlignment="1">
      <alignment vertical="center"/>
    </xf>
    <xf numFmtId="0" fontId="0" fillId="8" borderId="54" xfId="0" applyFill="1" applyBorder="1" applyAlignment="1">
      <alignment vertical="center" wrapText="1"/>
    </xf>
    <xf numFmtId="0" fontId="11" fillId="8" borderId="54" xfId="0" applyFont="1" applyFill="1" applyBorder="1" applyAlignment="1">
      <alignment horizontal="center" vertical="center"/>
    </xf>
    <xf numFmtId="0" fontId="8" fillId="8" borderId="54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14" fontId="11" fillId="6" borderId="33" xfId="0" applyNumberFormat="1" applyFont="1" applyFill="1" applyBorder="1" applyAlignment="1">
      <alignment horizontal="center" vertical="center"/>
    </xf>
    <xf numFmtId="14" fontId="11" fillId="6" borderId="13" xfId="0" applyNumberFormat="1" applyFont="1" applyFill="1" applyBorder="1" applyAlignment="1">
      <alignment horizontal="center" vertical="center"/>
    </xf>
    <xf numFmtId="14" fontId="11" fillId="6" borderId="39" xfId="0" applyNumberFormat="1" applyFont="1" applyFill="1" applyBorder="1" applyAlignment="1">
      <alignment horizontal="center" vertical="center"/>
    </xf>
    <xf numFmtId="14" fontId="11" fillId="6" borderId="7" xfId="0" applyNumberFormat="1" applyFont="1" applyFill="1" applyBorder="1" applyAlignment="1">
      <alignment horizontal="center" vertical="center" wrapText="1"/>
    </xf>
    <xf numFmtId="14" fontId="11" fillId="6" borderId="7" xfId="0" applyNumberFormat="1" applyFont="1" applyFill="1" applyBorder="1" applyAlignment="1">
      <alignment horizontal="center" vertical="center"/>
    </xf>
    <xf numFmtId="14" fontId="11" fillId="6" borderId="34" xfId="0" applyNumberFormat="1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14" fontId="11" fillId="5" borderId="12" xfId="0" applyNumberFormat="1" applyFont="1" applyFill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14" fontId="11" fillId="4" borderId="12" xfId="0" applyNumberFormat="1" applyFont="1" applyFill="1" applyBorder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/>
    </xf>
    <xf numFmtId="14" fontId="11" fillId="2" borderId="12" xfId="0" applyNumberFormat="1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14" fontId="11" fillId="7" borderId="1" xfId="0" applyNumberFormat="1" applyFont="1" applyFill="1" applyBorder="1" applyAlignment="1">
      <alignment horizontal="center" vertical="center"/>
    </xf>
    <xf numFmtId="14" fontId="11" fillId="8" borderId="12" xfId="0" applyNumberFormat="1" applyFont="1" applyFill="1" applyBorder="1" applyAlignment="1">
      <alignment horizontal="center" vertical="center"/>
    </xf>
    <xf numFmtId="14" fontId="11" fillId="6" borderId="9" xfId="0" applyNumberFormat="1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14" fontId="11" fillId="6" borderId="44" xfId="0" applyNumberFormat="1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 wrapText="1"/>
    </xf>
    <xf numFmtId="14" fontId="11" fillId="12" borderId="1" xfId="0" applyNumberFormat="1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14" fontId="11" fillId="12" borderId="10" xfId="0" applyNumberFormat="1" applyFont="1" applyFill="1" applyBorder="1" applyAlignment="1">
      <alignment horizontal="center" vertical="center"/>
    </xf>
    <xf numFmtId="14" fontId="11" fillId="5" borderId="10" xfId="0" applyNumberFormat="1" applyFont="1" applyFill="1" applyBorder="1" applyAlignment="1">
      <alignment horizontal="center" vertical="center"/>
    </xf>
    <xf numFmtId="14" fontId="11" fillId="5" borderId="2" xfId="0" applyNumberFormat="1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14" fontId="11" fillId="12" borderId="12" xfId="0" applyNumberFormat="1" applyFont="1" applyFill="1" applyBorder="1" applyAlignment="1">
      <alignment horizontal="center" vertical="center"/>
    </xf>
    <xf numFmtId="0" fontId="8" fillId="12" borderId="25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20" fontId="11" fillId="12" borderId="10" xfId="0" applyNumberFormat="1" applyFont="1" applyFill="1" applyBorder="1" applyAlignment="1">
      <alignment horizontal="center" vertical="center"/>
    </xf>
    <xf numFmtId="0" fontId="11" fillId="4" borderId="46" xfId="0" applyFont="1" applyFill="1" applyBorder="1" applyAlignment="1">
      <alignment horizontal="center" vertical="center"/>
    </xf>
    <xf numFmtId="14" fontId="11" fillId="4" borderId="47" xfId="0" applyNumberFormat="1" applyFont="1" applyFill="1" applyBorder="1" applyAlignment="1">
      <alignment horizontal="center" vertical="center"/>
    </xf>
    <xf numFmtId="0" fontId="11" fillId="4" borderId="47" xfId="0" applyFont="1" applyFill="1" applyBorder="1" applyAlignment="1">
      <alignment horizontal="center" vertical="center"/>
    </xf>
    <xf numFmtId="14" fontId="11" fillId="6" borderId="14" xfId="0" applyNumberFormat="1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4" fontId="11" fillId="4" borderId="14" xfId="0" applyNumberFormat="1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left" vertical="center" wrapText="1"/>
    </xf>
    <xf numFmtId="14" fontId="0" fillId="6" borderId="55" xfId="0" applyNumberFormat="1" applyFill="1" applyBorder="1" applyAlignment="1">
      <alignment horizontal="left" vertical="center" wrapText="1"/>
    </xf>
    <xf numFmtId="14" fontId="0" fillId="6" borderId="30" xfId="0" applyNumberFormat="1" applyFill="1" applyBorder="1" applyAlignment="1">
      <alignment horizontal="left" vertical="center" wrapText="1"/>
    </xf>
    <xf numFmtId="14" fontId="0" fillId="6" borderId="45" xfId="0" applyNumberFormat="1" applyFill="1" applyBorder="1" applyAlignment="1">
      <alignment horizontal="left" vertical="center" wrapText="1"/>
    </xf>
    <xf numFmtId="14" fontId="0" fillId="6" borderId="29" xfId="0" applyNumberFormat="1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14" fontId="0" fillId="4" borderId="12" xfId="0" applyNumberFormat="1" applyFill="1" applyBorder="1" applyAlignment="1">
      <alignment horizontal="left" vertical="center" wrapText="1"/>
    </xf>
    <xf numFmtId="14" fontId="0" fillId="4" borderId="1" xfId="0" applyNumberFormat="1" applyFill="1" applyBorder="1" applyAlignment="1">
      <alignment horizontal="left" vertical="center" wrapText="1"/>
    </xf>
    <xf numFmtId="14" fontId="0" fillId="4" borderId="47" xfId="0" applyNumberFormat="1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0" xfId="0" applyFill="1" applyBorder="1" applyAlignment="1">
      <alignment horizontal="left" vertical="center" wrapText="1"/>
    </xf>
    <xf numFmtId="0" fontId="0" fillId="8" borderId="12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8" borderId="32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11" fillId="6" borderId="14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14" fontId="0" fillId="6" borderId="1" xfId="0" applyNumberFormat="1" applyFill="1" applyBorder="1" applyAlignment="1">
      <alignment horizontal="left" vertical="center" wrapText="1"/>
    </xf>
    <xf numFmtId="14" fontId="0" fillId="6" borderId="49" xfId="0" applyNumberFormat="1" applyFill="1" applyBorder="1" applyAlignment="1">
      <alignment horizontal="left" vertical="center" wrapText="1"/>
    </xf>
    <xf numFmtId="14" fontId="0" fillId="6" borderId="2" xfId="0" applyNumberFormat="1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7" borderId="12" xfId="0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8" borderId="10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4" borderId="43" xfId="0" applyFont="1" applyFill="1" applyBorder="1" applyAlignment="1">
      <alignment horizontal="center" vertical="center"/>
    </xf>
    <xf numFmtId="14" fontId="0" fillId="12" borderId="12" xfId="0" applyNumberFormat="1" applyFill="1" applyBorder="1" applyAlignment="1">
      <alignment horizontal="left" vertical="center" wrapText="1"/>
    </xf>
    <xf numFmtId="14" fontId="0" fillId="12" borderId="1" xfId="0" applyNumberFormat="1" applyFill="1" applyBorder="1" applyAlignment="1">
      <alignment horizontal="left" vertical="center" wrapText="1"/>
    </xf>
    <xf numFmtId="0" fontId="11" fillId="12" borderId="13" xfId="0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14" fontId="0" fillId="12" borderId="14" xfId="0" applyNumberFormat="1" applyFill="1" applyBorder="1" applyAlignment="1">
      <alignment horizontal="left" vertical="center" wrapText="1"/>
    </xf>
    <xf numFmtId="0" fontId="17" fillId="15" borderId="56" xfId="0" applyFont="1" applyFill="1" applyBorder="1" applyAlignment="1">
      <alignment horizontal="center"/>
    </xf>
    <xf numFmtId="0" fontId="17" fillId="15" borderId="57" xfId="0" applyFont="1" applyFill="1" applyBorder="1" applyAlignment="1">
      <alignment horizontal="center"/>
    </xf>
    <xf numFmtId="0" fontId="17" fillId="15" borderId="57" xfId="0" applyFont="1" applyFill="1" applyBorder="1" applyAlignment="1">
      <alignment horizontal="left"/>
    </xf>
    <xf numFmtId="0" fontId="18" fillId="16" borderId="58" xfId="0" applyFont="1" applyFill="1" applyBorder="1" applyAlignment="1">
      <alignment wrapText="1"/>
    </xf>
    <xf numFmtId="14" fontId="18" fillId="0" borderId="59" xfId="0" applyNumberFormat="1" applyFont="1" applyBorder="1"/>
    <xf numFmtId="20" fontId="18" fillId="0" borderId="59" xfId="0" applyNumberFormat="1" applyFont="1" applyBorder="1"/>
    <xf numFmtId="0" fontId="18" fillId="0" borderId="59" xfId="0" applyFont="1" applyBorder="1" applyAlignment="1">
      <alignment wrapText="1"/>
    </xf>
    <xf numFmtId="0" fontId="18" fillId="17" borderId="60" xfId="0" applyFont="1" applyFill="1" applyBorder="1" applyAlignment="1">
      <alignment wrapText="1"/>
    </xf>
    <xf numFmtId="0" fontId="18" fillId="17" borderId="60" xfId="0" quotePrefix="1" applyFont="1" applyFill="1" applyBorder="1" applyAlignment="1">
      <alignment wrapText="1"/>
    </xf>
    <xf numFmtId="14" fontId="18" fillId="0" borderId="61" xfId="0" applyNumberFormat="1" applyFont="1" applyBorder="1"/>
    <xf numFmtId="20" fontId="18" fillId="0" borderId="61" xfId="0" applyNumberFormat="1" applyFont="1" applyBorder="1"/>
    <xf numFmtId="0" fontId="18" fillId="0" borderId="61" xfId="0" applyFont="1" applyBorder="1" applyAlignment="1">
      <alignment wrapText="1"/>
    </xf>
    <xf numFmtId="0" fontId="11" fillId="12" borderId="9" xfId="0" applyFont="1" applyFill="1" applyBorder="1" applyAlignment="1">
      <alignment horizontal="center" vertical="center" wrapText="1"/>
    </xf>
    <xf numFmtId="14" fontId="0" fillId="12" borderId="10" xfId="0" applyNumberFormat="1" applyFill="1" applyBorder="1" applyAlignment="1">
      <alignment horizontal="left" vertical="center" wrapText="1"/>
    </xf>
    <xf numFmtId="0" fontId="11" fillId="7" borderId="7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14" fontId="11" fillId="7" borderId="14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left" vertical="center" wrapText="1"/>
    </xf>
    <xf numFmtId="0" fontId="8" fillId="7" borderId="15" xfId="0" applyFont="1" applyFill="1" applyBorder="1" applyAlignment="1">
      <alignment horizontal="center" vertical="center"/>
    </xf>
    <xf numFmtId="14" fontId="11" fillId="2" borderId="2" xfId="0" applyNumberFormat="1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/>
    </xf>
    <xf numFmtId="14" fontId="11" fillId="7" borderId="2" xfId="0" applyNumberFormat="1" applyFont="1" applyFill="1" applyBorder="1" applyAlignment="1">
      <alignment horizontal="center" vertical="center"/>
    </xf>
    <xf numFmtId="20" fontId="11" fillId="7" borderId="2" xfId="0" applyNumberFormat="1" applyFont="1" applyFill="1" applyBorder="1" applyAlignment="1">
      <alignment horizontal="center" vertical="center"/>
    </xf>
    <xf numFmtId="0" fontId="11" fillId="7" borderId="45" xfId="0" applyFont="1" applyFill="1" applyBorder="1" applyAlignment="1">
      <alignment horizontal="center" vertical="center"/>
    </xf>
    <xf numFmtId="0" fontId="8" fillId="7" borderId="47" xfId="0" applyFont="1" applyFill="1" applyBorder="1" applyAlignment="1">
      <alignment horizontal="center" vertical="center"/>
    </xf>
    <xf numFmtId="0" fontId="8" fillId="18" borderId="33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 wrapText="1"/>
    </xf>
    <xf numFmtId="20" fontId="11" fillId="12" borderId="12" xfId="0" applyNumberFormat="1" applyFont="1" applyFill="1" applyBorder="1" applyAlignment="1">
      <alignment horizontal="center" vertical="center"/>
    </xf>
    <xf numFmtId="0" fontId="8" fillId="18" borderId="39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" fillId="8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3"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2ACAC"/>
      <color rgb="FFE6B99C"/>
      <color rgb="FFDEC4F2"/>
      <color rgb="FFCA99F0"/>
      <color rgb="FFC29A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47DE1E2B-C7B9-4F56-9198-65AD34402342}">
    <nsvFilter filterId="{00000000-0001-0000-0000-000000000000}" ref="A2:G190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34A5E833-5551-41CF-B6F7-36B8BD6BE5C5}">
    <nsvFilter filterId="{00000000-0001-0000-0000-000000000000}" ref="A2:G198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8AB9-867A-45A7-B1DF-4C65C9F16FA8}">
  <dimension ref="A1:J54"/>
  <sheetViews>
    <sheetView workbookViewId="0">
      <pane xSplit="1" ySplit="2" topLeftCell="B98" activePane="bottomRight" state="frozen"/>
      <selection pane="bottomRight" activeCell="B98" sqref="B98"/>
      <selection pane="bottomLeft"/>
      <selection pane="topRight"/>
    </sheetView>
  </sheetViews>
  <sheetFormatPr defaultColWidth="11.42578125" defaultRowHeight="15"/>
  <cols>
    <col min="1" max="1" width="16.28515625" customWidth="1"/>
    <col min="2" max="2" width="31" customWidth="1"/>
    <col min="3" max="3" width="16.7109375" bestFit="1" customWidth="1"/>
    <col min="4" max="8" width="6" customWidth="1"/>
    <col min="9" max="9" width="11.140625" customWidth="1"/>
    <col min="10" max="10" width="8.71093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>
      <c r="A3">
        <v>1</v>
      </c>
      <c r="C3">
        <f>SUM(D3:J3)</f>
        <v>0</v>
      </c>
    </row>
    <row r="4" spans="1:10">
      <c r="A4">
        <v>2</v>
      </c>
      <c r="C4">
        <f t="shared" ref="C4:C54" si="0">SUM(D4:J4)</f>
        <v>0</v>
      </c>
    </row>
    <row r="5" spans="1:10">
      <c r="A5">
        <v>3</v>
      </c>
      <c r="C5">
        <f t="shared" si="0"/>
        <v>0</v>
      </c>
    </row>
    <row r="6" spans="1:10">
      <c r="A6">
        <v>4</v>
      </c>
      <c r="C6">
        <f t="shared" si="0"/>
        <v>0</v>
      </c>
    </row>
    <row r="7" spans="1:10">
      <c r="A7">
        <v>5</v>
      </c>
      <c r="C7">
        <f t="shared" si="0"/>
        <v>0</v>
      </c>
    </row>
    <row r="8" spans="1:10">
      <c r="A8">
        <v>6</v>
      </c>
      <c r="C8">
        <f t="shared" si="0"/>
        <v>0</v>
      </c>
    </row>
    <row r="9" spans="1:10">
      <c r="A9">
        <v>7</v>
      </c>
      <c r="C9">
        <f t="shared" si="0"/>
        <v>0</v>
      </c>
    </row>
    <row r="10" spans="1:10">
      <c r="A10">
        <v>8</v>
      </c>
      <c r="C10">
        <f t="shared" si="0"/>
        <v>0</v>
      </c>
    </row>
    <row r="11" spans="1:10">
      <c r="A11">
        <v>9</v>
      </c>
      <c r="C11">
        <f t="shared" si="0"/>
        <v>0</v>
      </c>
    </row>
    <row r="12" spans="1:10">
      <c r="A12">
        <v>10</v>
      </c>
      <c r="C12">
        <f t="shared" si="0"/>
        <v>0</v>
      </c>
    </row>
    <row r="13" spans="1:10">
      <c r="A13">
        <v>11</v>
      </c>
      <c r="C13">
        <f t="shared" si="0"/>
        <v>0</v>
      </c>
    </row>
    <row r="14" spans="1:10">
      <c r="A14">
        <v>12</v>
      </c>
      <c r="C14">
        <f t="shared" si="0"/>
        <v>0</v>
      </c>
    </row>
    <row r="15" spans="1:10">
      <c r="A15">
        <v>13</v>
      </c>
      <c r="C15">
        <f t="shared" si="0"/>
        <v>0</v>
      </c>
    </row>
    <row r="16" spans="1:10">
      <c r="A16">
        <v>14</v>
      </c>
      <c r="C16">
        <f t="shared" si="0"/>
        <v>0</v>
      </c>
    </row>
    <row r="17" spans="1:10">
      <c r="A17">
        <v>15</v>
      </c>
      <c r="C17">
        <f t="shared" si="0"/>
        <v>0</v>
      </c>
    </row>
    <row r="18" spans="1:10">
      <c r="A18">
        <v>16</v>
      </c>
      <c r="C18">
        <f t="shared" si="0"/>
        <v>0</v>
      </c>
    </row>
    <row r="19" spans="1:10">
      <c r="A19">
        <v>17</v>
      </c>
      <c r="C19">
        <f t="shared" si="0"/>
        <v>0</v>
      </c>
    </row>
    <row r="20" spans="1:10">
      <c r="A20">
        <v>18</v>
      </c>
      <c r="C20">
        <f t="shared" si="0"/>
        <v>0</v>
      </c>
    </row>
    <row r="21" spans="1:10">
      <c r="A21">
        <v>19</v>
      </c>
      <c r="C21">
        <f t="shared" si="0"/>
        <v>0</v>
      </c>
    </row>
    <row r="22" spans="1:10">
      <c r="A22">
        <v>20</v>
      </c>
      <c r="C22">
        <f t="shared" si="0"/>
        <v>0</v>
      </c>
    </row>
    <row r="23" spans="1:10">
      <c r="A23">
        <v>21</v>
      </c>
      <c r="C23">
        <f t="shared" si="0"/>
        <v>0</v>
      </c>
    </row>
    <row r="24" spans="1:10">
      <c r="A24">
        <v>22</v>
      </c>
      <c r="C24">
        <f t="shared" si="0"/>
        <v>0</v>
      </c>
    </row>
    <row r="25" spans="1:10">
      <c r="A25">
        <v>23</v>
      </c>
      <c r="C25">
        <f t="shared" si="0"/>
        <v>0</v>
      </c>
    </row>
    <row r="26" spans="1:10">
      <c r="A26">
        <v>24</v>
      </c>
      <c r="B26" t="s">
        <v>10</v>
      </c>
      <c r="C26">
        <f>SUM(D26:J26)</f>
        <v>17</v>
      </c>
      <c r="D26">
        <v>0</v>
      </c>
      <c r="E26">
        <v>1</v>
      </c>
      <c r="F26">
        <v>0</v>
      </c>
      <c r="G26">
        <v>0</v>
      </c>
      <c r="H26">
        <v>6</v>
      </c>
      <c r="I26">
        <v>6</v>
      </c>
      <c r="J26">
        <v>4</v>
      </c>
    </row>
    <row r="27" spans="1:10">
      <c r="A27">
        <v>25</v>
      </c>
      <c r="B27" t="s">
        <v>11</v>
      </c>
      <c r="C27">
        <f>SUM(D27:J27)</f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</row>
    <row r="28" spans="1:10">
      <c r="A28">
        <v>26</v>
      </c>
      <c r="B28" t="s">
        <v>12</v>
      </c>
      <c r="C28">
        <f t="shared" si="0"/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27</v>
      </c>
      <c r="B29" t="s">
        <v>11</v>
      </c>
      <c r="C29">
        <f t="shared" si="0"/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28</v>
      </c>
      <c r="C30">
        <f t="shared" si="0"/>
        <v>0</v>
      </c>
    </row>
    <row r="31" spans="1:10">
      <c r="A31">
        <v>29</v>
      </c>
      <c r="C31">
        <f t="shared" si="0"/>
        <v>0</v>
      </c>
    </row>
    <row r="32" spans="1:10">
      <c r="A32">
        <v>30</v>
      </c>
      <c r="C32">
        <f t="shared" si="0"/>
        <v>0</v>
      </c>
    </row>
    <row r="33" spans="1:3">
      <c r="A33">
        <v>31</v>
      </c>
      <c r="C33">
        <f t="shared" si="0"/>
        <v>0</v>
      </c>
    </row>
    <row r="34" spans="1:3">
      <c r="A34">
        <v>32</v>
      </c>
      <c r="C34">
        <f t="shared" si="0"/>
        <v>0</v>
      </c>
    </row>
    <row r="35" spans="1:3">
      <c r="A35">
        <v>33</v>
      </c>
      <c r="C35">
        <f t="shared" si="0"/>
        <v>0</v>
      </c>
    </row>
    <row r="36" spans="1:3">
      <c r="A36">
        <v>34</v>
      </c>
      <c r="C36">
        <f t="shared" si="0"/>
        <v>0</v>
      </c>
    </row>
    <row r="37" spans="1:3">
      <c r="A37">
        <v>35</v>
      </c>
      <c r="C37">
        <f t="shared" si="0"/>
        <v>0</v>
      </c>
    </row>
    <row r="38" spans="1:3">
      <c r="A38">
        <v>36</v>
      </c>
      <c r="C38">
        <f t="shared" si="0"/>
        <v>0</v>
      </c>
    </row>
    <row r="39" spans="1:3">
      <c r="A39">
        <v>37</v>
      </c>
      <c r="C39">
        <f t="shared" si="0"/>
        <v>0</v>
      </c>
    </row>
    <row r="40" spans="1:3">
      <c r="A40">
        <v>38</v>
      </c>
      <c r="C40">
        <f t="shared" si="0"/>
        <v>0</v>
      </c>
    </row>
    <row r="41" spans="1:3">
      <c r="A41">
        <v>39</v>
      </c>
      <c r="C41">
        <f t="shared" si="0"/>
        <v>0</v>
      </c>
    </row>
    <row r="42" spans="1:3">
      <c r="A42">
        <v>40</v>
      </c>
      <c r="C42">
        <f t="shared" si="0"/>
        <v>0</v>
      </c>
    </row>
    <row r="43" spans="1:3">
      <c r="A43">
        <v>41</v>
      </c>
      <c r="C43">
        <f t="shared" si="0"/>
        <v>0</v>
      </c>
    </row>
    <row r="44" spans="1:3">
      <c r="A44">
        <v>42</v>
      </c>
      <c r="C44">
        <f t="shared" si="0"/>
        <v>0</v>
      </c>
    </row>
    <row r="45" spans="1:3">
      <c r="A45">
        <v>43</v>
      </c>
      <c r="C45">
        <f t="shared" si="0"/>
        <v>0</v>
      </c>
    </row>
    <row r="46" spans="1:3">
      <c r="A46">
        <v>44</v>
      </c>
      <c r="C46">
        <f t="shared" si="0"/>
        <v>0</v>
      </c>
    </row>
    <row r="47" spans="1:3">
      <c r="A47">
        <v>45</v>
      </c>
      <c r="C47">
        <f t="shared" si="0"/>
        <v>0</v>
      </c>
    </row>
    <row r="48" spans="1:3">
      <c r="A48">
        <v>46</v>
      </c>
      <c r="C48">
        <f t="shared" si="0"/>
        <v>0</v>
      </c>
    </row>
    <row r="49" spans="1:3">
      <c r="A49">
        <v>47</v>
      </c>
      <c r="C49">
        <f t="shared" si="0"/>
        <v>0</v>
      </c>
    </row>
    <row r="50" spans="1:3">
      <c r="A50">
        <v>48</v>
      </c>
      <c r="C50">
        <f t="shared" si="0"/>
        <v>0</v>
      </c>
    </row>
    <row r="51" spans="1:3">
      <c r="A51">
        <v>49</v>
      </c>
      <c r="C51">
        <f t="shared" si="0"/>
        <v>0</v>
      </c>
    </row>
    <row r="52" spans="1:3">
      <c r="A52">
        <v>50</v>
      </c>
      <c r="C52">
        <f t="shared" si="0"/>
        <v>0</v>
      </c>
    </row>
    <row r="53" spans="1:3">
      <c r="A53">
        <v>51</v>
      </c>
      <c r="C53">
        <f t="shared" si="0"/>
        <v>0</v>
      </c>
    </row>
    <row r="54" spans="1:3">
      <c r="A54">
        <v>52</v>
      </c>
      <c r="C54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3C8D-77B0-4515-BF68-AEFAA044784D}">
  <dimension ref="A1:W233"/>
  <sheetViews>
    <sheetView tabSelected="1" zoomScale="80" zoomScaleNormal="80" workbookViewId="0">
      <pane xSplit="3" ySplit="2" topLeftCell="D81" activePane="bottomRight" state="frozen"/>
      <selection pane="bottomRight" activeCell="D93" sqref="D93"/>
      <selection pane="bottomLeft" activeCell="A3" sqref="A3"/>
      <selection pane="topRight" activeCell="B1" sqref="B1"/>
    </sheetView>
  </sheetViews>
  <sheetFormatPr defaultColWidth="8.85546875" defaultRowHeight="18.75"/>
  <cols>
    <col min="1" max="3" width="17.28515625" style="92" customWidth="1"/>
    <col min="4" max="4" width="110.85546875" style="418" customWidth="1"/>
    <col min="5" max="5" width="18.5703125" style="92" customWidth="1"/>
    <col min="6" max="6" width="17.28515625" style="92" customWidth="1"/>
    <col min="7" max="7" width="20.42578125" style="94" customWidth="1"/>
    <col min="8" max="8" width="12.28515625" style="149" customWidth="1"/>
    <col min="9" max="9" width="9.7109375" style="149" customWidth="1"/>
    <col min="10" max="10" width="6.5703125" style="149" customWidth="1"/>
    <col min="11" max="11" width="23.5703125" bestFit="1" customWidth="1"/>
    <col min="12" max="12" width="7.7109375" style="42" customWidth="1"/>
    <col min="13" max="13" width="13.7109375" customWidth="1"/>
    <col min="14" max="15" width="7.7109375" customWidth="1"/>
    <col min="16" max="16" width="16.85546875" customWidth="1"/>
    <col min="17" max="23" width="16.85546875" style="2" customWidth="1"/>
  </cols>
  <sheetData>
    <row r="1" spans="1:23" ht="21.75" thickBot="1">
      <c r="A1" s="459"/>
      <c r="B1" s="459"/>
      <c r="C1" s="459"/>
      <c r="D1" s="459"/>
      <c r="E1" s="459"/>
      <c r="F1" s="459"/>
      <c r="G1" s="459"/>
      <c r="H1" s="171"/>
      <c r="I1" s="171"/>
      <c r="J1" s="148"/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12</v>
      </c>
      <c r="V1" s="2" t="s">
        <v>18</v>
      </c>
      <c r="W1" s="2" t="s">
        <v>19</v>
      </c>
    </row>
    <row r="2" spans="1:23" ht="31.5" customHeight="1">
      <c r="A2" s="45" t="s">
        <v>20</v>
      </c>
      <c r="B2" s="45" t="s">
        <v>21</v>
      </c>
      <c r="C2" s="45" t="s">
        <v>22</v>
      </c>
      <c r="D2" s="386" t="s">
        <v>23</v>
      </c>
      <c r="E2" s="229" t="s">
        <v>24</v>
      </c>
      <c r="F2" s="229" t="s">
        <v>25</v>
      </c>
      <c r="G2" s="230" t="s">
        <v>26</v>
      </c>
      <c r="H2" s="264" t="s">
        <v>27</v>
      </c>
      <c r="I2" s="171"/>
      <c r="J2" s="148"/>
      <c r="P2" s="2">
        <f>SUM(_xlfn.ANCHORARRAY(P3))</f>
        <v>62.5</v>
      </c>
      <c r="Q2" s="2">
        <f t="shared" ref="Q2:W2" si="0">SUM(_xlfn.ANCHORARRAY(Q3))</f>
        <v>28</v>
      </c>
      <c r="R2" s="2">
        <f t="shared" si="0"/>
        <v>29</v>
      </c>
      <c r="S2" s="2">
        <f t="shared" si="0"/>
        <v>47.5</v>
      </c>
      <c r="T2" s="2">
        <f t="shared" si="0"/>
        <v>45.5</v>
      </c>
      <c r="U2" s="2">
        <f t="shared" si="0"/>
        <v>18</v>
      </c>
      <c r="V2" s="2">
        <f t="shared" si="0"/>
        <v>46.5</v>
      </c>
      <c r="W2" s="2">
        <f t="shared" si="0"/>
        <v>28</v>
      </c>
    </row>
    <row r="3" spans="1:23" ht="31.5" customHeight="1">
      <c r="A3" s="344" t="s">
        <v>28</v>
      </c>
      <c r="B3" s="345">
        <v>46030</v>
      </c>
      <c r="C3" s="345" t="s">
        <v>29</v>
      </c>
      <c r="D3" s="387" t="s">
        <v>30</v>
      </c>
      <c r="E3" s="47" t="s">
        <v>17</v>
      </c>
      <c r="F3" s="273" t="s">
        <v>31</v>
      </c>
      <c r="G3" s="145">
        <v>1</v>
      </c>
      <c r="H3" s="171"/>
      <c r="I3" s="171"/>
      <c r="J3" s="148"/>
      <c r="K3" s="119" t="s">
        <v>32</v>
      </c>
      <c r="L3" s="120">
        <v>466</v>
      </c>
      <c r="N3">
        <f>192+256</f>
        <v>448</v>
      </c>
      <c r="P3" s="2" cm="1">
        <f t="array" ref="P3:P185">IF(E3:E185=P1,G3:G185,0)</f>
        <v>0</v>
      </c>
      <c r="Q3" s="2" cm="1">
        <f t="array" ref="Q3:Q185">IF(E3:E185=Q1,G3:G185,0)</f>
        <v>0</v>
      </c>
      <c r="R3" s="2" cm="1">
        <f t="array" ref="R3:R185">IF(E3:E185=R1,G3:G185,0)</f>
        <v>0</v>
      </c>
      <c r="S3" s="2" cm="1">
        <f t="array" ref="S3:S185">IF(E3:E185=S1,G3:G185,0)</f>
        <v>0</v>
      </c>
      <c r="T3" s="2" cm="1">
        <f t="array" ref="T3:T185">IF(E3:E185=T1,G3:G185,0)</f>
        <v>1</v>
      </c>
      <c r="U3" s="2" cm="1">
        <f t="array" ref="U3:U185">IF(E3:E185=U1,G3:G185,0)</f>
        <v>0</v>
      </c>
      <c r="V3" s="2" cm="1">
        <f t="array" ref="V3:V185">IF(E3:E185=V1,G3:G185,0)</f>
        <v>0</v>
      </c>
      <c r="W3" s="2" cm="1">
        <f t="array" ref="W3:W185">IF(E3:E185=W1,G3:G185,0)</f>
        <v>0</v>
      </c>
    </row>
    <row r="4" spans="1:23" ht="31.5" customHeight="1">
      <c r="A4" s="346" t="s">
        <v>33</v>
      </c>
      <c r="B4" s="343">
        <v>46031</v>
      </c>
      <c r="C4" s="343" t="s">
        <v>34</v>
      </c>
      <c r="D4" s="388" t="s">
        <v>35</v>
      </c>
      <c r="E4" s="48" t="s">
        <v>16</v>
      </c>
      <c r="F4" s="217" t="s">
        <v>36</v>
      </c>
      <c r="G4" s="146">
        <v>4</v>
      </c>
      <c r="H4" s="171"/>
      <c r="I4" s="171"/>
      <c r="J4" s="148"/>
      <c r="K4" s="121" t="s">
        <v>37</v>
      </c>
      <c r="L4" s="122">
        <f>L3-G186</f>
        <v>111</v>
      </c>
      <c r="P4" s="2">
        <v>0</v>
      </c>
      <c r="Q4" s="2">
        <v>0</v>
      </c>
      <c r="R4" s="2">
        <v>0</v>
      </c>
      <c r="S4" s="2">
        <v>4</v>
      </c>
      <c r="T4" s="2">
        <v>0</v>
      </c>
      <c r="U4" s="2">
        <v>0</v>
      </c>
      <c r="V4" s="2">
        <v>0</v>
      </c>
      <c r="W4" s="2">
        <v>0</v>
      </c>
    </row>
    <row r="5" spans="1:23" ht="31.5" customHeight="1">
      <c r="A5" s="346" t="s">
        <v>38</v>
      </c>
      <c r="B5" s="343">
        <v>46032</v>
      </c>
      <c r="C5" s="343" t="s">
        <v>39</v>
      </c>
      <c r="D5" s="388" t="s">
        <v>40</v>
      </c>
      <c r="E5" s="48" t="s">
        <v>16</v>
      </c>
      <c r="F5" s="217" t="s">
        <v>36</v>
      </c>
      <c r="G5" s="146">
        <v>8</v>
      </c>
      <c r="H5" s="171"/>
      <c r="I5" s="171"/>
      <c r="J5" s="148"/>
      <c r="K5" s="121" t="s">
        <v>41</v>
      </c>
      <c r="L5" s="122">
        <f>G186</f>
        <v>355</v>
      </c>
      <c r="P5" s="2">
        <v>0</v>
      </c>
      <c r="Q5" s="2">
        <v>0</v>
      </c>
      <c r="R5" s="2">
        <v>0</v>
      </c>
      <c r="S5" s="2">
        <v>8</v>
      </c>
      <c r="T5" s="2">
        <v>0</v>
      </c>
      <c r="U5" s="2">
        <v>0</v>
      </c>
      <c r="V5" s="2">
        <v>0</v>
      </c>
      <c r="W5" s="2">
        <v>0</v>
      </c>
    </row>
    <row r="6" spans="1:23" ht="31.5" customHeight="1" thickBot="1">
      <c r="A6" s="347" t="s">
        <v>42</v>
      </c>
      <c r="B6" s="343">
        <v>46036</v>
      </c>
      <c r="C6" s="343" t="s">
        <v>43</v>
      </c>
      <c r="D6" s="388" t="s">
        <v>44</v>
      </c>
      <c r="E6" s="48" t="s">
        <v>14</v>
      </c>
      <c r="F6" s="217" t="s">
        <v>36</v>
      </c>
      <c r="G6" s="146">
        <v>3</v>
      </c>
      <c r="H6" s="171"/>
      <c r="I6" s="171"/>
      <c r="J6" s="148"/>
      <c r="K6" s="123" t="s">
        <v>45</v>
      </c>
      <c r="L6" s="124">
        <f>1-(L4/L3)</f>
        <v>0.7618025751072961</v>
      </c>
      <c r="N6" s="182" t="s">
        <v>46</v>
      </c>
      <c r="P6" s="2">
        <v>0</v>
      </c>
      <c r="Q6" s="2">
        <v>3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 ht="31.5" customHeight="1">
      <c r="A7" s="346" t="s">
        <v>47</v>
      </c>
      <c r="B7" s="343">
        <v>46036</v>
      </c>
      <c r="C7" s="343" t="s">
        <v>48</v>
      </c>
      <c r="D7" s="388" t="s">
        <v>49</v>
      </c>
      <c r="E7" s="48" t="s">
        <v>13</v>
      </c>
      <c r="F7" s="217" t="s">
        <v>36</v>
      </c>
      <c r="G7" s="146">
        <v>5</v>
      </c>
      <c r="H7" s="171"/>
      <c r="I7" s="171"/>
      <c r="J7" s="148"/>
      <c r="P7" s="2">
        <v>5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 spans="1:23" ht="31.5" customHeight="1">
      <c r="A8" s="346" t="s">
        <v>50</v>
      </c>
      <c r="B8" s="343">
        <v>46037</v>
      </c>
      <c r="C8" s="343" t="s">
        <v>51</v>
      </c>
      <c r="D8" s="388" t="s">
        <v>52</v>
      </c>
      <c r="E8" s="48" t="s">
        <v>13</v>
      </c>
      <c r="F8" s="217" t="s">
        <v>36</v>
      </c>
      <c r="G8" s="146">
        <v>6</v>
      </c>
      <c r="H8" s="171"/>
      <c r="I8" s="171"/>
      <c r="J8" s="148"/>
      <c r="P8" s="2">
        <v>6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 spans="1:23" ht="31.5" customHeight="1">
      <c r="A9" s="346" t="s">
        <v>53</v>
      </c>
      <c r="B9" s="343">
        <v>46038</v>
      </c>
      <c r="C9" s="343" t="s">
        <v>54</v>
      </c>
      <c r="D9" s="388" t="s">
        <v>55</v>
      </c>
      <c r="E9" s="48" t="s">
        <v>13</v>
      </c>
      <c r="F9" s="217" t="s">
        <v>36</v>
      </c>
      <c r="G9" s="146">
        <v>4.5</v>
      </c>
      <c r="H9" s="171"/>
      <c r="I9" s="171"/>
      <c r="J9" s="148"/>
      <c r="L9" s="42" t="s">
        <v>2</v>
      </c>
      <c r="M9" t="s">
        <v>56</v>
      </c>
      <c r="P9" s="2">
        <v>4.5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3" ht="31.5" customHeight="1">
      <c r="A10" s="346" t="s">
        <v>57</v>
      </c>
      <c r="B10" s="343">
        <v>46038</v>
      </c>
      <c r="C10" s="343" t="s">
        <v>34</v>
      </c>
      <c r="D10" s="388" t="s">
        <v>58</v>
      </c>
      <c r="E10" s="48" t="s">
        <v>14</v>
      </c>
      <c r="F10" s="217" t="s">
        <v>36</v>
      </c>
      <c r="G10" s="146">
        <v>3</v>
      </c>
      <c r="H10" s="171"/>
      <c r="I10" s="171"/>
      <c r="J10" s="148"/>
      <c r="K10" s="255" t="s">
        <v>13</v>
      </c>
      <c r="L10" s="458">
        <f>P2</f>
        <v>62.5</v>
      </c>
      <c r="M10" s="260">
        <f>COUNTIF(P3:P185,"&gt;0")</f>
        <v>14</v>
      </c>
      <c r="P10" s="2">
        <v>0</v>
      </c>
      <c r="Q10" s="2">
        <v>3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 spans="1:23" ht="31.5" customHeight="1">
      <c r="A11" s="346" t="s">
        <v>59</v>
      </c>
      <c r="B11" s="343">
        <v>46039</v>
      </c>
      <c r="C11" s="343" t="s">
        <v>60</v>
      </c>
      <c r="D11" s="388" t="s">
        <v>61</v>
      </c>
      <c r="E11" s="48" t="s">
        <v>14</v>
      </c>
      <c r="F11" s="217" t="s">
        <v>36</v>
      </c>
      <c r="G11" s="146">
        <v>6</v>
      </c>
      <c r="H11" s="171"/>
      <c r="I11" s="171"/>
      <c r="J11" s="148"/>
      <c r="K11" s="256" t="s">
        <v>14</v>
      </c>
      <c r="L11" s="252">
        <f>Q2</f>
        <v>28</v>
      </c>
      <c r="M11" s="231">
        <f>COUNTIF(Q3:Q185,"&gt;0")</f>
        <v>8</v>
      </c>
      <c r="P11" s="2">
        <v>0</v>
      </c>
      <c r="Q11" s="2">
        <v>6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 spans="1:23" ht="31.5" customHeight="1">
      <c r="A12" s="346" t="s">
        <v>62</v>
      </c>
      <c r="B12" s="343">
        <v>46039</v>
      </c>
      <c r="C12" s="343" t="s">
        <v>63</v>
      </c>
      <c r="D12" s="388" t="s">
        <v>64</v>
      </c>
      <c r="E12" s="48" t="s">
        <v>13</v>
      </c>
      <c r="F12" s="217" t="s">
        <v>36</v>
      </c>
      <c r="G12" s="146">
        <v>3.5</v>
      </c>
      <c r="H12" s="171"/>
      <c r="I12" s="171"/>
      <c r="J12" s="148"/>
      <c r="K12" s="256" t="s">
        <v>15</v>
      </c>
      <c r="L12" s="252">
        <f>R2</f>
        <v>29</v>
      </c>
      <c r="M12" s="231">
        <f>COUNTIF(R3:R185,"&gt;0")</f>
        <v>7</v>
      </c>
      <c r="P12" s="2">
        <v>3.5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 ht="31.5" customHeight="1">
      <c r="A13" s="347" t="s">
        <v>65</v>
      </c>
      <c r="B13" s="343">
        <v>46039</v>
      </c>
      <c r="C13" s="343" t="s">
        <v>60</v>
      </c>
      <c r="D13" s="388" t="s">
        <v>66</v>
      </c>
      <c r="E13" s="48" t="s">
        <v>12</v>
      </c>
      <c r="F13" s="217" t="s">
        <v>36</v>
      </c>
      <c r="G13" s="146">
        <v>6</v>
      </c>
      <c r="H13" s="171"/>
      <c r="I13" s="171"/>
      <c r="J13" s="148"/>
      <c r="K13" s="256" t="s">
        <v>16</v>
      </c>
      <c r="L13" s="453">
        <f>S2</f>
        <v>47.5</v>
      </c>
      <c r="M13" s="231">
        <f>COUNTIF(S3:S185,"&gt;0")</f>
        <v>14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6</v>
      </c>
      <c r="V13" s="2">
        <v>0</v>
      </c>
      <c r="W13" s="2">
        <v>0</v>
      </c>
    </row>
    <row r="14" spans="1:23" ht="31.5" customHeight="1">
      <c r="A14" s="361" t="s">
        <v>67</v>
      </c>
      <c r="B14" s="343">
        <v>46041</v>
      </c>
      <c r="C14" s="343" t="s">
        <v>68</v>
      </c>
      <c r="D14" s="388" t="s">
        <v>69</v>
      </c>
      <c r="E14" s="48" t="s">
        <v>16</v>
      </c>
      <c r="F14" s="217" t="s">
        <v>31</v>
      </c>
      <c r="G14" s="146">
        <v>2</v>
      </c>
      <c r="H14" s="171"/>
      <c r="I14" s="171"/>
      <c r="J14" s="148"/>
      <c r="K14" s="256" t="s">
        <v>17</v>
      </c>
      <c r="L14" s="453">
        <f>T2</f>
        <v>45.5</v>
      </c>
      <c r="M14" s="231">
        <f>COUNTIF(T3:T185,"&gt;0")</f>
        <v>14</v>
      </c>
      <c r="P14" s="2">
        <v>0</v>
      </c>
      <c r="Q14" s="2">
        <v>0</v>
      </c>
      <c r="R14" s="2">
        <v>0</v>
      </c>
      <c r="S14" s="2">
        <v>2</v>
      </c>
      <c r="T14" s="2">
        <v>0</v>
      </c>
      <c r="U14" s="2">
        <v>0</v>
      </c>
      <c r="V14" s="2">
        <v>0</v>
      </c>
      <c r="W14" s="2">
        <v>0</v>
      </c>
    </row>
    <row r="15" spans="1:23" ht="31.5" customHeight="1">
      <c r="A15" s="347" t="s">
        <v>70</v>
      </c>
      <c r="B15" s="343">
        <v>46042</v>
      </c>
      <c r="C15" s="343" t="s">
        <v>29</v>
      </c>
      <c r="D15" s="388" t="s">
        <v>69</v>
      </c>
      <c r="E15" s="48" t="s">
        <v>16</v>
      </c>
      <c r="F15" s="217" t="s">
        <v>31</v>
      </c>
      <c r="G15" s="146">
        <v>1</v>
      </c>
      <c r="H15" s="171"/>
      <c r="I15" s="171"/>
      <c r="J15" s="148"/>
      <c r="K15" s="256" t="s">
        <v>12</v>
      </c>
      <c r="L15" s="252">
        <f>U2</f>
        <v>18</v>
      </c>
      <c r="M15" s="231">
        <f>COUNTIF(U3:U185,"&gt;0")</f>
        <v>5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</row>
    <row r="16" spans="1:23" ht="31.5" customHeight="1">
      <c r="A16" s="347" t="s">
        <v>71</v>
      </c>
      <c r="B16" s="343">
        <v>46042</v>
      </c>
      <c r="C16" s="343" t="s">
        <v>72</v>
      </c>
      <c r="D16" s="388" t="s">
        <v>73</v>
      </c>
      <c r="E16" s="48" t="s">
        <v>12</v>
      </c>
      <c r="F16" s="217" t="s">
        <v>31</v>
      </c>
      <c r="G16" s="146">
        <v>3</v>
      </c>
      <c r="H16" s="171"/>
      <c r="I16" s="171"/>
      <c r="J16" s="148"/>
      <c r="K16" s="256" t="s">
        <v>18</v>
      </c>
      <c r="L16" s="252">
        <f>V2</f>
        <v>46.5</v>
      </c>
      <c r="M16" s="231">
        <f>COUNTIF(V3:V185,"&gt;0")</f>
        <v>14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3</v>
      </c>
      <c r="V16" s="2">
        <v>0</v>
      </c>
      <c r="W16" s="2">
        <v>0</v>
      </c>
    </row>
    <row r="17" spans="1:23" ht="31.5" customHeight="1" thickBot="1">
      <c r="A17" s="347" t="s">
        <v>74</v>
      </c>
      <c r="B17" s="343">
        <v>46042</v>
      </c>
      <c r="C17" s="343" t="s">
        <v>75</v>
      </c>
      <c r="D17" s="388" t="s">
        <v>76</v>
      </c>
      <c r="E17" s="48" t="s">
        <v>13</v>
      </c>
      <c r="F17" s="217" t="s">
        <v>31</v>
      </c>
      <c r="G17" s="146">
        <v>4</v>
      </c>
      <c r="H17" s="171"/>
      <c r="I17" s="171"/>
      <c r="J17" s="148"/>
      <c r="K17" s="257" t="s">
        <v>19</v>
      </c>
      <c r="L17" s="254">
        <f>W2</f>
        <v>28</v>
      </c>
      <c r="M17" s="238">
        <f>COUNTIF(W3:W185,"&gt;0")</f>
        <v>10</v>
      </c>
      <c r="P17" s="2">
        <v>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</row>
    <row r="18" spans="1:23" ht="31.5" customHeight="1">
      <c r="A18" s="347" t="s">
        <v>77</v>
      </c>
      <c r="B18" s="343">
        <v>46044</v>
      </c>
      <c r="C18" s="343" t="s">
        <v>29</v>
      </c>
      <c r="D18" s="389" t="s">
        <v>78</v>
      </c>
      <c r="E18" s="48" t="s">
        <v>18</v>
      </c>
      <c r="F18" s="217" t="s">
        <v>31</v>
      </c>
      <c r="G18" s="146">
        <v>1</v>
      </c>
      <c r="H18" s="171"/>
      <c r="I18" s="171"/>
      <c r="J18" s="148"/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</v>
      </c>
      <c r="W18" s="2">
        <v>0</v>
      </c>
    </row>
    <row r="19" spans="1:23" ht="31.5" customHeight="1">
      <c r="A19" s="347" t="s">
        <v>79</v>
      </c>
      <c r="B19" s="343">
        <v>46044</v>
      </c>
      <c r="C19" s="343" t="s">
        <v>80</v>
      </c>
      <c r="D19" s="388" t="s">
        <v>81</v>
      </c>
      <c r="E19" s="48" t="s">
        <v>16</v>
      </c>
      <c r="F19" s="217" t="s">
        <v>36</v>
      </c>
      <c r="G19" s="146">
        <v>2.5</v>
      </c>
      <c r="H19" s="171"/>
      <c r="I19" s="171"/>
      <c r="J19" s="148"/>
      <c r="K19" t="s">
        <v>82</v>
      </c>
      <c r="L19" s="42">
        <f>SUM(G3:G185)</f>
        <v>355</v>
      </c>
      <c r="P19" s="2">
        <v>0</v>
      </c>
      <c r="Q19" s="2">
        <v>0</v>
      </c>
      <c r="R19" s="2">
        <v>0</v>
      </c>
      <c r="S19" s="2">
        <v>2.5</v>
      </c>
      <c r="T19" s="2">
        <v>0</v>
      </c>
      <c r="U19" s="2">
        <v>0</v>
      </c>
      <c r="V19" s="2">
        <v>0</v>
      </c>
      <c r="W19" s="2">
        <v>0</v>
      </c>
    </row>
    <row r="20" spans="1:23" ht="31.5" customHeight="1">
      <c r="A20" s="347" t="s">
        <v>83</v>
      </c>
      <c r="B20" s="343">
        <v>46045</v>
      </c>
      <c r="C20" s="343" t="s">
        <v>34</v>
      </c>
      <c r="D20" s="388" t="s">
        <v>84</v>
      </c>
      <c r="E20" s="48" t="s">
        <v>18</v>
      </c>
      <c r="F20" s="217" t="s">
        <v>36</v>
      </c>
      <c r="G20" s="146">
        <v>4</v>
      </c>
      <c r="H20" s="171"/>
      <c r="I20" s="171"/>
      <c r="J20" s="148"/>
      <c r="K20" t="s">
        <v>85</v>
      </c>
      <c r="M20">
        <f>SUM(M10:M17)</f>
        <v>86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4</v>
      </c>
      <c r="W20" s="2">
        <v>0</v>
      </c>
    </row>
    <row r="21" spans="1:23" ht="31.5" customHeight="1">
      <c r="A21" s="347" t="s">
        <v>86</v>
      </c>
      <c r="B21" s="343">
        <v>46046</v>
      </c>
      <c r="C21" s="343" t="s">
        <v>60</v>
      </c>
      <c r="D21" s="388" t="s">
        <v>87</v>
      </c>
      <c r="E21" s="48" t="s">
        <v>18</v>
      </c>
      <c r="F21" s="217" t="s">
        <v>36</v>
      </c>
      <c r="G21" s="146">
        <v>5</v>
      </c>
      <c r="H21" s="171"/>
      <c r="I21" s="171"/>
      <c r="J21" s="148"/>
      <c r="K21" t="s">
        <v>88</v>
      </c>
      <c r="L21" s="42">
        <f>L19/12</f>
        <v>29.583333333333332</v>
      </c>
      <c r="M21">
        <f>M20/12</f>
        <v>7.166666666666667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5</v>
      </c>
      <c r="W21" s="2">
        <v>0</v>
      </c>
    </row>
    <row r="22" spans="1:23" ht="31.5" customHeight="1">
      <c r="A22" s="347" t="s">
        <v>79</v>
      </c>
      <c r="B22" s="343">
        <v>46048</v>
      </c>
      <c r="C22" s="343" t="s">
        <v>72</v>
      </c>
      <c r="D22" s="388" t="s">
        <v>89</v>
      </c>
      <c r="E22" s="48" t="s">
        <v>16</v>
      </c>
      <c r="F22" s="217" t="s">
        <v>36</v>
      </c>
      <c r="G22" s="146">
        <v>3</v>
      </c>
      <c r="H22" s="171"/>
      <c r="I22" s="171"/>
      <c r="J22" s="148"/>
      <c r="P22" s="2">
        <v>0</v>
      </c>
      <c r="Q22" s="2">
        <v>0</v>
      </c>
      <c r="R22" s="2">
        <v>0</v>
      </c>
      <c r="S22" s="2">
        <v>3</v>
      </c>
      <c r="T22" s="2">
        <v>0</v>
      </c>
      <c r="U22" s="2">
        <v>0</v>
      </c>
      <c r="V22" s="2">
        <v>0</v>
      </c>
      <c r="W22" s="2">
        <v>0</v>
      </c>
    </row>
    <row r="23" spans="1:23" ht="31.5" customHeight="1">
      <c r="A23" s="347" t="s">
        <v>90</v>
      </c>
      <c r="B23" s="343">
        <v>46048</v>
      </c>
      <c r="C23" s="343" t="s">
        <v>91</v>
      </c>
      <c r="D23" s="389" t="s">
        <v>78</v>
      </c>
      <c r="E23" s="48" t="s">
        <v>19</v>
      </c>
      <c r="F23" s="217" t="s">
        <v>31</v>
      </c>
      <c r="G23" s="146">
        <v>2.5</v>
      </c>
      <c r="H23" s="171"/>
      <c r="I23" s="171"/>
      <c r="J23" s="148"/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2.5</v>
      </c>
    </row>
    <row r="24" spans="1:23" ht="31.5" customHeight="1">
      <c r="A24" s="347" t="s">
        <v>92</v>
      </c>
      <c r="B24" s="343">
        <v>46049</v>
      </c>
      <c r="C24" s="343" t="s">
        <v>29</v>
      </c>
      <c r="D24" s="389" t="s">
        <v>78</v>
      </c>
      <c r="E24" s="48" t="s">
        <v>17</v>
      </c>
      <c r="F24" s="217" t="s">
        <v>31</v>
      </c>
      <c r="G24" s="146">
        <v>1</v>
      </c>
      <c r="H24" s="171"/>
      <c r="I24" s="171"/>
      <c r="J24" s="148"/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</row>
    <row r="25" spans="1:23" ht="31.5" customHeight="1">
      <c r="A25" s="359" t="s">
        <v>93</v>
      </c>
      <c r="B25" s="360">
        <v>46050</v>
      </c>
      <c r="C25" s="360" t="s">
        <v>29</v>
      </c>
      <c r="D25" s="389" t="s">
        <v>78</v>
      </c>
      <c r="E25" s="156" t="s">
        <v>17</v>
      </c>
      <c r="F25" s="268" t="s">
        <v>31</v>
      </c>
      <c r="G25" s="215">
        <v>1</v>
      </c>
      <c r="H25" s="171"/>
      <c r="I25" s="171"/>
      <c r="J25" s="148"/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</row>
    <row r="26" spans="1:23" ht="31.5" customHeight="1">
      <c r="A26" s="359" t="s">
        <v>94</v>
      </c>
      <c r="B26" s="360">
        <v>46051</v>
      </c>
      <c r="C26" s="360" t="s">
        <v>95</v>
      </c>
      <c r="D26" s="389" t="s">
        <v>96</v>
      </c>
      <c r="E26" s="156" t="s">
        <v>13</v>
      </c>
      <c r="F26" s="217" t="s">
        <v>36</v>
      </c>
      <c r="G26" s="215">
        <v>1</v>
      </c>
      <c r="H26" s="171"/>
      <c r="I26" s="171"/>
      <c r="J26" s="148"/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</row>
    <row r="27" spans="1:23" ht="31.5" customHeight="1">
      <c r="A27" s="358" t="s">
        <v>97</v>
      </c>
      <c r="B27" s="348">
        <v>46051</v>
      </c>
      <c r="C27" s="348" t="s">
        <v>29</v>
      </c>
      <c r="D27" s="390" t="s">
        <v>78</v>
      </c>
      <c r="E27" s="49" t="s">
        <v>16</v>
      </c>
      <c r="F27" s="218" t="s">
        <v>31</v>
      </c>
      <c r="G27" s="26">
        <v>1</v>
      </c>
      <c r="H27" s="349" t="s">
        <v>98</v>
      </c>
      <c r="I27" s="172">
        <f>SUM(G3:G27)</f>
        <v>82</v>
      </c>
      <c r="J27" s="148"/>
      <c r="N27" s="118"/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</row>
    <row r="28" spans="1:23" ht="31.5" customHeight="1">
      <c r="A28" s="50" t="s">
        <v>99</v>
      </c>
      <c r="B28" s="350">
        <v>46056</v>
      </c>
      <c r="C28" s="50" t="s">
        <v>95</v>
      </c>
      <c r="D28" s="391" t="s">
        <v>100</v>
      </c>
      <c r="E28" s="50" t="s">
        <v>15</v>
      </c>
      <c r="F28" s="50" t="s">
        <v>31</v>
      </c>
      <c r="G28" s="219">
        <v>2.5</v>
      </c>
      <c r="H28" s="171"/>
      <c r="J28" s="148"/>
      <c r="P28" s="2">
        <v>0</v>
      </c>
      <c r="Q28" s="2">
        <v>0</v>
      </c>
      <c r="R28" s="2">
        <v>2.5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</row>
    <row r="29" spans="1:23" ht="31.5" customHeight="1">
      <c r="A29" s="51" t="s">
        <v>101</v>
      </c>
      <c r="B29" s="351">
        <v>46058</v>
      </c>
      <c r="C29" s="51" t="s">
        <v>102</v>
      </c>
      <c r="D29" s="392" t="s">
        <v>103</v>
      </c>
      <c r="E29" s="51" t="s">
        <v>15</v>
      </c>
      <c r="F29" s="51" t="s">
        <v>36</v>
      </c>
      <c r="G29" s="150">
        <v>1</v>
      </c>
      <c r="H29" s="171"/>
      <c r="I29" s="171"/>
      <c r="J29" s="148"/>
      <c r="P29" s="2">
        <v>0</v>
      </c>
      <c r="Q29" s="2">
        <v>0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</row>
    <row r="30" spans="1:23" ht="31.5" customHeight="1">
      <c r="A30" s="51" t="s">
        <v>104</v>
      </c>
      <c r="B30" s="351">
        <v>46058</v>
      </c>
      <c r="C30" s="51" t="s">
        <v>105</v>
      </c>
      <c r="D30" s="392" t="s">
        <v>106</v>
      </c>
      <c r="E30" s="51" t="s">
        <v>14</v>
      </c>
      <c r="F30" s="51" t="s">
        <v>36</v>
      </c>
      <c r="G30" s="150">
        <v>1</v>
      </c>
      <c r="H30" s="171"/>
      <c r="I30" s="171"/>
      <c r="J30" s="148"/>
      <c r="P30" s="2">
        <v>0</v>
      </c>
      <c r="Q30" s="2">
        <v>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</row>
    <row r="31" spans="1:23" ht="31.5" customHeight="1">
      <c r="A31" s="51" t="s">
        <v>107</v>
      </c>
      <c r="B31" s="351">
        <v>46058</v>
      </c>
      <c r="C31" s="51" t="s">
        <v>108</v>
      </c>
      <c r="D31" s="392" t="s">
        <v>109</v>
      </c>
      <c r="E31" s="51" t="s">
        <v>13</v>
      </c>
      <c r="F31" s="51" t="s">
        <v>36</v>
      </c>
      <c r="G31" s="150">
        <v>7</v>
      </c>
      <c r="H31" s="171"/>
      <c r="I31" s="171"/>
      <c r="J31" s="148"/>
      <c r="P31" s="2">
        <v>7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</row>
    <row r="32" spans="1:23" ht="31.5" customHeight="1">
      <c r="A32" s="51" t="s">
        <v>110</v>
      </c>
      <c r="B32" s="351">
        <v>46059</v>
      </c>
      <c r="C32" s="51" t="s">
        <v>34</v>
      </c>
      <c r="D32" s="392" t="s">
        <v>111</v>
      </c>
      <c r="E32" s="51" t="s">
        <v>18</v>
      </c>
      <c r="F32" s="51" t="s">
        <v>36</v>
      </c>
      <c r="G32" s="150">
        <v>4</v>
      </c>
      <c r="H32" s="171"/>
      <c r="I32" s="171"/>
      <c r="J32" s="148"/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4</v>
      </c>
      <c r="W32" s="2">
        <v>0</v>
      </c>
    </row>
    <row r="33" spans="1:23" ht="31.5" customHeight="1">
      <c r="A33" s="51" t="s">
        <v>112</v>
      </c>
      <c r="B33" s="351">
        <v>46059</v>
      </c>
      <c r="C33" s="51" t="s">
        <v>113</v>
      </c>
      <c r="D33" s="392" t="s">
        <v>114</v>
      </c>
      <c r="E33" s="51" t="s">
        <v>17</v>
      </c>
      <c r="F33" s="51" t="s">
        <v>31</v>
      </c>
      <c r="G33" s="150">
        <v>3</v>
      </c>
      <c r="H33" s="171"/>
      <c r="I33" s="171"/>
      <c r="J33" s="148"/>
      <c r="P33" s="2">
        <v>0</v>
      </c>
      <c r="Q33" s="2">
        <v>0</v>
      </c>
      <c r="R33" s="2">
        <v>0</v>
      </c>
      <c r="S33" s="2">
        <v>0</v>
      </c>
      <c r="T33" s="2">
        <v>3</v>
      </c>
      <c r="U33" s="2">
        <v>0</v>
      </c>
      <c r="V33" s="2">
        <v>0</v>
      </c>
      <c r="W33" s="2">
        <v>0</v>
      </c>
    </row>
    <row r="34" spans="1:23" ht="31.5" customHeight="1">
      <c r="A34" s="51" t="s">
        <v>115</v>
      </c>
      <c r="B34" s="351">
        <v>46060</v>
      </c>
      <c r="C34" s="51" t="s">
        <v>116</v>
      </c>
      <c r="D34" s="392" t="s">
        <v>117</v>
      </c>
      <c r="E34" s="51" t="s">
        <v>18</v>
      </c>
      <c r="F34" s="51" t="s">
        <v>36</v>
      </c>
      <c r="G34" s="150">
        <v>5</v>
      </c>
      <c r="H34" s="171"/>
      <c r="I34" s="171"/>
      <c r="J34" s="148"/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5</v>
      </c>
      <c r="W34" s="2">
        <v>0</v>
      </c>
    </row>
    <row r="35" spans="1:23" ht="31.5" customHeight="1">
      <c r="A35" s="51" t="s">
        <v>118</v>
      </c>
      <c r="B35" s="351">
        <v>46062</v>
      </c>
      <c r="C35" s="51" t="s">
        <v>29</v>
      </c>
      <c r="D35" s="392" t="s">
        <v>119</v>
      </c>
      <c r="E35" s="51" t="s">
        <v>19</v>
      </c>
      <c r="F35" s="51" t="s">
        <v>31</v>
      </c>
      <c r="G35" s="150">
        <v>1</v>
      </c>
      <c r="H35" s="171"/>
      <c r="I35" s="171"/>
      <c r="J35" s="148"/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</row>
    <row r="36" spans="1:23" ht="31.5" customHeight="1">
      <c r="A36" s="51" t="s">
        <v>120</v>
      </c>
      <c r="B36" s="351">
        <v>46063</v>
      </c>
      <c r="C36" s="51" t="s">
        <v>68</v>
      </c>
      <c r="D36" s="392" t="s">
        <v>78</v>
      </c>
      <c r="E36" s="51" t="s">
        <v>18</v>
      </c>
      <c r="F36" s="51" t="s">
        <v>31</v>
      </c>
      <c r="G36" s="150">
        <v>2</v>
      </c>
      <c r="H36" s="171"/>
      <c r="I36" s="171"/>
      <c r="J36" s="148"/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2</v>
      </c>
      <c r="W36" s="2">
        <v>0</v>
      </c>
    </row>
    <row r="37" spans="1:23" ht="31.5" customHeight="1">
      <c r="A37" s="51" t="s">
        <v>121</v>
      </c>
      <c r="B37" s="351">
        <v>46064</v>
      </c>
      <c r="C37" s="51" t="s">
        <v>29</v>
      </c>
      <c r="D37" s="392" t="s">
        <v>122</v>
      </c>
      <c r="E37" s="51" t="s">
        <v>19</v>
      </c>
      <c r="F37" s="51" t="s">
        <v>31</v>
      </c>
      <c r="G37" s="150">
        <v>1</v>
      </c>
      <c r="H37" s="171"/>
      <c r="I37" s="171"/>
      <c r="J37" s="148"/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</row>
    <row r="38" spans="1:23" ht="31.5" customHeight="1">
      <c r="A38" s="51" t="s">
        <v>123</v>
      </c>
      <c r="B38" s="351">
        <v>46065</v>
      </c>
      <c r="C38" s="51" t="s">
        <v>124</v>
      </c>
      <c r="D38" s="392" t="s">
        <v>125</v>
      </c>
      <c r="E38" s="51" t="s">
        <v>13</v>
      </c>
      <c r="F38" s="51" t="s">
        <v>36</v>
      </c>
      <c r="G38" s="150">
        <v>8</v>
      </c>
      <c r="H38" s="171"/>
      <c r="I38" s="171"/>
      <c r="J38" s="148"/>
      <c r="P38" s="2">
        <v>8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</row>
    <row r="39" spans="1:23" ht="31.5" customHeight="1">
      <c r="A39" s="51" t="s">
        <v>123</v>
      </c>
      <c r="B39" s="351">
        <v>46065</v>
      </c>
      <c r="C39" s="51" t="s">
        <v>124</v>
      </c>
      <c r="D39" s="392" t="s">
        <v>125</v>
      </c>
      <c r="E39" s="51" t="s">
        <v>15</v>
      </c>
      <c r="F39" s="51" t="s">
        <v>36</v>
      </c>
      <c r="G39" s="150">
        <v>8</v>
      </c>
      <c r="H39" s="171"/>
      <c r="I39" s="171"/>
      <c r="J39" s="148"/>
      <c r="P39" s="2">
        <v>0</v>
      </c>
      <c r="Q39" s="2">
        <v>0</v>
      </c>
      <c r="R39" s="2">
        <v>8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</row>
    <row r="40" spans="1:23" ht="31.5" customHeight="1">
      <c r="A40" s="51" t="s">
        <v>126</v>
      </c>
      <c r="B40" s="351">
        <v>46065</v>
      </c>
      <c r="C40" s="51" t="s">
        <v>34</v>
      </c>
      <c r="D40" s="392" t="s">
        <v>127</v>
      </c>
      <c r="E40" s="51" t="s">
        <v>14</v>
      </c>
      <c r="F40" s="51" t="s">
        <v>36</v>
      </c>
      <c r="G40" s="150">
        <v>1</v>
      </c>
      <c r="H40" s="171"/>
      <c r="I40" s="171"/>
      <c r="J40" s="148"/>
      <c r="P40" s="2">
        <v>0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</row>
    <row r="41" spans="1:23" ht="31.5" customHeight="1">
      <c r="A41" s="51" t="s">
        <v>128</v>
      </c>
      <c r="B41" s="351">
        <v>46066</v>
      </c>
      <c r="C41" s="51" t="s">
        <v>34</v>
      </c>
      <c r="D41" s="392" t="s">
        <v>129</v>
      </c>
      <c r="E41" s="51" t="s">
        <v>17</v>
      </c>
      <c r="F41" s="51" t="s">
        <v>36</v>
      </c>
      <c r="G41" s="150">
        <v>4</v>
      </c>
      <c r="H41" s="171"/>
      <c r="I41" s="171"/>
      <c r="J41" s="148"/>
      <c r="P41" s="2">
        <v>0</v>
      </c>
      <c r="Q41" s="2">
        <v>0</v>
      </c>
      <c r="R41" s="2">
        <v>0</v>
      </c>
      <c r="S41" s="2">
        <v>0</v>
      </c>
      <c r="T41" s="2">
        <v>4</v>
      </c>
      <c r="U41" s="2">
        <v>0</v>
      </c>
      <c r="V41" s="2">
        <v>0</v>
      </c>
      <c r="W41" s="2">
        <v>0</v>
      </c>
    </row>
    <row r="42" spans="1:23" ht="31.5" customHeight="1">
      <c r="A42" s="51" t="s">
        <v>130</v>
      </c>
      <c r="B42" s="351">
        <v>46067</v>
      </c>
      <c r="C42" s="51" t="s">
        <v>116</v>
      </c>
      <c r="D42" s="392" t="s">
        <v>131</v>
      </c>
      <c r="E42" s="51" t="s">
        <v>17</v>
      </c>
      <c r="F42" s="51" t="s">
        <v>36</v>
      </c>
      <c r="G42" s="150">
        <v>5</v>
      </c>
      <c r="H42" s="171"/>
      <c r="I42" s="171"/>
      <c r="J42" s="148"/>
      <c r="P42" s="2">
        <v>0</v>
      </c>
      <c r="Q42" s="2">
        <v>0</v>
      </c>
      <c r="R42" s="2">
        <v>0</v>
      </c>
      <c r="S42" s="2">
        <v>0</v>
      </c>
      <c r="T42" s="2">
        <v>5</v>
      </c>
      <c r="U42" s="2">
        <v>0</v>
      </c>
      <c r="V42" s="2">
        <v>0</v>
      </c>
      <c r="W42" s="2">
        <v>0</v>
      </c>
    </row>
    <row r="43" spans="1:23" ht="31.5" customHeight="1">
      <c r="A43" s="52" t="s">
        <v>132</v>
      </c>
      <c r="B43" s="366">
        <v>46072</v>
      </c>
      <c r="C43" s="52" t="s">
        <v>105</v>
      </c>
      <c r="D43" s="393" t="s">
        <v>78</v>
      </c>
      <c r="E43" s="52" t="s">
        <v>12</v>
      </c>
      <c r="F43" s="52" t="s">
        <v>31</v>
      </c>
      <c r="G43" s="367">
        <v>1</v>
      </c>
      <c r="H43" s="171"/>
      <c r="I43" s="171"/>
      <c r="J43" s="148"/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0</v>
      </c>
    </row>
    <row r="44" spans="1:23" ht="31.5" customHeight="1">
      <c r="A44" s="170" t="s">
        <v>133</v>
      </c>
      <c r="B44" s="365">
        <v>46078</v>
      </c>
      <c r="C44" s="170" t="s">
        <v>134</v>
      </c>
      <c r="D44" s="394" t="s">
        <v>135</v>
      </c>
      <c r="E44" s="170" t="s">
        <v>19</v>
      </c>
      <c r="F44" s="170" t="s">
        <v>31</v>
      </c>
      <c r="G44" s="189">
        <v>2.5</v>
      </c>
      <c r="H44" s="175" t="s">
        <v>98</v>
      </c>
      <c r="I44" s="174">
        <f>SUM(G28:G44)</f>
        <v>57</v>
      </c>
      <c r="J44" s="148"/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2.5</v>
      </c>
    </row>
    <row r="45" spans="1:23" ht="31.5" customHeight="1">
      <c r="A45" s="193" t="s">
        <v>136</v>
      </c>
      <c r="B45" s="352">
        <v>46085</v>
      </c>
      <c r="C45" s="193" t="s">
        <v>43</v>
      </c>
      <c r="D45" s="395" t="s">
        <v>137</v>
      </c>
      <c r="E45" s="193" t="s">
        <v>13</v>
      </c>
      <c r="F45" s="193" t="s">
        <v>36</v>
      </c>
      <c r="G45" s="194">
        <v>1</v>
      </c>
      <c r="H45" s="171"/>
      <c r="I45" s="171"/>
      <c r="J45" s="148"/>
      <c r="K45" s="196" t="s">
        <v>138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</row>
    <row r="46" spans="1:23" ht="31.5" customHeight="1">
      <c r="A46" s="193" t="s">
        <v>136</v>
      </c>
      <c r="B46" s="352">
        <v>46085</v>
      </c>
      <c r="C46" s="193" t="s">
        <v>43</v>
      </c>
      <c r="D46" s="396" t="s">
        <v>137</v>
      </c>
      <c r="E46" s="193" t="s">
        <v>17</v>
      </c>
      <c r="F46" s="193" t="s">
        <v>36</v>
      </c>
      <c r="G46" s="194">
        <v>1</v>
      </c>
      <c r="H46" s="171"/>
      <c r="I46" s="171"/>
      <c r="J46" s="148"/>
      <c r="K46" s="196" t="s">
        <v>138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</row>
    <row r="47" spans="1:23" ht="31.5" customHeight="1">
      <c r="A47" s="193" t="s">
        <v>139</v>
      </c>
      <c r="B47" s="352">
        <v>46085</v>
      </c>
      <c r="C47" s="193" t="s">
        <v>140</v>
      </c>
      <c r="D47" s="396" t="s">
        <v>141</v>
      </c>
      <c r="E47" s="193" t="s">
        <v>18</v>
      </c>
      <c r="F47" s="193" t="s">
        <v>36</v>
      </c>
      <c r="G47" s="194">
        <v>9</v>
      </c>
      <c r="H47" s="171"/>
      <c r="I47" s="171"/>
      <c r="J47" s="148"/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9</v>
      </c>
      <c r="W47" s="2">
        <v>0</v>
      </c>
    </row>
    <row r="48" spans="1:23" ht="31.5" customHeight="1">
      <c r="A48" s="193" t="s">
        <v>139</v>
      </c>
      <c r="B48" s="352">
        <v>46085</v>
      </c>
      <c r="C48" s="193" t="s">
        <v>140</v>
      </c>
      <c r="D48" s="396" t="s">
        <v>141</v>
      </c>
      <c r="E48" s="193" t="s">
        <v>16</v>
      </c>
      <c r="F48" s="193" t="s">
        <v>36</v>
      </c>
      <c r="G48" s="194">
        <v>9</v>
      </c>
      <c r="H48" s="171"/>
      <c r="I48" s="171"/>
      <c r="J48" s="148"/>
      <c r="P48" s="2">
        <v>0</v>
      </c>
      <c r="Q48" s="2">
        <v>0</v>
      </c>
      <c r="R48" s="2">
        <v>0</v>
      </c>
      <c r="S48" s="2">
        <v>9</v>
      </c>
      <c r="T48" s="2">
        <v>0</v>
      </c>
      <c r="U48" s="2">
        <v>0</v>
      </c>
      <c r="V48" s="2">
        <v>0</v>
      </c>
      <c r="W48" s="2">
        <v>0</v>
      </c>
    </row>
    <row r="49" spans="1:23" ht="31.5" customHeight="1">
      <c r="A49" s="193" t="s">
        <v>142</v>
      </c>
      <c r="B49" s="352">
        <v>46086</v>
      </c>
      <c r="C49" s="193" t="s">
        <v>105</v>
      </c>
      <c r="D49" s="396" t="s">
        <v>143</v>
      </c>
      <c r="E49" s="193" t="s">
        <v>19</v>
      </c>
      <c r="F49" s="193" t="s">
        <v>36</v>
      </c>
      <c r="G49" s="194">
        <v>1</v>
      </c>
      <c r="H49" s="171"/>
      <c r="I49" s="171"/>
      <c r="J49" s="148"/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</row>
    <row r="50" spans="1:23" ht="31.5" customHeight="1">
      <c r="A50" s="368" t="s">
        <v>144</v>
      </c>
      <c r="B50" s="353">
        <v>46087</v>
      </c>
      <c r="C50" s="54" t="s">
        <v>145</v>
      </c>
      <c r="D50" s="396" t="s">
        <v>146</v>
      </c>
      <c r="E50" s="54" t="s">
        <v>16</v>
      </c>
      <c r="F50" s="54" t="s">
        <v>36</v>
      </c>
      <c r="G50" s="151">
        <v>2</v>
      </c>
      <c r="H50" s="171"/>
      <c r="I50" s="171"/>
      <c r="J50" s="148"/>
      <c r="P50" s="2">
        <v>0</v>
      </c>
      <c r="Q50" s="2">
        <v>0</v>
      </c>
      <c r="R50" s="2">
        <v>0</v>
      </c>
      <c r="S50" s="2">
        <v>2</v>
      </c>
      <c r="T50" s="2">
        <v>0</v>
      </c>
      <c r="U50" s="2">
        <v>0</v>
      </c>
      <c r="V50" s="2">
        <v>0</v>
      </c>
      <c r="W50" s="2">
        <v>0</v>
      </c>
    </row>
    <row r="51" spans="1:23" ht="31.5" customHeight="1">
      <c r="A51" s="368" t="s">
        <v>147</v>
      </c>
      <c r="B51" s="353">
        <v>46088</v>
      </c>
      <c r="C51" s="54" t="s">
        <v>60</v>
      </c>
      <c r="D51" s="396" t="s">
        <v>148</v>
      </c>
      <c r="E51" s="54" t="s">
        <v>16</v>
      </c>
      <c r="F51" s="54" t="s">
        <v>36</v>
      </c>
      <c r="G51" s="151">
        <v>6</v>
      </c>
      <c r="H51" s="171"/>
      <c r="I51" s="171"/>
      <c r="J51" s="148"/>
      <c r="P51" s="2">
        <v>0</v>
      </c>
      <c r="Q51" s="2">
        <v>0</v>
      </c>
      <c r="R51" s="2">
        <v>0</v>
      </c>
      <c r="S51" s="2">
        <v>6</v>
      </c>
      <c r="T51" s="2">
        <v>0</v>
      </c>
      <c r="U51" s="2">
        <v>0</v>
      </c>
      <c r="V51" s="2">
        <v>0</v>
      </c>
      <c r="W51" s="2">
        <v>0</v>
      </c>
    </row>
    <row r="52" spans="1:23" ht="31.5" customHeight="1">
      <c r="A52" s="193" t="s">
        <v>149</v>
      </c>
      <c r="B52" s="353">
        <v>46088</v>
      </c>
      <c r="C52" s="54" t="s">
        <v>150</v>
      </c>
      <c r="D52" s="396" t="s">
        <v>151</v>
      </c>
      <c r="E52" s="193" t="s">
        <v>13</v>
      </c>
      <c r="F52" s="193" t="s">
        <v>36</v>
      </c>
      <c r="G52" s="194">
        <v>7</v>
      </c>
      <c r="H52" s="171"/>
      <c r="I52" s="171"/>
      <c r="J52" s="148"/>
      <c r="P52" s="2">
        <v>7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</row>
    <row r="53" spans="1:23" ht="31.5" customHeight="1">
      <c r="A53" s="193" t="s">
        <v>152</v>
      </c>
      <c r="B53" s="352">
        <v>46092</v>
      </c>
      <c r="C53" s="193" t="s">
        <v>153</v>
      </c>
      <c r="D53" s="395" t="s">
        <v>154</v>
      </c>
      <c r="E53" s="193" t="s">
        <v>18</v>
      </c>
      <c r="F53" s="193" t="s">
        <v>31</v>
      </c>
      <c r="G53" s="194">
        <v>1</v>
      </c>
      <c r="H53" s="171"/>
      <c r="I53" s="171"/>
      <c r="J53" s="148"/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</v>
      </c>
      <c r="W53" s="2">
        <v>0</v>
      </c>
    </row>
    <row r="54" spans="1:23" ht="31.5" customHeight="1">
      <c r="A54" s="54" t="s">
        <v>155</v>
      </c>
      <c r="B54" s="352">
        <v>46093</v>
      </c>
      <c r="C54" s="193" t="s">
        <v>105</v>
      </c>
      <c r="D54" s="395" t="s">
        <v>156</v>
      </c>
      <c r="E54" s="193" t="s">
        <v>12</v>
      </c>
      <c r="F54" s="54" t="s">
        <v>36</v>
      </c>
      <c r="G54" s="194">
        <v>1</v>
      </c>
      <c r="H54" s="171"/>
      <c r="I54" s="171"/>
      <c r="J54" s="148"/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0</v>
      </c>
    </row>
    <row r="55" spans="1:23" ht="31.5" customHeight="1">
      <c r="A55" s="54" t="s">
        <v>157</v>
      </c>
      <c r="B55" s="352">
        <v>46094</v>
      </c>
      <c r="C55" s="193" t="s">
        <v>91</v>
      </c>
      <c r="D55" s="395" t="s">
        <v>158</v>
      </c>
      <c r="E55" s="193" t="s">
        <v>17</v>
      </c>
      <c r="F55" s="193" t="s">
        <v>36</v>
      </c>
      <c r="G55" s="419">
        <v>2.5</v>
      </c>
      <c r="H55" s="171"/>
      <c r="I55" s="171"/>
      <c r="J55" s="148"/>
      <c r="P55" s="2">
        <v>0</v>
      </c>
      <c r="Q55" s="2">
        <v>0</v>
      </c>
      <c r="R55" s="2">
        <v>0</v>
      </c>
      <c r="S55" s="2">
        <v>0</v>
      </c>
      <c r="T55" s="2">
        <v>2.5</v>
      </c>
      <c r="U55" s="2">
        <v>0</v>
      </c>
      <c r="V55" s="2">
        <v>0</v>
      </c>
      <c r="W55" s="2">
        <v>0</v>
      </c>
    </row>
    <row r="56" spans="1:23" ht="31.5" customHeight="1">
      <c r="A56" s="373" t="s">
        <v>159</v>
      </c>
      <c r="B56" s="374">
        <v>46095</v>
      </c>
      <c r="C56" s="375" t="s">
        <v>160</v>
      </c>
      <c r="D56" s="397" t="s">
        <v>161</v>
      </c>
      <c r="E56" s="375" t="s">
        <v>17</v>
      </c>
      <c r="F56" s="375" t="s">
        <v>36</v>
      </c>
      <c r="G56" s="32">
        <v>9</v>
      </c>
      <c r="H56" s="181" t="s">
        <v>98</v>
      </c>
      <c r="I56" s="176">
        <f>SUM(G45:G56)</f>
        <v>49.5</v>
      </c>
      <c r="J56" s="148"/>
      <c r="P56" s="2">
        <v>0</v>
      </c>
      <c r="Q56" s="2">
        <v>0</v>
      </c>
      <c r="R56" s="2">
        <v>0</v>
      </c>
      <c r="S56" s="2">
        <v>0</v>
      </c>
      <c r="T56" s="2">
        <v>9</v>
      </c>
      <c r="U56" s="2">
        <v>0</v>
      </c>
      <c r="V56" s="2">
        <v>0</v>
      </c>
      <c r="W56" s="2">
        <v>0</v>
      </c>
    </row>
    <row r="57" spans="1:23" ht="31.5" customHeight="1">
      <c r="A57" s="56" t="s">
        <v>162</v>
      </c>
      <c r="B57" s="354">
        <v>46119</v>
      </c>
      <c r="C57" s="56" t="s">
        <v>163</v>
      </c>
      <c r="D57" s="186" t="s">
        <v>164</v>
      </c>
      <c r="E57" s="56" t="s">
        <v>13</v>
      </c>
      <c r="F57" s="56" t="s">
        <v>36</v>
      </c>
      <c r="G57" s="188">
        <v>1</v>
      </c>
      <c r="H57" s="171"/>
      <c r="I57" s="171"/>
      <c r="J57" s="148"/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</row>
    <row r="58" spans="1:23" ht="31.5" customHeight="1">
      <c r="A58" s="56" t="s">
        <v>165</v>
      </c>
      <c r="B58" s="354">
        <v>46123</v>
      </c>
      <c r="C58" s="56" t="s">
        <v>150</v>
      </c>
      <c r="D58" s="186" t="s">
        <v>166</v>
      </c>
      <c r="E58" s="56" t="s">
        <v>13</v>
      </c>
      <c r="F58" s="56" t="s">
        <v>36</v>
      </c>
      <c r="G58" s="188">
        <v>7</v>
      </c>
      <c r="H58" s="171"/>
      <c r="I58" s="171"/>
      <c r="J58" s="148"/>
      <c r="P58" s="2">
        <v>7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</row>
    <row r="59" spans="1:23" ht="31.5" customHeight="1">
      <c r="A59" s="56" t="s">
        <v>165</v>
      </c>
      <c r="B59" s="354">
        <v>46123</v>
      </c>
      <c r="C59" s="56" t="s">
        <v>150</v>
      </c>
      <c r="D59" s="186" t="s">
        <v>166</v>
      </c>
      <c r="E59" s="56" t="s">
        <v>12</v>
      </c>
      <c r="F59" s="56" t="s">
        <v>36</v>
      </c>
      <c r="G59" s="188">
        <v>7</v>
      </c>
      <c r="H59" s="171"/>
      <c r="I59" s="171"/>
      <c r="J59" s="148"/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7</v>
      </c>
      <c r="V59" s="2">
        <v>0</v>
      </c>
      <c r="W59" s="2">
        <v>0</v>
      </c>
    </row>
    <row r="60" spans="1:23" ht="31.5" customHeight="1">
      <c r="A60" s="56" t="s">
        <v>167</v>
      </c>
      <c r="B60" s="354">
        <v>46127</v>
      </c>
      <c r="C60" s="56" t="s">
        <v>168</v>
      </c>
      <c r="D60" s="186" t="s">
        <v>169</v>
      </c>
      <c r="E60" s="56" t="s">
        <v>15</v>
      </c>
      <c r="F60" s="56" t="s">
        <v>36</v>
      </c>
      <c r="G60" s="188">
        <v>8.5</v>
      </c>
      <c r="H60" s="171"/>
      <c r="I60" s="171"/>
      <c r="J60" s="148"/>
      <c r="P60" s="2">
        <v>0</v>
      </c>
      <c r="Q60" s="2">
        <v>0</v>
      </c>
      <c r="R60" s="2">
        <v>8.5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</row>
    <row r="61" spans="1:23" ht="31.5" customHeight="1">
      <c r="A61" s="56" t="s">
        <v>170</v>
      </c>
      <c r="B61" s="354">
        <v>46129</v>
      </c>
      <c r="C61" s="56" t="s">
        <v>171</v>
      </c>
      <c r="D61" s="186" t="s">
        <v>172</v>
      </c>
      <c r="E61" s="56" t="s">
        <v>15</v>
      </c>
      <c r="F61" s="56" t="s">
        <v>36</v>
      </c>
      <c r="G61" s="188">
        <v>7</v>
      </c>
      <c r="H61" s="171"/>
      <c r="I61" s="171"/>
      <c r="J61" s="148"/>
      <c r="P61" s="2">
        <v>0</v>
      </c>
      <c r="Q61" s="2">
        <v>0</v>
      </c>
      <c r="R61" s="2">
        <v>7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</row>
    <row r="62" spans="1:23" ht="31.5" customHeight="1">
      <c r="A62" s="56" t="s">
        <v>173</v>
      </c>
      <c r="B62" s="354">
        <v>46129</v>
      </c>
      <c r="C62" s="56" t="s">
        <v>145</v>
      </c>
      <c r="D62" s="186" t="s">
        <v>174</v>
      </c>
      <c r="E62" s="56" t="s">
        <v>18</v>
      </c>
      <c r="F62" s="56" t="s">
        <v>36</v>
      </c>
      <c r="G62" s="188">
        <v>2</v>
      </c>
      <c r="H62" s="171"/>
      <c r="I62" s="171"/>
      <c r="J62" s="148"/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2</v>
      </c>
      <c r="W62" s="2">
        <v>0</v>
      </c>
    </row>
    <row r="63" spans="1:23" ht="31.5" customHeight="1">
      <c r="A63" s="57" t="s">
        <v>175</v>
      </c>
      <c r="B63" s="355">
        <v>46130</v>
      </c>
      <c r="C63" s="57" t="s">
        <v>176</v>
      </c>
      <c r="D63" s="165" t="s">
        <v>177</v>
      </c>
      <c r="E63" s="57" t="s">
        <v>19</v>
      </c>
      <c r="F63" s="57" t="s">
        <v>36</v>
      </c>
      <c r="G63" s="152">
        <v>10</v>
      </c>
      <c r="H63" s="171"/>
      <c r="I63" s="171"/>
      <c r="J63" s="148"/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10</v>
      </c>
    </row>
    <row r="64" spans="1:23" ht="31.5" customHeight="1">
      <c r="A64" s="56" t="s">
        <v>178</v>
      </c>
      <c r="B64" s="354">
        <v>46134</v>
      </c>
      <c r="C64" s="56" t="s">
        <v>72</v>
      </c>
      <c r="D64" s="186" t="s">
        <v>179</v>
      </c>
      <c r="E64" s="56" t="s">
        <v>17</v>
      </c>
      <c r="F64" s="56" t="s">
        <v>36</v>
      </c>
      <c r="G64" s="188">
        <v>3</v>
      </c>
      <c r="H64" s="171"/>
      <c r="I64" s="171"/>
      <c r="J64" s="148"/>
      <c r="P64" s="2">
        <v>0</v>
      </c>
      <c r="Q64" s="2">
        <v>0</v>
      </c>
      <c r="R64" s="2">
        <v>0</v>
      </c>
      <c r="S64" s="2">
        <v>0</v>
      </c>
      <c r="T64" s="2">
        <v>3</v>
      </c>
      <c r="U64" s="2">
        <v>0</v>
      </c>
      <c r="V64" s="2">
        <v>0</v>
      </c>
      <c r="W64" s="2">
        <v>0</v>
      </c>
    </row>
    <row r="65" spans="1:23" ht="31.5" customHeight="1">
      <c r="A65" s="56" t="s">
        <v>180</v>
      </c>
      <c r="B65" s="354">
        <v>46136</v>
      </c>
      <c r="C65" s="56" t="s">
        <v>145</v>
      </c>
      <c r="D65" s="186" t="s">
        <v>181</v>
      </c>
      <c r="E65" s="56" t="s">
        <v>16</v>
      </c>
      <c r="F65" s="56" t="s">
        <v>36</v>
      </c>
      <c r="G65" s="188">
        <v>2</v>
      </c>
      <c r="H65" s="171"/>
      <c r="I65" s="171"/>
      <c r="J65" s="148"/>
      <c r="P65" s="2">
        <v>0</v>
      </c>
      <c r="Q65" s="2">
        <v>0</v>
      </c>
      <c r="R65" s="2">
        <v>0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</row>
    <row r="66" spans="1:23" ht="31.5" customHeight="1">
      <c r="A66" s="58" t="s">
        <v>182</v>
      </c>
      <c r="B66" s="446">
        <v>46137</v>
      </c>
      <c r="C66" s="58" t="s">
        <v>116</v>
      </c>
      <c r="D66" s="200" t="s">
        <v>183</v>
      </c>
      <c r="E66" s="58" t="s">
        <v>16</v>
      </c>
      <c r="F66" s="58" t="s">
        <v>36</v>
      </c>
      <c r="G66" s="201">
        <v>5</v>
      </c>
      <c r="H66" s="180" t="s">
        <v>98</v>
      </c>
      <c r="I66" s="179">
        <f>SUM(G58:G66)</f>
        <v>51.5</v>
      </c>
      <c r="J66" s="148"/>
      <c r="P66" s="2">
        <v>0</v>
      </c>
      <c r="Q66" s="2">
        <v>0</v>
      </c>
      <c r="R66" s="2">
        <v>0</v>
      </c>
      <c r="S66" s="2">
        <v>5</v>
      </c>
      <c r="T66" s="2">
        <v>0</v>
      </c>
      <c r="U66" s="2">
        <v>0</v>
      </c>
      <c r="V66" s="2">
        <v>0</v>
      </c>
      <c r="W66" s="2">
        <v>0</v>
      </c>
    </row>
    <row r="67" spans="1:23" ht="31.5" customHeight="1">
      <c r="A67" s="442" t="s">
        <v>184</v>
      </c>
      <c r="B67" s="443">
        <v>46147</v>
      </c>
      <c r="C67" s="59" t="s">
        <v>185</v>
      </c>
      <c r="D67" s="444" t="s">
        <v>186</v>
      </c>
      <c r="E67" s="59" t="s">
        <v>17</v>
      </c>
      <c r="F67" s="59" t="s">
        <v>31</v>
      </c>
      <c r="G67" s="445">
        <v>2.5</v>
      </c>
      <c r="P67" s="2">
        <v>0</v>
      </c>
      <c r="Q67" s="2">
        <v>0</v>
      </c>
      <c r="R67" s="2">
        <v>0</v>
      </c>
      <c r="S67" s="2">
        <v>0</v>
      </c>
      <c r="T67" s="2">
        <v>2.5</v>
      </c>
      <c r="U67" s="2">
        <v>0</v>
      </c>
      <c r="V67" s="2">
        <v>0</v>
      </c>
      <c r="W67" s="2">
        <v>0</v>
      </c>
    </row>
    <row r="68" spans="1:23" ht="31.5" customHeight="1">
      <c r="A68" s="440" t="s">
        <v>187</v>
      </c>
      <c r="B68" s="356">
        <v>46150</v>
      </c>
      <c r="C68" s="60" t="s">
        <v>34</v>
      </c>
      <c r="D68" s="399" t="s">
        <v>188</v>
      </c>
      <c r="E68" s="60" t="s">
        <v>18</v>
      </c>
      <c r="F68" s="60" t="s">
        <v>36</v>
      </c>
      <c r="G68" s="237">
        <v>2.5</v>
      </c>
      <c r="H68" s="171"/>
      <c r="I68" s="171"/>
      <c r="J68" s="148"/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2.5</v>
      </c>
      <c r="W68" s="2">
        <v>0</v>
      </c>
    </row>
    <row r="69" spans="1:23" ht="31.5" customHeight="1">
      <c r="A69" s="440" t="s">
        <v>189</v>
      </c>
      <c r="B69" s="356">
        <v>46151</v>
      </c>
      <c r="C69" s="60" t="s">
        <v>60</v>
      </c>
      <c r="D69" s="399" t="s">
        <v>190</v>
      </c>
      <c r="E69" s="60" t="s">
        <v>18</v>
      </c>
      <c r="F69" s="60" t="s">
        <v>36</v>
      </c>
      <c r="G69" s="153">
        <v>5</v>
      </c>
      <c r="H69" s="171"/>
      <c r="I69" s="171"/>
      <c r="J69" s="148"/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5</v>
      </c>
      <c r="W69" s="2">
        <v>0</v>
      </c>
    </row>
    <row r="70" spans="1:23" ht="31.5" customHeight="1">
      <c r="A70" s="440" t="s">
        <v>191</v>
      </c>
      <c r="B70" s="356">
        <v>46154</v>
      </c>
      <c r="C70" s="60" t="s">
        <v>185</v>
      </c>
      <c r="D70" s="399" t="s">
        <v>192</v>
      </c>
      <c r="E70" s="60" t="s">
        <v>17</v>
      </c>
      <c r="F70" s="60" t="s">
        <v>31</v>
      </c>
      <c r="G70" s="153">
        <v>2.5</v>
      </c>
      <c r="H70" s="171"/>
      <c r="I70" s="171"/>
      <c r="J70" s="148"/>
      <c r="P70" s="2">
        <v>0</v>
      </c>
      <c r="Q70" s="2">
        <v>0</v>
      </c>
      <c r="R70" s="2">
        <v>0</v>
      </c>
      <c r="S70" s="2">
        <v>0</v>
      </c>
      <c r="T70" s="2">
        <v>2.5</v>
      </c>
      <c r="U70" s="2">
        <v>0</v>
      </c>
      <c r="V70" s="2">
        <v>0</v>
      </c>
      <c r="W70" s="2">
        <v>0</v>
      </c>
    </row>
    <row r="71" spans="1:23" ht="31.5" customHeight="1">
      <c r="A71" s="447" t="s">
        <v>193</v>
      </c>
      <c r="B71" s="356">
        <v>46154</v>
      </c>
      <c r="C71" s="60" t="s">
        <v>194</v>
      </c>
      <c r="D71" s="399" t="s">
        <v>195</v>
      </c>
      <c r="E71" s="60" t="s">
        <v>18</v>
      </c>
      <c r="F71" s="60" t="s">
        <v>31</v>
      </c>
      <c r="G71" s="153">
        <v>1</v>
      </c>
      <c r="H71" s="171"/>
      <c r="I71" s="171"/>
      <c r="J71" s="148"/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</row>
    <row r="72" spans="1:23" ht="31.5" customHeight="1">
      <c r="A72" s="447" t="s">
        <v>196</v>
      </c>
      <c r="B72" s="356">
        <v>46155</v>
      </c>
      <c r="C72" s="60" t="s">
        <v>29</v>
      </c>
      <c r="D72" s="399" t="s">
        <v>197</v>
      </c>
      <c r="E72" s="60" t="s">
        <v>18</v>
      </c>
      <c r="F72" s="60" t="s">
        <v>31</v>
      </c>
      <c r="G72" s="153">
        <v>1</v>
      </c>
      <c r="H72" s="171"/>
      <c r="I72" s="171"/>
      <c r="J72" s="148"/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1</v>
      </c>
      <c r="W72" s="2">
        <v>0</v>
      </c>
    </row>
    <row r="73" spans="1:23" ht="31.5" customHeight="1">
      <c r="A73" s="440" t="s">
        <v>198</v>
      </c>
      <c r="B73" s="356">
        <v>46164</v>
      </c>
      <c r="C73" s="60" t="s">
        <v>34</v>
      </c>
      <c r="D73" s="399" t="s">
        <v>199</v>
      </c>
      <c r="E73" s="60" t="s">
        <v>16</v>
      </c>
      <c r="F73" s="60" t="s">
        <v>36</v>
      </c>
      <c r="G73" s="153">
        <v>1</v>
      </c>
      <c r="H73" s="171"/>
      <c r="I73" s="171"/>
      <c r="J73" s="148"/>
      <c r="K73" s="196" t="s">
        <v>138</v>
      </c>
      <c r="P73" s="2">
        <v>0</v>
      </c>
      <c r="Q73" s="2">
        <v>0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</row>
    <row r="74" spans="1:23" ht="31.5" customHeight="1">
      <c r="A74" s="440" t="s">
        <v>200</v>
      </c>
      <c r="B74" s="356">
        <v>46165</v>
      </c>
      <c r="C74" s="60" t="s">
        <v>60</v>
      </c>
      <c r="D74" s="399" t="s">
        <v>201</v>
      </c>
      <c r="E74" s="60" t="s">
        <v>16</v>
      </c>
      <c r="F74" s="60" t="s">
        <v>36</v>
      </c>
      <c r="G74" s="153">
        <v>1</v>
      </c>
      <c r="H74" s="171"/>
      <c r="I74" s="171"/>
      <c r="J74" s="148"/>
      <c r="K74" s="196" t="s">
        <v>138</v>
      </c>
      <c r="P74" s="2">
        <v>0</v>
      </c>
      <c r="Q74" s="2">
        <v>0</v>
      </c>
      <c r="R74" s="2">
        <v>0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</row>
    <row r="75" spans="1:23" ht="31.5" customHeight="1">
      <c r="A75" s="440" t="s">
        <v>165</v>
      </c>
      <c r="B75" s="356">
        <v>46165</v>
      </c>
      <c r="C75" s="60" t="s">
        <v>202</v>
      </c>
      <c r="D75" s="399" t="s">
        <v>203</v>
      </c>
      <c r="E75" s="60" t="s">
        <v>13</v>
      </c>
      <c r="F75" s="60" t="s">
        <v>36</v>
      </c>
      <c r="G75" s="153">
        <v>5</v>
      </c>
      <c r="H75" s="171"/>
      <c r="I75" s="171"/>
      <c r="J75" s="148"/>
      <c r="P75" s="2">
        <v>5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</row>
    <row r="76" spans="1:23" ht="31.5" customHeight="1">
      <c r="A76" s="440" t="s">
        <v>165</v>
      </c>
      <c r="B76" s="356">
        <v>46165</v>
      </c>
      <c r="C76" s="60" t="s">
        <v>202</v>
      </c>
      <c r="D76" s="399" t="s">
        <v>203</v>
      </c>
      <c r="E76" s="60" t="s">
        <v>19</v>
      </c>
      <c r="F76" s="60" t="s">
        <v>36</v>
      </c>
      <c r="G76" s="153">
        <v>5</v>
      </c>
      <c r="H76" s="171"/>
      <c r="I76" s="171"/>
      <c r="J76" s="148"/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5</v>
      </c>
    </row>
    <row r="77" spans="1:23" ht="31.5" customHeight="1">
      <c r="A77" s="440" t="s">
        <v>204</v>
      </c>
      <c r="B77" s="356">
        <v>46167</v>
      </c>
      <c r="C77" s="60" t="s">
        <v>68</v>
      </c>
      <c r="D77" s="399" t="s">
        <v>205</v>
      </c>
      <c r="E77" s="60" t="s">
        <v>19</v>
      </c>
      <c r="F77" s="60" t="s">
        <v>36</v>
      </c>
      <c r="G77" s="153">
        <v>1</v>
      </c>
      <c r="H77" s="171"/>
      <c r="I77" s="171"/>
      <c r="J77" s="148"/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1</v>
      </c>
    </row>
    <row r="78" spans="1:23" ht="31.5" customHeight="1">
      <c r="A78" s="440" t="s">
        <v>206</v>
      </c>
      <c r="B78" s="356">
        <v>46167</v>
      </c>
      <c r="C78" s="60" t="s">
        <v>145</v>
      </c>
      <c r="D78" s="399" t="s">
        <v>207</v>
      </c>
      <c r="E78" s="60" t="s">
        <v>15</v>
      </c>
      <c r="F78" s="60" t="s">
        <v>36</v>
      </c>
      <c r="G78" s="153">
        <v>1</v>
      </c>
      <c r="H78" s="171"/>
      <c r="I78" s="171"/>
      <c r="J78" s="148"/>
      <c r="P78" s="2">
        <v>0</v>
      </c>
      <c r="Q78" s="2">
        <v>0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</row>
    <row r="79" spans="1:23" ht="31.5" customHeight="1">
      <c r="A79" s="440" t="s">
        <v>208</v>
      </c>
      <c r="B79" s="356">
        <v>46167</v>
      </c>
      <c r="C79" s="60" t="s">
        <v>209</v>
      </c>
      <c r="D79" s="399" t="s">
        <v>210</v>
      </c>
      <c r="E79" s="60" t="s">
        <v>15</v>
      </c>
      <c r="F79" s="60" t="s">
        <v>36</v>
      </c>
      <c r="G79" s="153">
        <v>1</v>
      </c>
      <c r="H79" s="171"/>
      <c r="I79" s="171"/>
      <c r="J79" s="148"/>
      <c r="P79" s="2">
        <v>0</v>
      </c>
      <c r="Q79" s="2">
        <v>0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</row>
    <row r="80" spans="1:23" ht="31.5" customHeight="1">
      <c r="A80" s="440" t="s">
        <v>211</v>
      </c>
      <c r="B80" s="356">
        <v>46168</v>
      </c>
      <c r="C80" s="60" t="s">
        <v>91</v>
      </c>
      <c r="D80" s="399" t="s">
        <v>212</v>
      </c>
      <c r="E80" s="60" t="s">
        <v>13</v>
      </c>
      <c r="F80" s="60" t="s">
        <v>36</v>
      </c>
      <c r="G80" s="153">
        <v>2.5</v>
      </c>
      <c r="H80" s="171"/>
      <c r="I80" s="171"/>
      <c r="J80" s="148"/>
      <c r="P80" s="2">
        <v>2.5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</row>
    <row r="81" spans="1:23" ht="31.5" customHeight="1">
      <c r="A81" s="440" t="s">
        <v>211</v>
      </c>
      <c r="B81" s="356">
        <v>46168</v>
      </c>
      <c r="C81" s="60" t="s">
        <v>91</v>
      </c>
      <c r="D81" s="399" t="s">
        <v>212</v>
      </c>
      <c r="E81" s="60" t="s">
        <v>19</v>
      </c>
      <c r="F81" s="60" t="s">
        <v>36</v>
      </c>
      <c r="G81" s="153">
        <v>2.5</v>
      </c>
      <c r="H81" s="171"/>
      <c r="I81" s="171"/>
      <c r="J81" s="148"/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2.5</v>
      </c>
    </row>
    <row r="82" spans="1:23" ht="31.5" customHeight="1">
      <c r="A82" s="440" t="s">
        <v>213</v>
      </c>
      <c r="B82" s="356">
        <v>46169</v>
      </c>
      <c r="C82" s="60" t="s">
        <v>214</v>
      </c>
      <c r="D82" s="399" t="s">
        <v>215</v>
      </c>
      <c r="E82" s="60" t="s">
        <v>19</v>
      </c>
      <c r="F82" s="60" t="s">
        <v>36</v>
      </c>
      <c r="G82" s="153">
        <v>1.5</v>
      </c>
      <c r="H82" s="171"/>
      <c r="I82" s="171"/>
      <c r="J82" s="148"/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1.5</v>
      </c>
    </row>
    <row r="83" spans="1:23" ht="31.5" customHeight="1">
      <c r="A83" s="448"/>
      <c r="B83" s="449"/>
      <c r="C83" s="450"/>
      <c r="D83" s="398"/>
      <c r="E83" s="206"/>
      <c r="F83" s="451"/>
      <c r="G83" s="153"/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</row>
    <row r="84" spans="1:23" ht="31.5" customHeight="1">
      <c r="A84" s="441"/>
      <c r="B84" s="61"/>
      <c r="C84" s="61"/>
      <c r="D84" s="400"/>
      <c r="E84" s="61"/>
      <c r="F84" s="61"/>
      <c r="G84" s="452"/>
      <c r="H84" s="197" t="s">
        <v>98</v>
      </c>
      <c r="I84" s="178">
        <f>SUM(G67:G84)</f>
        <v>36</v>
      </c>
      <c r="J84" s="148"/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</row>
    <row r="85" spans="1:23" ht="31.5" customHeight="1">
      <c r="A85" s="357" t="s">
        <v>216</v>
      </c>
      <c r="B85" s="357">
        <v>46176</v>
      </c>
      <c r="C85" s="63" t="s">
        <v>34</v>
      </c>
      <c r="D85" s="401" t="s">
        <v>217</v>
      </c>
      <c r="E85" s="63" t="s">
        <v>14</v>
      </c>
      <c r="F85" s="63" t="s">
        <v>36</v>
      </c>
      <c r="G85" s="202">
        <v>4</v>
      </c>
      <c r="H85" s="171"/>
      <c r="I85" s="171"/>
      <c r="J85" s="148"/>
      <c r="P85" s="2">
        <v>0</v>
      </c>
      <c r="Q85" s="2">
        <v>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</row>
    <row r="86" spans="1:23" ht="31.5" customHeight="1">
      <c r="A86" s="63" t="s">
        <v>218</v>
      </c>
      <c r="B86" s="357">
        <v>46178</v>
      </c>
      <c r="C86" s="63" t="s">
        <v>34</v>
      </c>
      <c r="D86" s="401" t="s">
        <v>219</v>
      </c>
      <c r="E86" s="63" t="s">
        <v>17</v>
      </c>
      <c r="F86" s="63" t="s">
        <v>36</v>
      </c>
      <c r="G86" s="202">
        <v>4</v>
      </c>
      <c r="H86" s="171"/>
      <c r="I86" s="171"/>
      <c r="J86" s="148"/>
      <c r="P86" s="2">
        <v>0</v>
      </c>
      <c r="Q86" s="2">
        <v>0</v>
      </c>
      <c r="R86" s="2">
        <v>0</v>
      </c>
      <c r="S86" s="2">
        <v>0</v>
      </c>
      <c r="T86" s="2">
        <v>4</v>
      </c>
      <c r="U86" s="2">
        <v>0</v>
      </c>
      <c r="V86" s="2">
        <v>0</v>
      </c>
      <c r="W86" s="2">
        <v>0</v>
      </c>
    </row>
    <row r="87" spans="1:23" ht="31.5" customHeight="1">
      <c r="A87" s="63" t="s">
        <v>220</v>
      </c>
      <c r="B87" s="357">
        <v>46179</v>
      </c>
      <c r="C87" s="63" t="s">
        <v>60</v>
      </c>
      <c r="D87" s="401" t="s">
        <v>221</v>
      </c>
      <c r="E87" s="63" t="s">
        <v>17</v>
      </c>
      <c r="F87" s="63" t="s">
        <v>36</v>
      </c>
      <c r="G87" s="202">
        <v>6</v>
      </c>
      <c r="H87" s="171"/>
      <c r="I87" s="171"/>
      <c r="J87" s="148"/>
      <c r="P87" s="2">
        <v>0</v>
      </c>
      <c r="Q87" s="2">
        <v>0</v>
      </c>
      <c r="R87" s="2">
        <v>0</v>
      </c>
      <c r="S87" s="2">
        <v>0</v>
      </c>
      <c r="T87" s="2">
        <v>6</v>
      </c>
      <c r="U87" s="2">
        <v>0</v>
      </c>
      <c r="V87" s="2">
        <v>0</v>
      </c>
      <c r="W87" s="2">
        <v>0</v>
      </c>
    </row>
    <row r="88" spans="1:23" ht="31.5" customHeight="1">
      <c r="A88" s="63" t="s">
        <v>222</v>
      </c>
      <c r="B88" s="357">
        <v>46181</v>
      </c>
      <c r="C88" s="63" t="s">
        <v>34</v>
      </c>
      <c r="D88" s="401" t="s">
        <v>223</v>
      </c>
      <c r="E88" s="63" t="s">
        <v>18</v>
      </c>
      <c r="F88" s="63" t="s">
        <v>36</v>
      </c>
      <c r="G88" s="202">
        <v>4</v>
      </c>
      <c r="H88" s="171"/>
      <c r="I88" s="171"/>
      <c r="J88" s="148"/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4</v>
      </c>
      <c r="W88" s="2">
        <v>0</v>
      </c>
    </row>
    <row r="89" spans="1:23" ht="31.5" customHeight="1">
      <c r="A89" s="65" t="s">
        <v>224</v>
      </c>
      <c r="B89" s="357">
        <v>46192</v>
      </c>
      <c r="C89" s="63" t="s">
        <v>34</v>
      </c>
      <c r="D89" s="401" t="s">
        <v>225</v>
      </c>
      <c r="E89" s="63" t="s">
        <v>14</v>
      </c>
      <c r="F89" s="63" t="s">
        <v>36</v>
      </c>
      <c r="G89" s="202">
        <v>4</v>
      </c>
      <c r="H89" s="171"/>
      <c r="I89" s="171"/>
      <c r="J89" s="148"/>
      <c r="L89"/>
      <c r="P89" s="2">
        <v>0</v>
      </c>
      <c r="Q89" s="2">
        <v>4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</row>
    <row r="90" spans="1:23" ht="31.5" customHeight="1">
      <c r="A90" s="65" t="s">
        <v>226</v>
      </c>
      <c r="B90" s="357">
        <v>46193</v>
      </c>
      <c r="C90" s="63" t="s">
        <v>60</v>
      </c>
      <c r="D90" s="401" t="s">
        <v>227</v>
      </c>
      <c r="E90" s="63" t="s">
        <v>14</v>
      </c>
      <c r="F90" s="63" t="s">
        <v>36</v>
      </c>
      <c r="G90" s="202">
        <v>6</v>
      </c>
      <c r="H90" s="171"/>
      <c r="I90" s="171"/>
      <c r="J90" s="148"/>
      <c r="L90"/>
      <c r="P90" s="2">
        <v>0</v>
      </c>
      <c r="Q90" s="2">
        <v>6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</row>
    <row r="91" spans="1:23" ht="31.5" customHeight="1">
      <c r="A91" s="63"/>
      <c r="B91" s="357">
        <v>46199</v>
      </c>
      <c r="C91" s="63" t="s">
        <v>34</v>
      </c>
      <c r="D91" s="401" t="s">
        <v>199</v>
      </c>
      <c r="E91" s="65"/>
      <c r="F91" s="63"/>
      <c r="G91" s="154"/>
      <c r="H91" s="171"/>
      <c r="I91" s="171"/>
      <c r="J91" s="148"/>
      <c r="L91"/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</row>
    <row r="92" spans="1:23" ht="31.5" customHeight="1">
      <c r="A92" s="63"/>
      <c r="B92" s="357">
        <v>46200</v>
      </c>
      <c r="C92" s="63" t="s">
        <v>60</v>
      </c>
      <c r="D92" s="401" t="s">
        <v>201</v>
      </c>
      <c r="E92" s="65"/>
      <c r="F92" s="63"/>
      <c r="G92" s="154"/>
      <c r="H92" s="171"/>
      <c r="I92" s="171"/>
      <c r="J92" s="148"/>
      <c r="L92"/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</row>
    <row r="93" spans="1:23" ht="31.5" customHeight="1">
      <c r="A93" s="63"/>
      <c r="B93" s="63"/>
      <c r="C93" s="63"/>
      <c r="D93" s="401"/>
      <c r="E93" s="65"/>
      <c r="F93" s="63"/>
      <c r="G93" s="154"/>
      <c r="H93" s="171"/>
      <c r="I93" s="171"/>
      <c r="J93" s="148"/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</row>
    <row r="94" spans="1:23" ht="31.5" customHeight="1">
      <c r="A94" s="63"/>
      <c r="B94" s="63"/>
      <c r="C94" s="63"/>
      <c r="D94" s="401"/>
      <c r="E94" s="65"/>
      <c r="F94" s="63"/>
      <c r="G94" s="154"/>
      <c r="H94" s="171"/>
      <c r="I94" s="171"/>
      <c r="J94" s="148"/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</row>
    <row r="95" spans="1:23" ht="31.5" customHeight="1">
      <c r="A95" s="65"/>
      <c r="B95" s="65"/>
      <c r="C95" s="65"/>
      <c r="D95" s="401"/>
      <c r="E95" s="65"/>
      <c r="F95" s="65"/>
      <c r="G95" s="154"/>
      <c r="H95" s="171"/>
      <c r="I95" s="171"/>
      <c r="J95" s="148"/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</row>
    <row r="96" spans="1:23" ht="31.5" customHeight="1">
      <c r="A96" s="63"/>
      <c r="B96" s="63"/>
      <c r="C96" s="63"/>
      <c r="D96" s="401"/>
      <c r="E96" s="65"/>
      <c r="F96" s="63"/>
      <c r="G96" s="154"/>
      <c r="H96" s="171"/>
      <c r="I96" s="171"/>
      <c r="J96" s="148"/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</row>
    <row r="97" spans="1:23" ht="31.5" customHeight="1">
      <c r="A97" s="63"/>
      <c r="B97" s="63"/>
      <c r="C97" s="63"/>
      <c r="D97" s="402"/>
      <c r="E97" s="65"/>
      <c r="F97" s="63"/>
      <c r="G97" s="154"/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</row>
    <row r="98" spans="1:23" ht="31.5" customHeight="1">
      <c r="A98" s="63"/>
      <c r="B98" s="63"/>
      <c r="C98" s="63"/>
      <c r="D98" s="401"/>
      <c r="E98" s="65"/>
      <c r="F98" s="63"/>
      <c r="G98" s="154"/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</row>
    <row r="99" spans="1:23" ht="31.5" customHeight="1">
      <c r="A99" s="63"/>
      <c r="B99" s="63"/>
      <c r="C99" s="63"/>
      <c r="D99" s="401"/>
      <c r="E99" s="65"/>
      <c r="F99" s="63"/>
      <c r="G99" s="154"/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</row>
    <row r="100" spans="1:23" ht="31.5" customHeight="1">
      <c r="A100" s="212"/>
      <c r="B100" s="212"/>
      <c r="C100" s="212"/>
      <c r="D100" s="403"/>
      <c r="E100" s="67"/>
      <c r="F100" s="212"/>
      <c r="G100" s="213"/>
      <c r="H100" s="171"/>
      <c r="I100" s="171"/>
      <c r="J100" s="148"/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</row>
    <row r="101" spans="1:23" ht="31.5" customHeight="1">
      <c r="A101" s="67"/>
      <c r="B101" s="67"/>
      <c r="C101" s="67"/>
      <c r="D101" s="404"/>
      <c r="E101" s="67"/>
      <c r="F101" s="67"/>
      <c r="G101" s="41"/>
      <c r="H101" s="209" t="s">
        <v>98</v>
      </c>
      <c r="I101" s="177">
        <f>SUM(G86:G101)</f>
        <v>24</v>
      </c>
      <c r="J101" s="148"/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</row>
    <row r="102" spans="1:23" ht="31.5" customHeight="1">
      <c r="A102" s="378"/>
      <c r="B102" s="376">
        <v>46206</v>
      </c>
      <c r="C102" s="47" t="s">
        <v>60</v>
      </c>
      <c r="D102" s="405" t="s">
        <v>228</v>
      </c>
      <c r="E102" s="47"/>
      <c r="F102" s="47" t="s">
        <v>36</v>
      </c>
      <c r="G102" s="379">
        <v>4</v>
      </c>
      <c r="H102" s="171"/>
      <c r="I102" s="171"/>
      <c r="J102" s="148"/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</row>
    <row r="103" spans="1:23" ht="31.5" customHeight="1">
      <c r="A103" s="380"/>
      <c r="B103" s="377">
        <v>46207</v>
      </c>
      <c r="C103" s="48" t="s">
        <v>60</v>
      </c>
      <c r="D103" s="406" t="s">
        <v>229</v>
      </c>
      <c r="E103" s="48"/>
      <c r="F103" s="48" t="s">
        <v>36</v>
      </c>
      <c r="G103" s="381">
        <v>6</v>
      </c>
      <c r="H103" s="171"/>
      <c r="I103" s="171"/>
      <c r="J103" s="148"/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 spans="1:23" ht="31.5" customHeight="1">
      <c r="A104" s="380"/>
      <c r="B104" s="377">
        <v>46220</v>
      </c>
      <c r="C104" s="48" t="s">
        <v>60</v>
      </c>
      <c r="D104" s="406" t="s">
        <v>230</v>
      </c>
      <c r="E104" s="48"/>
      <c r="F104" s="48" t="s">
        <v>36</v>
      </c>
      <c r="G104" s="381">
        <v>4</v>
      </c>
      <c r="H104" s="171"/>
      <c r="I104" s="171"/>
      <c r="J104" s="148"/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 spans="1:23" ht="31.5" customHeight="1">
      <c r="A105" s="380"/>
      <c r="B105" s="377">
        <v>46221</v>
      </c>
      <c r="C105" s="48" t="s">
        <v>60</v>
      </c>
      <c r="D105" s="406" t="s">
        <v>231</v>
      </c>
      <c r="E105" s="48"/>
      <c r="F105" s="48" t="s">
        <v>36</v>
      </c>
      <c r="G105" s="381">
        <v>6</v>
      </c>
      <c r="H105" s="171"/>
      <c r="I105" s="171"/>
      <c r="J105" s="148"/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</row>
    <row r="106" spans="1:23" ht="31.5" customHeight="1">
      <c r="A106" s="380"/>
      <c r="B106" s="48"/>
      <c r="C106" s="48"/>
      <c r="D106" s="407"/>
      <c r="E106" s="48"/>
      <c r="F106" s="48"/>
      <c r="G106" s="146"/>
      <c r="H106" s="171"/>
      <c r="I106" s="171"/>
      <c r="J106" s="148"/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</row>
    <row r="107" spans="1:23" ht="31.5" customHeight="1">
      <c r="A107" s="380"/>
      <c r="B107" s="48"/>
      <c r="C107" s="48"/>
      <c r="D107" s="407"/>
      <c r="E107" s="48"/>
      <c r="F107" s="48"/>
      <c r="G107" s="146"/>
      <c r="H107" s="171"/>
      <c r="I107" s="171"/>
      <c r="J107" s="148"/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</row>
    <row r="108" spans="1:23" ht="31.5" customHeight="1">
      <c r="A108" s="298"/>
      <c r="B108" s="298"/>
      <c r="C108" s="298"/>
      <c r="D108" s="408"/>
      <c r="E108" s="296"/>
      <c r="F108" s="298"/>
      <c r="G108" s="299"/>
      <c r="H108" s="171"/>
      <c r="I108" s="171"/>
      <c r="J108" s="148"/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</row>
    <row r="109" spans="1:23" ht="31.5" customHeight="1">
      <c r="A109" s="217"/>
      <c r="B109" s="217"/>
      <c r="C109" s="217"/>
      <c r="D109" s="388"/>
      <c r="E109" s="48"/>
      <c r="F109" s="217"/>
      <c r="G109" s="146"/>
      <c r="H109" s="171"/>
      <c r="I109" s="171"/>
      <c r="J109" s="148"/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</row>
    <row r="110" spans="1:23" ht="31.5" customHeight="1">
      <c r="A110" s="156"/>
      <c r="B110" s="156"/>
      <c r="C110" s="156"/>
      <c r="D110" s="409"/>
      <c r="E110" s="156"/>
      <c r="F110" s="156"/>
      <c r="G110" s="215"/>
      <c r="H110" s="171"/>
      <c r="I110" s="171"/>
      <c r="J110" s="148"/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</row>
    <row r="111" spans="1:23" ht="31.5" customHeight="1">
      <c r="A111" s="217"/>
      <c r="B111" s="217"/>
      <c r="C111" s="217"/>
      <c r="D111" s="388"/>
      <c r="E111" s="48"/>
      <c r="F111" s="217"/>
      <c r="G111" s="146"/>
      <c r="H111" s="171"/>
      <c r="I111" s="171"/>
      <c r="J111" s="148"/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</row>
    <row r="112" spans="1:23" ht="31.5" customHeight="1">
      <c r="A112" s="217"/>
      <c r="B112" s="217"/>
      <c r="C112" s="217"/>
      <c r="D112" s="388"/>
      <c r="E112" s="48"/>
      <c r="F112" s="217"/>
      <c r="G112" s="146"/>
      <c r="H112" s="171"/>
      <c r="I112" s="171"/>
      <c r="J112" s="148"/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</row>
    <row r="113" spans="1:23" ht="31.5" customHeight="1">
      <c r="A113" s="217"/>
      <c r="B113" s="217"/>
      <c r="C113" s="217"/>
      <c r="D113" s="388"/>
      <c r="E113" s="48"/>
      <c r="F113" s="217"/>
      <c r="G113" s="146"/>
      <c r="H113" s="171"/>
      <c r="I113" s="171"/>
      <c r="J113" s="148"/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</row>
    <row r="114" spans="1:23" ht="31.5" customHeight="1">
      <c r="A114" s="218"/>
      <c r="B114" s="218"/>
      <c r="C114" s="218"/>
      <c r="D114" s="390"/>
      <c r="E114" s="49"/>
      <c r="F114" s="218"/>
      <c r="G114" s="26"/>
      <c r="H114" s="173" t="s">
        <v>98</v>
      </c>
      <c r="I114" s="172">
        <f>SUM(G102:G114)</f>
        <v>20</v>
      </c>
      <c r="J114" s="148"/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</row>
    <row r="115" spans="1:23" ht="31.5" customHeight="1">
      <c r="A115" s="50"/>
      <c r="B115" s="350">
        <v>46241</v>
      </c>
      <c r="C115" s="50" t="s">
        <v>60</v>
      </c>
      <c r="D115" s="391" t="s">
        <v>232</v>
      </c>
      <c r="E115" s="50"/>
      <c r="F115" s="50" t="s">
        <v>36</v>
      </c>
      <c r="G115" s="219">
        <v>4</v>
      </c>
      <c r="H115" s="171"/>
      <c r="I115" s="171"/>
      <c r="J115" s="148"/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</row>
    <row r="116" spans="1:23" ht="31.5" customHeight="1">
      <c r="A116" s="50"/>
      <c r="B116" s="350">
        <v>46242</v>
      </c>
      <c r="C116" s="50" t="s">
        <v>60</v>
      </c>
      <c r="D116" s="391" t="s">
        <v>233</v>
      </c>
      <c r="E116" s="50"/>
      <c r="F116" s="50" t="s">
        <v>36</v>
      </c>
      <c r="G116" s="219">
        <v>6</v>
      </c>
      <c r="H116" s="171"/>
      <c r="I116" s="171"/>
      <c r="J116" s="148"/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</row>
    <row r="117" spans="1:23" ht="31.5" customHeight="1">
      <c r="A117" s="50"/>
      <c r="B117" s="350">
        <v>46248</v>
      </c>
      <c r="C117" s="50" t="s">
        <v>60</v>
      </c>
      <c r="D117" s="391" t="s">
        <v>234</v>
      </c>
      <c r="E117" s="50"/>
      <c r="F117" s="50" t="s">
        <v>36</v>
      </c>
      <c r="G117" s="219">
        <v>4</v>
      </c>
      <c r="H117" s="171"/>
      <c r="I117" s="171"/>
      <c r="J117" s="148"/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</row>
    <row r="118" spans="1:23" ht="31.5" customHeight="1">
      <c r="A118" s="50"/>
      <c r="B118" s="350">
        <v>46249</v>
      </c>
      <c r="C118" s="50" t="s">
        <v>60</v>
      </c>
      <c r="D118" s="391" t="s">
        <v>235</v>
      </c>
      <c r="E118" s="50"/>
      <c r="F118" s="50" t="s">
        <v>36</v>
      </c>
      <c r="G118" s="219">
        <v>6</v>
      </c>
      <c r="H118" s="171"/>
      <c r="I118" s="171"/>
      <c r="J118" s="148"/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</row>
    <row r="119" spans="1:23" ht="31.5" customHeight="1">
      <c r="A119" s="50"/>
      <c r="B119" s="50"/>
      <c r="C119" s="50"/>
      <c r="D119" s="392"/>
      <c r="E119" s="51"/>
      <c r="F119" s="50"/>
      <c r="G119" s="219"/>
      <c r="H119" s="171"/>
      <c r="I119" s="171"/>
      <c r="J119" s="148"/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</row>
    <row r="120" spans="1:23" ht="31.5" customHeight="1">
      <c r="A120" s="50"/>
      <c r="B120" s="50"/>
      <c r="C120" s="50"/>
      <c r="D120" s="391"/>
      <c r="E120" s="50"/>
      <c r="F120" s="50"/>
      <c r="G120" s="219"/>
      <c r="H120" s="171"/>
      <c r="I120" s="171"/>
      <c r="J120" s="148"/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</row>
    <row r="121" spans="1:23" ht="31.5" customHeight="1">
      <c r="A121" s="50"/>
      <c r="B121" s="50"/>
      <c r="C121" s="50"/>
      <c r="D121" s="392"/>
      <c r="E121" s="50"/>
      <c r="F121" s="50"/>
      <c r="G121" s="219"/>
      <c r="H121" s="171"/>
      <c r="I121" s="171"/>
      <c r="J121" s="148"/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</row>
    <row r="122" spans="1:23" ht="31.5" customHeight="1">
      <c r="A122" s="50"/>
      <c r="B122" s="50"/>
      <c r="C122" s="50"/>
      <c r="D122" s="392"/>
      <c r="E122" s="50"/>
      <c r="F122" s="50"/>
      <c r="G122" s="219"/>
      <c r="H122" s="171"/>
      <c r="I122" s="171"/>
      <c r="J122" s="148"/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 spans="1:23" ht="31.5" customHeight="1">
      <c r="A123" s="50"/>
      <c r="B123" s="50"/>
      <c r="C123" s="50"/>
      <c r="D123" s="392"/>
      <c r="E123" s="50"/>
      <c r="F123" s="50"/>
      <c r="G123" s="219"/>
      <c r="H123" s="171"/>
      <c r="I123" s="171"/>
      <c r="J123" s="148"/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</row>
    <row r="124" spans="1:23" ht="31.5" customHeight="1">
      <c r="A124" s="50"/>
      <c r="B124" s="50"/>
      <c r="C124" s="50"/>
      <c r="D124" s="392"/>
      <c r="E124" s="50"/>
      <c r="F124" s="50"/>
      <c r="G124" s="219"/>
      <c r="H124" s="171"/>
      <c r="I124" s="171"/>
      <c r="J124" s="148"/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</row>
    <row r="125" spans="1:23" ht="31.5" customHeight="1">
      <c r="A125" s="50"/>
      <c r="B125" s="50"/>
      <c r="C125" s="50"/>
      <c r="D125" s="392"/>
      <c r="E125" s="50"/>
      <c r="F125" s="50"/>
      <c r="G125" s="219"/>
      <c r="H125" s="171"/>
      <c r="I125" s="171"/>
      <c r="J125" s="148"/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</row>
    <row r="126" spans="1:23" ht="31.5" customHeight="1">
      <c r="A126" s="50"/>
      <c r="B126" s="50"/>
      <c r="C126" s="50"/>
      <c r="D126" s="392"/>
      <c r="E126" s="50"/>
      <c r="F126" s="50"/>
      <c r="G126" s="219"/>
      <c r="H126" s="171"/>
      <c r="I126" s="171"/>
      <c r="J126" s="148"/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</row>
    <row r="127" spans="1:23" ht="31.5" customHeight="1">
      <c r="A127" s="50"/>
      <c r="B127" s="50"/>
      <c r="C127" s="50"/>
      <c r="D127" s="392"/>
      <c r="E127" s="50"/>
      <c r="F127" s="50"/>
      <c r="G127" s="219"/>
      <c r="H127" s="171"/>
      <c r="I127" s="171"/>
      <c r="J127" s="148"/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</row>
    <row r="128" spans="1:23" ht="31.5" customHeight="1">
      <c r="A128" s="222"/>
      <c r="B128" s="222"/>
      <c r="C128" s="222"/>
      <c r="D128" s="393"/>
      <c r="E128" s="222"/>
      <c r="F128" s="222"/>
      <c r="G128" s="223"/>
      <c r="H128" s="175" t="s">
        <v>98</v>
      </c>
      <c r="I128" s="174">
        <f>SUM(G115:G128)</f>
        <v>20</v>
      </c>
      <c r="J128" s="148"/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</row>
    <row r="129" spans="1:23" ht="31.5" customHeight="1">
      <c r="A129" s="382"/>
      <c r="B129" s="383">
        <v>46269</v>
      </c>
      <c r="C129" s="53" t="s">
        <v>60</v>
      </c>
      <c r="D129" s="410" t="s">
        <v>236</v>
      </c>
      <c r="E129" s="53"/>
      <c r="F129" s="53" t="s">
        <v>36</v>
      </c>
      <c r="G129" s="384">
        <v>4</v>
      </c>
      <c r="H129" s="171"/>
      <c r="I129" s="171"/>
      <c r="J129" s="148"/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</row>
    <row r="130" spans="1:23" ht="31.5" customHeight="1">
      <c r="A130" s="385"/>
      <c r="B130" s="353">
        <v>46270</v>
      </c>
      <c r="C130" s="54" t="s">
        <v>60</v>
      </c>
      <c r="D130" s="411" t="s">
        <v>237</v>
      </c>
      <c r="E130" s="54"/>
      <c r="F130" s="54" t="s">
        <v>36</v>
      </c>
      <c r="G130" s="151">
        <v>6</v>
      </c>
      <c r="H130" s="171"/>
      <c r="I130" s="171"/>
      <c r="J130" s="148"/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 spans="1:23" ht="31.5" customHeight="1">
      <c r="A131" s="193"/>
      <c r="B131" s="193"/>
      <c r="C131" s="193"/>
      <c r="D131" s="412"/>
      <c r="E131" s="193"/>
      <c r="F131" s="193"/>
      <c r="G131" s="194"/>
      <c r="H131" s="171"/>
      <c r="I131" s="171"/>
      <c r="J131" s="148"/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</row>
    <row r="132" spans="1:23" ht="31.5" customHeight="1">
      <c r="A132" s="54"/>
      <c r="B132" s="54"/>
      <c r="C132" s="54"/>
      <c r="D132" s="411"/>
      <c r="E132" s="54"/>
      <c r="F132" s="54"/>
      <c r="G132" s="151"/>
      <c r="H132" s="171"/>
      <c r="I132" s="171"/>
      <c r="J132" s="148"/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</row>
    <row r="133" spans="1:23" ht="31.5" customHeight="1">
      <c r="A133" s="54"/>
      <c r="B133" s="54"/>
      <c r="C133" s="54"/>
      <c r="D133" s="411"/>
      <c r="E133" s="54"/>
      <c r="F133" s="54"/>
      <c r="G133" s="151"/>
      <c r="H133" s="171"/>
      <c r="I133" s="171"/>
      <c r="J133" s="148"/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</row>
    <row r="134" spans="1:23" ht="31.5" customHeight="1">
      <c r="A134" s="54"/>
      <c r="B134" s="54"/>
      <c r="C134" s="54"/>
      <c r="D134" s="413"/>
      <c r="E134" s="54"/>
      <c r="F134" s="54"/>
      <c r="G134" s="151"/>
      <c r="H134" s="171"/>
      <c r="I134" s="171"/>
      <c r="J134" s="148"/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</row>
    <row r="135" spans="1:23" ht="31.5" customHeight="1">
      <c r="A135" s="54"/>
      <c r="B135" s="54"/>
      <c r="C135" s="54"/>
      <c r="D135" s="414"/>
      <c r="E135" s="54"/>
      <c r="F135" s="54"/>
      <c r="G135" s="151"/>
      <c r="H135" s="171"/>
      <c r="I135" s="171"/>
      <c r="J135" s="148"/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</row>
    <row r="136" spans="1:23" ht="31.5" customHeight="1">
      <c r="A136" s="54"/>
      <c r="B136" s="54"/>
      <c r="C136" s="54"/>
      <c r="D136" s="411"/>
      <c r="E136" s="54"/>
      <c r="F136" s="54"/>
      <c r="G136" s="151"/>
      <c r="H136" s="171"/>
      <c r="I136" s="171"/>
      <c r="J136" s="148"/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 spans="1:23" ht="31.5" customHeight="1">
      <c r="A137" s="54"/>
      <c r="B137" s="54"/>
      <c r="C137" s="54"/>
      <c r="D137" s="414"/>
      <c r="E137" s="54"/>
      <c r="F137" s="54"/>
      <c r="G137" s="151"/>
      <c r="H137" s="171"/>
      <c r="I137" s="171"/>
      <c r="J137" s="148"/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</row>
    <row r="138" spans="1:23" ht="31.5" customHeight="1">
      <c r="A138" s="54"/>
      <c r="B138" s="54"/>
      <c r="C138" s="54"/>
      <c r="D138" s="414"/>
      <c r="E138" s="54"/>
      <c r="F138" s="54"/>
      <c r="G138" s="151"/>
      <c r="H138" s="171"/>
      <c r="I138" s="171"/>
      <c r="J138" s="148"/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</row>
    <row r="139" spans="1:23" ht="31.5" customHeight="1">
      <c r="A139" s="54"/>
      <c r="B139" s="54"/>
      <c r="C139" s="54"/>
      <c r="D139" s="414"/>
      <c r="E139" s="159"/>
      <c r="F139" s="54"/>
      <c r="G139" s="151"/>
      <c r="H139" s="171"/>
      <c r="I139" s="171"/>
      <c r="J139" s="148"/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</row>
    <row r="140" spans="1:23" ht="31.5" customHeight="1">
      <c r="A140" s="227"/>
      <c r="B140" s="227"/>
      <c r="C140" s="227"/>
      <c r="D140" s="411"/>
      <c r="E140" s="54"/>
      <c r="F140" s="227"/>
      <c r="G140" s="151"/>
      <c r="H140" s="171"/>
      <c r="I140" s="171"/>
      <c r="J140" s="148"/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 spans="1:23" ht="31.5" customHeight="1">
      <c r="A141" s="227"/>
      <c r="B141" s="227"/>
      <c r="C141" s="227"/>
      <c r="D141" s="411"/>
      <c r="E141" s="54"/>
      <c r="F141" s="227"/>
      <c r="G141" s="151"/>
      <c r="H141" s="171"/>
      <c r="I141" s="171"/>
      <c r="J141" s="148"/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</row>
    <row r="142" spans="1:23" ht="31.5" customHeight="1">
      <c r="A142" s="54"/>
      <c r="B142" s="54"/>
      <c r="C142" s="54"/>
      <c r="D142" s="412"/>
      <c r="E142" s="54"/>
      <c r="F142" s="54"/>
      <c r="G142" s="151"/>
      <c r="H142" s="171"/>
      <c r="I142" s="171"/>
      <c r="J142" s="148"/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</row>
    <row r="143" spans="1:23" ht="31.5" customHeight="1">
      <c r="A143" s="54"/>
      <c r="B143" s="54"/>
      <c r="C143" s="54"/>
      <c r="D143" s="411"/>
      <c r="E143" s="54"/>
      <c r="F143" s="54"/>
      <c r="G143" s="151"/>
      <c r="H143" s="171"/>
      <c r="I143" s="171"/>
      <c r="J143" s="148"/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</row>
    <row r="144" spans="1:23" ht="31.5" customHeight="1">
      <c r="A144" s="54"/>
      <c r="B144" s="54"/>
      <c r="C144" s="54"/>
      <c r="D144" s="414"/>
      <c r="E144" s="54"/>
      <c r="F144" s="54"/>
      <c r="G144" s="151"/>
      <c r="H144" s="171"/>
      <c r="I144" s="171"/>
      <c r="J144" s="148"/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 spans="1:23" ht="31.5" customHeight="1">
      <c r="A145" s="54"/>
      <c r="B145" s="54"/>
      <c r="C145" s="54"/>
      <c r="D145" s="411"/>
      <c r="E145" s="54"/>
      <c r="F145" s="54"/>
      <c r="G145" s="151"/>
      <c r="H145" s="171"/>
      <c r="I145" s="171"/>
      <c r="J145" s="148"/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</row>
    <row r="146" spans="1:23" ht="31.5" customHeight="1">
      <c r="A146" s="54"/>
      <c r="B146" s="54"/>
      <c r="C146" s="54"/>
      <c r="D146" s="411"/>
      <c r="E146" s="54"/>
      <c r="F146" s="54"/>
      <c r="G146" s="151"/>
      <c r="H146" s="171"/>
      <c r="I146" s="171"/>
      <c r="J146" s="148"/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</row>
    <row r="147" spans="1:23" ht="37.5" customHeight="1">
      <c r="A147" s="54"/>
      <c r="B147" s="54"/>
      <c r="C147" s="54"/>
      <c r="D147" s="411"/>
      <c r="E147" s="54"/>
      <c r="F147" s="54"/>
      <c r="G147" s="151"/>
      <c r="H147" s="171"/>
      <c r="I147" s="171"/>
      <c r="J147" s="148"/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</row>
    <row r="148" spans="1:23" ht="31.5" customHeight="1">
      <c r="A148" s="159"/>
      <c r="B148" s="159"/>
      <c r="C148" s="159"/>
      <c r="D148" s="414"/>
      <c r="E148" s="159"/>
      <c r="F148" s="159"/>
      <c r="G148" s="184"/>
      <c r="H148" s="181" t="s">
        <v>98</v>
      </c>
      <c r="I148" s="176">
        <f>SUM(G129:G148)</f>
        <v>10</v>
      </c>
      <c r="J148" s="148"/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</row>
    <row r="149" spans="1:23" ht="31.5" customHeight="1">
      <c r="A149" s="57"/>
      <c r="B149" s="57"/>
      <c r="C149" s="57"/>
      <c r="D149" s="165"/>
      <c r="E149" s="57"/>
      <c r="F149" s="57"/>
      <c r="G149" s="152"/>
      <c r="H149" s="171"/>
      <c r="I149" s="171"/>
      <c r="J149" s="148"/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</row>
    <row r="150" spans="1:23" ht="31.5" customHeight="1">
      <c r="A150" s="57"/>
      <c r="B150" s="57"/>
      <c r="C150" s="57"/>
      <c r="D150" s="165"/>
      <c r="E150" s="57"/>
      <c r="F150" s="57"/>
      <c r="G150" s="152"/>
      <c r="H150" s="171"/>
      <c r="I150" s="171"/>
      <c r="J150" s="148"/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 spans="1:23" ht="31.5" customHeight="1">
      <c r="A151" s="57"/>
      <c r="B151" s="57"/>
      <c r="C151" s="57"/>
      <c r="D151" s="165"/>
      <c r="E151" s="57"/>
      <c r="F151" s="57"/>
      <c r="G151" s="152"/>
      <c r="H151" s="171"/>
      <c r="I151" s="171"/>
      <c r="J151" s="148"/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</row>
    <row r="152" spans="1:23" ht="31.5" customHeight="1">
      <c r="A152" s="57"/>
      <c r="B152" s="57"/>
      <c r="C152" s="57"/>
      <c r="D152" s="165"/>
      <c r="E152" s="57"/>
      <c r="F152" s="57"/>
      <c r="G152" s="152"/>
      <c r="H152" s="171"/>
      <c r="I152" s="171"/>
      <c r="J152" s="148"/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</row>
    <row r="153" spans="1:23" ht="31.5" customHeight="1">
      <c r="A153" s="57"/>
      <c r="B153" s="57"/>
      <c r="C153" s="57"/>
      <c r="D153" s="165"/>
      <c r="E153" s="57"/>
      <c r="F153" s="57"/>
      <c r="G153" s="152"/>
      <c r="H153" s="171"/>
      <c r="I153" s="171"/>
      <c r="J153" s="148"/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</row>
    <row r="154" spans="1:23" ht="31.5" customHeight="1">
      <c r="A154" s="57"/>
      <c r="B154" s="57"/>
      <c r="C154" s="57"/>
      <c r="D154" s="165"/>
      <c r="E154" s="57"/>
      <c r="F154" s="57"/>
      <c r="G154" s="152"/>
      <c r="H154" s="171"/>
      <c r="I154" s="171"/>
      <c r="J154" s="148"/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</row>
    <row r="155" spans="1:23" ht="31.5" customHeight="1">
      <c r="A155" s="57"/>
      <c r="B155" s="57"/>
      <c r="C155" s="57"/>
      <c r="D155" s="165"/>
      <c r="E155" s="57"/>
      <c r="F155" s="57"/>
      <c r="G155" s="152"/>
      <c r="H155" s="171"/>
      <c r="I155" s="171"/>
      <c r="J155" s="148"/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</row>
    <row r="156" spans="1:23" ht="31.5" customHeight="1">
      <c r="A156" s="57"/>
      <c r="B156" s="57"/>
      <c r="C156" s="57"/>
      <c r="D156" s="165"/>
      <c r="E156" s="57"/>
      <c r="F156" s="57"/>
      <c r="G156" s="152"/>
      <c r="H156" s="171"/>
      <c r="I156" s="171"/>
      <c r="J156" s="148"/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</row>
    <row r="157" spans="1:23" ht="31.5" customHeight="1">
      <c r="A157" s="57"/>
      <c r="B157" s="57"/>
      <c r="C157" s="57"/>
      <c r="D157" s="165"/>
      <c r="E157" s="57"/>
      <c r="F157" s="57"/>
      <c r="G157" s="152"/>
      <c r="H157" s="171"/>
      <c r="I157" s="171"/>
      <c r="J157" s="148"/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 spans="1:23" ht="31.5" customHeight="1">
      <c r="A158" s="57"/>
      <c r="B158" s="57"/>
      <c r="C158" s="57"/>
      <c r="D158" s="165"/>
      <c r="E158" s="57"/>
      <c r="F158" s="57"/>
      <c r="G158" s="152"/>
      <c r="H158" s="171"/>
      <c r="I158" s="171"/>
      <c r="J158" s="148"/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 spans="1:23" ht="31.5" customHeight="1">
      <c r="A159" s="241"/>
      <c r="B159" s="241"/>
      <c r="C159" s="241"/>
      <c r="D159" s="301"/>
      <c r="E159" s="241"/>
      <c r="F159" s="241"/>
      <c r="G159" s="243"/>
      <c r="H159" s="224" t="s">
        <v>98</v>
      </c>
      <c r="I159" s="179">
        <f>SUM(G149:G159)</f>
        <v>0</v>
      </c>
      <c r="J159" s="148"/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</row>
    <row r="160" spans="1:23" ht="31.5" customHeight="1">
      <c r="A160" s="236"/>
      <c r="B160" s="236"/>
      <c r="C160" s="236"/>
      <c r="D160" s="415"/>
      <c r="E160" s="236"/>
      <c r="F160" s="236"/>
      <c r="G160" s="237"/>
      <c r="H160" s="171"/>
      <c r="I160" s="171"/>
      <c r="J160" s="148"/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</row>
    <row r="161" spans="1:23" ht="31.5" customHeight="1">
      <c r="A161" s="60"/>
      <c r="B161" s="60"/>
      <c r="C161" s="60"/>
      <c r="D161" s="399"/>
      <c r="E161" s="60"/>
      <c r="F161" s="60"/>
      <c r="G161" s="153"/>
      <c r="H161" s="171"/>
      <c r="I161" s="171"/>
      <c r="J161" s="148"/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</row>
    <row r="162" spans="1:23" ht="31.5" customHeight="1">
      <c r="A162" s="60"/>
      <c r="B162" s="60"/>
      <c r="C162" s="60"/>
      <c r="D162" s="399"/>
      <c r="E162" s="60"/>
      <c r="F162" s="60"/>
      <c r="G162" s="153"/>
      <c r="H162" s="171"/>
      <c r="I162" s="171"/>
      <c r="J162" s="148"/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 spans="1:23" ht="31.5" customHeight="1">
      <c r="A163" s="60"/>
      <c r="B163" s="60"/>
      <c r="C163" s="60"/>
      <c r="D163" s="399"/>
      <c r="E163" s="60"/>
      <c r="F163" s="60"/>
      <c r="G163" s="153"/>
      <c r="H163" s="171"/>
      <c r="I163" s="171"/>
      <c r="J163" s="148"/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</row>
    <row r="164" spans="1:23" ht="31.5" customHeight="1">
      <c r="A164" s="60"/>
      <c r="B164" s="60"/>
      <c r="C164" s="60"/>
      <c r="D164" s="399"/>
      <c r="E164" s="60"/>
      <c r="F164" s="60"/>
      <c r="G164" s="153"/>
      <c r="H164" s="171"/>
      <c r="I164" s="171"/>
      <c r="J164" s="148"/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</row>
    <row r="165" spans="1:23" ht="31.5" customHeight="1">
      <c r="A165" s="60"/>
      <c r="B165" s="60"/>
      <c r="C165" s="60"/>
      <c r="D165" s="415"/>
      <c r="E165" s="60"/>
      <c r="F165" s="60"/>
      <c r="G165" s="153"/>
      <c r="H165" s="171"/>
      <c r="I165" s="171"/>
      <c r="J165" s="148"/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</row>
    <row r="166" spans="1:23" ht="31.5" customHeight="1">
      <c r="A166" s="60"/>
      <c r="B166" s="60"/>
      <c r="C166" s="60"/>
      <c r="D166" s="399"/>
      <c r="E166" s="60"/>
      <c r="F166" s="60"/>
      <c r="G166" s="153"/>
      <c r="H166" s="171"/>
      <c r="I166" s="171"/>
      <c r="J166" s="148"/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</row>
    <row r="167" spans="1:23" ht="31.5" customHeight="1">
      <c r="A167" s="60"/>
      <c r="B167" s="60"/>
      <c r="C167" s="60"/>
      <c r="D167" s="399"/>
      <c r="E167" s="60"/>
      <c r="F167" s="60"/>
      <c r="G167" s="153"/>
      <c r="H167" s="171"/>
      <c r="I167" s="171"/>
      <c r="J167" s="148"/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</row>
    <row r="168" spans="1:23" ht="31.5" customHeight="1">
      <c r="A168" s="60"/>
      <c r="B168" s="60"/>
      <c r="C168" s="60"/>
      <c r="D168" s="399"/>
      <c r="E168" s="60"/>
      <c r="F168" s="60"/>
      <c r="G168" s="153"/>
      <c r="H168" s="171"/>
      <c r="I168" s="171"/>
      <c r="J168" s="148"/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</row>
    <row r="169" spans="1:23" ht="31.5" customHeight="1">
      <c r="A169" s="245"/>
      <c r="B169" s="245"/>
      <c r="C169" s="245"/>
      <c r="D169" s="399"/>
      <c r="E169" s="60"/>
      <c r="F169" s="245"/>
      <c r="G169" s="153"/>
      <c r="H169" s="171"/>
      <c r="I169" s="171"/>
      <c r="J169" s="148"/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</row>
    <row r="170" spans="1:23" ht="31.5" customHeight="1">
      <c r="A170" s="60"/>
      <c r="B170" s="60"/>
      <c r="C170" s="60"/>
      <c r="D170" s="399"/>
      <c r="E170" s="60"/>
      <c r="F170" s="60"/>
      <c r="G170" s="153"/>
      <c r="H170" s="171"/>
      <c r="I170" s="171"/>
      <c r="J170" s="148"/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</row>
    <row r="171" spans="1:23" ht="31.5" customHeight="1">
      <c r="A171" s="60"/>
      <c r="B171" s="60"/>
      <c r="C171" s="60"/>
      <c r="D171" s="399"/>
      <c r="E171" s="60"/>
      <c r="F171" s="60"/>
      <c r="G171" s="153"/>
      <c r="H171" s="171"/>
      <c r="I171" s="171"/>
      <c r="J171" s="148"/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 spans="1:23" ht="31.5" customHeight="1">
      <c r="A172" s="60"/>
      <c r="B172" s="60"/>
      <c r="C172" s="60"/>
      <c r="D172" s="399"/>
      <c r="E172" s="60"/>
      <c r="F172" s="60"/>
      <c r="G172" s="153"/>
      <c r="H172" s="171"/>
      <c r="I172" s="171"/>
      <c r="J172" s="148"/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</row>
    <row r="173" spans="1:23" ht="31.5" customHeight="1">
      <c r="A173" s="60"/>
      <c r="B173" s="60"/>
      <c r="C173" s="60"/>
      <c r="D173" s="399"/>
      <c r="E173" s="60"/>
      <c r="F173" s="60"/>
      <c r="G173" s="153"/>
      <c r="H173" s="171"/>
      <c r="I173" s="171"/>
      <c r="J173" s="148"/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 spans="1:23" ht="45" customHeight="1">
      <c r="A174" s="206"/>
      <c r="B174" s="206"/>
      <c r="C174" s="206"/>
      <c r="D174" s="398"/>
      <c r="E174" s="206"/>
      <c r="F174" s="206"/>
      <c r="G174" s="208"/>
      <c r="H174" s="197" t="s">
        <v>98</v>
      </c>
      <c r="I174" s="178">
        <f>SUM(G160:G174)</f>
        <v>0</v>
      </c>
      <c r="J174" s="148"/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</row>
    <row r="175" spans="1:23" ht="31.5" customHeight="1">
      <c r="A175" s="261"/>
      <c r="B175" s="261"/>
      <c r="C175" s="261"/>
      <c r="D175" s="416"/>
      <c r="E175" s="261"/>
      <c r="F175" s="261"/>
      <c r="G175" s="262"/>
      <c r="H175" s="171"/>
      <c r="I175" s="171"/>
      <c r="J175" s="148"/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</row>
    <row r="176" spans="1:23" ht="31.5" customHeight="1">
      <c r="A176" s="65"/>
      <c r="B176" s="65"/>
      <c r="C176" s="65"/>
      <c r="D176" s="402"/>
      <c r="E176" s="65"/>
      <c r="F176" s="65"/>
      <c r="G176" s="154"/>
      <c r="H176" s="171"/>
      <c r="I176" s="171"/>
      <c r="J176" s="148"/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</row>
    <row r="177" spans="1:23" ht="31.5" customHeight="1">
      <c r="A177" s="65"/>
      <c r="B177" s="65"/>
      <c r="C177" s="65"/>
      <c r="D177" s="402"/>
      <c r="E177" s="65"/>
      <c r="F177" s="65"/>
      <c r="G177" s="154"/>
      <c r="H177" s="171"/>
      <c r="I177" s="171"/>
      <c r="J177" s="148"/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</row>
    <row r="178" spans="1:23" ht="31.5" customHeight="1">
      <c r="A178" s="65"/>
      <c r="B178" s="65"/>
      <c r="C178" s="65"/>
      <c r="D178" s="402"/>
      <c r="E178" s="65"/>
      <c r="F178" s="65"/>
      <c r="G178" s="154"/>
      <c r="H178" s="171"/>
      <c r="I178" s="171"/>
      <c r="J178" s="148"/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</row>
    <row r="179" spans="1:23" ht="31.5" customHeight="1">
      <c r="A179" s="65"/>
      <c r="B179" s="65"/>
      <c r="C179" s="65"/>
      <c r="D179" s="402"/>
      <c r="E179" s="65"/>
      <c r="F179" s="65"/>
      <c r="G179" s="154"/>
      <c r="H179" s="171"/>
      <c r="I179" s="171"/>
      <c r="J179" s="148"/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</row>
    <row r="180" spans="1:23" ht="31.5" customHeight="1">
      <c r="A180" s="65"/>
      <c r="B180" s="65"/>
      <c r="C180" s="65"/>
      <c r="D180" s="402"/>
      <c r="E180" s="65"/>
      <c r="F180" s="65"/>
      <c r="G180" s="154"/>
      <c r="H180" s="171"/>
      <c r="I180" s="171"/>
      <c r="J180" s="148"/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</row>
    <row r="181" spans="1:23" ht="31.5" customHeight="1">
      <c r="A181" s="65"/>
      <c r="B181" s="65"/>
      <c r="C181" s="65"/>
      <c r="D181" s="402"/>
      <c r="E181" s="65"/>
      <c r="F181" s="65"/>
      <c r="G181" s="154"/>
      <c r="H181" s="171"/>
      <c r="I181" s="171"/>
      <c r="J181" s="148"/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</row>
    <row r="182" spans="1:23" ht="31.5" customHeight="1">
      <c r="A182" s="65"/>
      <c r="B182" s="65"/>
      <c r="C182" s="65"/>
      <c r="D182" s="402"/>
      <c r="E182" s="65"/>
      <c r="F182" s="65"/>
      <c r="G182" s="213"/>
      <c r="H182" s="171"/>
      <c r="I182" s="171"/>
      <c r="J182" s="148"/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 spans="1:23" ht="31.5" customHeight="1">
      <c r="A183" s="248"/>
      <c r="B183" s="248"/>
      <c r="C183" s="248"/>
      <c r="D183" s="402"/>
      <c r="E183" s="65"/>
      <c r="F183" s="248"/>
      <c r="G183" s="213"/>
      <c r="H183" s="171"/>
      <c r="I183" s="171"/>
      <c r="J183" s="148"/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</row>
    <row r="184" spans="1:23" ht="31.5" customHeight="1">
      <c r="A184" s="248"/>
      <c r="B184" s="248"/>
      <c r="C184" s="248"/>
      <c r="D184" s="404"/>
      <c r="E184" s="67"/>
      <c r="F184" s="248"/>
      <c r="G184" s="154"/>
      <c r="H184" s="171"/>
      <c r="I184" s="171"/>
      <c r="J184" s="148"/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</row>
    <row r="185" spans="1:23" ht="31.5" customHeight="1">
      <c r="A185" s="263"/>
      <c r="B185" s="263"/>
      <c r="C185" s="263"/>
      <c r="D185" s="417"/>
      <c r="E185" s="163"/>
      <c r="F185" s="263"/>
      <c r="G185" s="39"/>
      <c r="H185" s="209" t="s">
        <v>98</v>
      </c>
      <c r="I185" s="177">
        <f>SUM(G175:G185)</f>
        <v>0</v>
      </c>
      <c r="J185" s="148"/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</row>
    <row r="186" spans="1:23" ht="31.5" customHeight="1">
      <c r="A186" s="93" t="s">
        <v>238</v>
      </c>
      <c r="B186" s="93" t="s">
        <v>238</v>
      </c>
      <c r="C186" s="93" t="s">
        <v>238</v>
      </c>
      <c r="F186" s="93" t="s">
        <v>238</v>
      </c>
      <c r="G186" s="44">
        <f>SUM(G3:G185)</f>
        <v>355</v>
      </c>
      <c r="H186" s="171"/>
      <c r="I186" s="171"/>
      <c r="J186" s="148"/>
      <c r="P186" s="2"/>
    </row>
    <row r="187" spans="1:23" ht="31.5" customHeight="1">
      <c r="H187" s="171"/>
      <c r="I187" s="171"/>
      <c r="J187" s="148"/>
      <c r="P187" s="2"/>
    </row>
    <row r="188" spans="1:23" ht="31.5" customHeight="1">
      <c r="H188" s="171"/>
      <c r="I188" s="171"/>
      <c r="J188" s="148"/>
      <c r="P188" s="2"/>
    </row>
    <row r="189" spans="1:23" ht="31.5" customHeight="1">
      <c r="H189" s="171"/>
      <c r="I189" s="171"/>
      <c r="J189" s="148"/>
      <c r="M189" s="42"/>
      <c r="P189" s="2"/>
    </row>
    <row r="190" spans="1:23" ht="31.5" customHeight="1">
      <c r="H190" s="171"/>
      <c r="I190" s="171"/>
      <c r="J190" s="148"/>
      <c r="M190" s="42"/>
      <c r="P190" s="2"/>
    </row>
    <row r="191" spans="1:23" ht="31.5" customHeight="1">
      <c r="H191" s="171"/>
      <c r="I191" s="171"/>
      <c r="J191" s="148"/>
      <c r="P191" s="2"/>
    </row>
    <row r="192" spans="1:23" ht="31.5" customHeight="1">
      <c r="H192" s="171"/>
      <c r="I192" s="171"/>
      <c r="J192" s="148"/>
      <c r="P192" s="2"/>
    </row>
    <row r="193" spans="8:16" ht="31.5" customHeight="1">
      <c r="H193" s="171"/>
      <c r="I193" s="171"/>
      <c r="J193" s="148"/>
      <c r="P193" s="2"/>
    </row>
    <row r="194" spans="8:16" ht="31.5" customHeight="1">
      <c r="H194" s="171"/>
      <c r="I194" s="171"/>
      <c r="J194" s="148"/>
      <c r="P194" s="2"/>
    </row>
    <row r="195" spans="8:16" ht="31.5" customHeight="1">
      <c r="H195" s="171"/>
      <c r="I195" s="171"/>
      <c r="J195" s="148"/>
      <c r="P195" s="2"/>
    </row>
    <row r="196" spans="8:16" ht="31.5" customHeight="1">
      <c r="H196" s="171"/>
      <c r="I196" s="171"/>
      <c r="J196" s="148"/>
      <c r="P196" s="2"/>
    </row>
    <row r="197" spans="8:16" ht="31.5" customHeight="1">
      <c r="H197" s="171"/>
      <c r="I197" s="171"/>
      <c r="J197" s="148"/>
      <c r="P197" s="2"/>
    </row>
    <row r="198" spans="8:16" ht="31.5" customHeight="1">
      <c r="H198" s="171"/>
      <c r="I198" s="171"/>
      <c r="J198" s="148"/>
      <c r="P198" s="2"/>
    </row>
    <row r="199" spans="8:16" ht="31.5" customHeight="1">
      <c r="H199" s="171"/>
      <c r="I199" s="171"/>
      <c r="J199" s="148"/>
      <c r="P199" s="2"/>
    </row>
    <row r="200" spans="8:16" ht="31.5" customHeight="1">
      <c r="H200" s="171"/>
      <c r="I200" s="171"/>
      <c r="J200" s="148"/>
      <c r="P200" s="2"/>
    </row>
    <row r="201" spans="8:16" ht="31.5" customHeight="1">
      <c r="H201" s="171"/>
      <c r="I201" s="171"/>
      <c r="J201" s="148"/>
      <c r="P201" s="2"/>
    </row>
    <row r="202" spans="8:16" ht="31.5" customHeight="1">
      <c r="H202" s="171"/>
      <c r="I202" s="171"/>
      <c r="J202" s="148"/>
      <c r="P202" s="2"/>
    </row>
    <row r="203" spans="8:16" ht="31.5" customHeight="1">
      <c r="H203" s="171"/>
      <c r="I203" s="171"/>
      <c r="J203" s="148"/>
      <c r="P203" s="2"/>
    </row>
    <row r="204" spans="8:16" ht="31.5" customHeight="1">
      <c r="H204" s="171"/>
      <c r="I204" s="171"/>
      <c r="J204" s="148"/>
      <c r="P204" s="2"/>
    </row>
    <row r="205" spans="8:16" ht="31.5" customHeight="1">
      <c r="H205" s="171"/>
      <c r="I205" s="171"/>
      <c r="J205" s="148"/>
      <c r="P205" s="2"/>
    </row>
    <row r="206" spans="8:16" ht="31.5" customHeight="1">
      <c r="H206" s="171"/>
      <c r="I206" s="171"/>
      <c r="J206" s="148"/>
      <c r="P206" s="2"/>
    </row>
    <row r="207" spans="8:16" ht="31.5" customHeight="1">
      <c r="H207" s="171"/>
      <c r="I207" s="171"/>
      <c r="J207" s="148"/>
      <c r="P207" s="2"/>
    </row>
    <row r="208" spans="8:16" ht="31.5" customHeight="1">
      <c r="H208" s="171"/>
      <c r="I208" s="171"/>
      <c r="J208" s="148"/>
      <c r="P208" s="2"/>
    </row>
    <row r="209" spans="8:16" ht="31.5" customHeight="1">
      <c r="H209" s="171"/>
      <c r="I209" s="171"/>
      <c r="J209" s="148"/>
      <c r="P209" s="2"/>
    </row>
    <row r="210" spans="8:16" ht="31.5" customHeight="1">
      <c r="H210" s="171"/>
      <c r="I210" s="171"/>
      <c r="J210" s="148"/>
      <c r="P210" s="2"/>
    </row>
    <row r="211" spans="8:16" ht="31.5" customHeight="1">
      <c r="H211" s="171"/>
      <c r="I211" s="171"/>
      <c r="J211" s="148"/>
      <c r="P211" s="2"/>
    </row>
    <row r="212" spans="8:16" ht="31.5" customHeight="1">
      <c r="H212" s="171"/>
      <c r="I212" s="171"/>
      <c r="J212" s="148"/>
      <c r="P212" s="2"/>
    </row>
    <row r="213" spans="8:16" ht="31.5" customHeight="1">
      <c r="H213" s="171"/>
      <c r="I213" s="171"/>
      <c r="J213" s="148"/>
      <c r="P213" s="2"/>
    </row>
    <row r="214" spans="8:16" ht="31.5" customHeight="1">
      <c r="H214" s="171"/>
      <c r="I214" s="171"/>
      <c r="J214" s="148"/>
      <c r="P214" s="2"/>
    </row>
    <row r="215" spans="8:16" ht="31.5" customHeight="1">
      <c r="H215" s="171"/>
      <c r="I215" s="171"/>
      <c r="J215" s="148"/>
      <c r="P215" s="2"/>
    </row>
    <row r="216" spans="8:16" ht="31.5" customHeight="1">
      <c r="H216" s="171"/>
      <c r="I216" s="171"/>
      <c r="J216" s="148"/>
      <c r="P216" s="2"/>
    </row>
    <row r="217" spans="8:16" ht="31.5" customHeight="1">
      <c r="H217" s="171"/>
      <c r="I217" s="171"/>
      <c r="J217" s="148"/>
      <c r="P217" s="2"/>
    </row>
    <row r="218" spans="8:16" ht="31.5" customHeight="1">
      <c r="H218" s="171"/>
      <c r="I218" s="171"/>
      <c r="J218" s="148"/>
      <c r="P218" s="2"/>
    </row>
    <row r="219" spans="8:16" ht="31.5" customHeight="1">
      <c r="H219" s="171"/>
      <c r="I219" s="171"/>
      <c r="J219" s="148"/>
      <c r="P219" s="2"/>
    </row>
    <row r="220" spans="8:16" ht="31.5" customHeight="1">
      <c r="H220" s="171"/>
      <c r="I220" s="171"/>
      <c r="J220" s="148"/>
      <c r="P220" s="2"/>
    </row>
    <row r="221" spans="8:16" ht="31.5" customHeight="1">
      <c r="H221" s="171"/>
      <c r="I221" s="171"/>
      <c r="J221" s="148"/>
      <c r="P221" s="2"/>
    </row>
    <row r="222" spans="8:16" ht="31.5" customHeight="1">
      <c r="P222" s="2"/>
    </row>
    <row r="223" spans="8:16" ht="31.5" customHeight="1">
      <c r="P223" s="2"/>
    </row>
    <row r="224" spans="8:16" ht="31.5" customHeight="1">
      <c r="P224" s="2"/>
    </row>
    <row r="225" spans="16:16" ht="31.5" customHeight="1">
      <c r="P225" s="2"/>
    </row>
    <row r="226" spans="16:16" ht="31.5" customHeight="1">
      <c r="P226" s="2"/>
    </row>
    <row r="227" spans="16:16" ht="31.5" customHeight="1">
      <c r="P227" s="2"/>
    </row>
    <row r="228" spans="16:16" ht="31.5" customHeight="1">
      <c r="P228" s="2"/>
    </row>
    <row r="229" spans="16:16" ht="31.5" customHeight="1">
      <c r="P229" s="2"/>
    </row>
    <row r="230" spans="16:16" ht="31.5" customHeight="1">
      <c r="P230" s="2"/>
    </row>
    <row r="231" spans="16:16" ht="31.5" customHeight="1">
      <c r="P231" s="2"/>
    </row>
    <row r="232" spans="16:16" ht="31.5" customHeight="1">
      <c r="P232" s="2"/>
    </row>
    <row r="233" spans="16:16" ht="31.5" customHeight="1">
      <c r="P233" s="2"/>
    </row>
  </sheetData>
  <autoFilter ref="A2:G190" xr:uid="{00000000-0001-0000-0000-000000000000}"/>
  <mergeCells count="1">
    <mergeCell ref="A1:G1"/>
  </mergeCells>
  <conditionalFormatting sqref="P3:W188">
    <cfRule type="cellIs" dxfId="2" priority="1" operator="greaterThan">
      <formula>0</formula>
    </cfRule>
  </conditionalFormatting>
  <dataValidations count="1">
    <dataValidation type="list" allowBlank="1" showInputMessage="1" showErrorMessage="1" sqref="E3:E185" xr:uid="{0EACD15E-3609-442F-9F39-4057819627CF}">
      <formula1>$P$1:$Z$1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CA80-9671-46B8-9CFA-302BBDD33284}">
  <dimension ref="B1:F16"/>
  <sheetViews>
    <sheetView workbookViewId="0">
      <selection activeCell="F20" sqref="F20"/>
    </sheetView>
  </sheetViews>
  <sheetFormatPr defaultColWidth="11.42578125" defaultRowHeight="15"/>
  <cols>
    <col min="2" max="2" width="18.28515625" customWidth="1"/>
    <col min="3" max="3" width="16.85546875" customWidth="1"/>
    <col min="4" max="4" width="15.140625" customWidth="1"/>
    <col min="5" max="5" width="17.28515625" customWidth="1"/>
    <col min="6" max="6" width="112.42578125" customWidth="1"/>
  </cols>
  <sheetData>
    <row r="1" spans="2:6">
      <c r="B1" t="s">
        <v>239</v>
      </c>
      <c r="C1" t="s">
        <v>240</v>
      </c>
      <c r="D1" t="s">
        <v>241</v>
      </c>
      <c r="E1" t="s">
        <v>242</v>
      </c>
      <c r="F1" t="s">
        <v>243</v>
      </c>
    </row>
    <row r="2" spans="2:6">
      <c r="B2" t="s">
        <v>19</v>
      </c>
      <c r="C2" s="195">
        <v>45728</v>
      </c>
      <c r="D2" t="s">
        <v>244</v>
      </c>
      <c r="E2">
        <v>5.5</v>
      </c>
      <c r="F2" t="s">
        <v>245</v>
      </c>
    </row>
    <row r="3" spans="2:6">
      <c r="B3" t="s">
        <v>17</v>
      </c>
      <c r="C3" s="195">
        <v>45729</v>
      </c>
      <c r="D3" t="s">
        <v>244</v>
      </c>
      <c r="E3">
        <v>0.75</v>
      </c>
      <c r="F3" t="s">
        <v>246</v>
      </c>
    </row>
    <row r="4" spans="2:6">
      <c r="B4" t="s">
        <v>11</v>
      </c>
      <c r="C4" s="195">
        <v>45729</v>
      </c>
      <c r="D4" t="s">
        <v>247</v>
      </c>
      <c r="E4">
        <v>0.75</v>
      </c>
      <c r="F4" t="s">
        <v>248</v>
      </c>
    </row>
    <row r="5" spans="2:6">
      <c r="B5" t="s">
        <v>19</v>
      </c>
      <c r="C5" s="195">
        <v>45729</v>
      </c>
      <c r="D5" t="s">
        <v>244</v>
      </c>
      <c r="E5">
        <v>2</v>
      </c>
      <c r="F5" t="s">
        <v>249</v>
      </c>
    </row>
    <row r="6" spans="2:6">
      <c r="B6" t="s">
        <v>19</v>
      </c>
      <c r="C6" s="195">
        <v>45730</v>
      </c>
      <c r="D6" t="s">
        <v>244</v>
      </c>
      <c r="E6">
        <v>0.25</v>
      </c>
      <c r="F6" t="s">
        <v>250</v>
      </c>
    </row>
    <row r="7" spans="2:6">
      <c r="B7" t="s">
        <v>14</v>
      </c>
      <c r="C7" s="195">
        <v>45734</v>
      </c>
      <c r="D7" t="s">
        <v>251</v>
      </c>
      <c r="E7">
        <v>0.5</v>
      </c>
      <c r="F7" t="s">
        <v>252</v>
      </c>
    </row>
    <row r="8" spans="2:6">
      <c r="B8" t="s">
        <v>14</v>
      </c>
      <c r="C8" s="195">
        <v>45735</v>
      </c>
      <c r="D8" t="s">
        <v>244</v>
      </c>
      <c r="E8">
        <v>0.5</v>
      </c>
      <c r="F8" t="s">
        <v>252</v>
      </c>
    </row>
    <row r="9" spans="2:6">
      <c r="B9" t="s">
        <v>19</v>
      </c>
      <c r="C9" s="195">
        <v>45735</v>
      </c>
      <c r="D9" t="s">
        <v>244</v>
      </c>
      <c r="E9">
        <v>1</v>
      </c>
      <c r="F9" t="s">
        <v>250</v>
      </c>
    </row>
    <row r="10" spans="2:6">
      <c r="B10" t="s">
        <v>14</v>
      </c>
      <c r="C10" s="195">
        <v>45736</v>
      </c>
      <c r="D10" t="s">
        <v>251</v>
      </c>
      <c r="E10">
        <v>0.5</v>
      </c>
      <c r="F10" t="s">
        <v>252</v>
      </c>
    </row>
    <row r="11" spans="2:6">
      <c r="B11" t="s">
        <v>19</v>
      </c>
      <c r="C11" s="195">
        <v>45736</v>
      </c>
      <c r="D11" t="s">
        <v>244</v>
      </c>
      <c r="E11">
        <v>2</v>
      </c>
      <c r="F11" t="s">
        <v>253</v>
      </c>
    </row>
    <row r="12" spans="2:6">
      <c r="B12" t="s">
        <v>19</v>
      </c>
      <c r="C12" s="195">
        <v>45754</v>
      </c>
      <c r="D12" t="s">
        <v>244</v>
      </c>
      <c r="E12">
        <v>0.25</v>
      </c>
      <c r="F12" t="s">
        <v>250</v>
      </c>
    </row>
    <row r="13" spans="2:6">
      <c r="B13" t="s">
        <v>19</v>
      </c>
      <c r="C13" s="195">
        <v>45755</v>
      </c>
      <c r="D13" t="s">
        <v>244</v>
      </c>
      <c r="E13">
        <v>4.5</v>
      </c>
      <c r="F13" t="s">
        <v>245</v>
      </c>
    </row>
    <row r="14" spans="2:6">
      <c r="B14" t="s">
        <v>19</v>
      </c>
      <c r="C14" s="195">
        <v>45755</v>
      </c>
      <c r="D14" t="s">
        <v>244</v>
      </c>
      <c r="E14">
        <v>1</v>
      </c>
      <c r="F14" t="s">
        <v>250</v>
      </c>
    </row>
    <row r="15" spans="2:6">
      <c r="B15" t="s">
        <v>19</v>
      </c>
      <c r="C15" s="195">
        <v>45777</v>
      </c>
      <c r="D15" t="s">
        <v>244</v>
      </c>
      <c r="E15">
        <v>1</v>
      </c>
      <c r="F15" t="s">
        <v>254</v>
      </c>
    </row>
    <row r="16" spans="2:6">
      <c r="B16" t="s">
        <v>14</v>
      </c>
      <c r="C16" s="195">
        <v>45782</v>
      </c>
      <c r="D16" t="s">
        <v>251</v>
      </c>
      <c r="E16">
        <v>1.5</v>
      </c>
      <c r="F16" t="s">
        <v>255</v>
      </c>
    </row>
  </sheetData>
  <autoFilter ref="B1:F16" xr:uid="{689BCA80-9671-46B8-9CFA-302BBDD3328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1EF4-76E6-4475-8DEC-148A792AFB49}">
  <dimension ref="A1:V241"/>
  <sheetViews>
    <sheetView zoomScale="80" zoomScaleNormal="80" workbookViewId="0">
      <pane xSplit="3" ySplit="2" topLeftCell="D186" activePane="bottomRight" state="frozen"/>
      <selection pane="bottomRight" activeCell="K192" sqref="K192"/>
      <selection pane="bottomLeft" activeCell="A3" sqref="A3"/>
      <selection pane="topRight" activeCell="D1" sqref="D1"/>
    </sheetView>
  </sheetViews>
  <sheetFormatPr defaultColWidth="8.85546875" defaultRowHeight="18.75"/>
  <cols>
    <col min="1" max="1" width="15.85546875" style="332" customWidth="1"/>
    <col min="2" max="2" width="11.42578125" style="118" customWidth="1"/>
    <col min="3" max="3" width="14.28515625" style="312" customWidth="1"/>
    <col min="4" max="4" width="110.85546875" style="91" customWidth="1"/>
    <col min="5" max="5" width="18.5703125" style="92" customWidth="1"/>
    <col min="6" max="6" width="15.85546875" style="92" customWidth="1"/>
    <col min="7" max="7" width="14.42578125" style="94" customWidth="1"/>
    <col min="8" max="8" width="20.85546875" style="149" customWidth="1"/>
    <col min="9" max="9" width="7.5703125" style="149" customWidth="1"/>
    <col min="10" max="10" width="6.5703125" style="149" customWidth="1"/>
    <col min="11" max="11" width="23.140625" customWidth="1"/>
    <col min="12" max="12" width="7.7109375" style="42" customWidth="1"/>
    <col min="13" max="13" width="7.7109375" customWidth="1"/>
    <col min="14" max="14" width="8.85546875" customWidth="1"/>
    <col min="15" max="15" width="7.7109375" customWidth="1"/>
    <col min="16" max="16" width="13.7109375" style="2" customWidth="1"/>
    <col min="17" max="19" width="11.28515625" style="2" customWidth="1"/>
    <col min="20" max="20" width="10.28515625" style="2" customWidth="1"/>
    <col min="21" max="21" width="11.7109375" style="2" customWidth="1"/>
    <col min="22" max="22" width="10.28515625" style="2" customWidth="1"/>
  </cols>
  <sheetData>
    <row r="1" spans="1:22" ht="31.5" thickBot="1">
      <c r="A1" s="459" t="s">
        <v>256</v>
      </c>
      <c r="B1" s="459"/>
      <c r="C1" s="459"/>
      <c r="D1" s="459"/>
      <c r="E1" s="459"/>
      <c r="F1" s="459"/>
      <c r="G1" s="459"/>
      <c r="H1" s="171"/>
      <c r="I1" s="171"/>
      <c r="J1" s="148"/>
      <c r="P1" s="318" t="s">
        <v>14</v>
      </c>
      <c r="Q1" s="318" t="s">
        <v>15</v>
      </c>
      <c r="R1" s="318" t="s">
        <v>16</v>
      </c>
      <c r="S1" s="318" t="s">
        <v>17</v>
      </c>
      <c r="T1" s="318" t="s">
        <v>12</v>
      </c>
      <c r="U1" s="318" t="s">
        <v>18</v>
      </c>
      <c r="V1" s="318" t="s">
        <v>19</v>
      </c>
    </row>
    <row r="2" spans="1:22" ht="31.5" customHeight="1">
      <c r="A2" s="319" t="s">
        <v>257</v>
      </c>
      <c r="B2" s="303" t="s">
        <v>21</v>
      </c>
      <c r="C2" s="321" t="s">
        <v>22</v>
      </c>
      <c r="D2" s="303" t="s">
        <v>23</v>
      </c>
      <c r="E2" s="320" t="s">
        <v>24</v>
      </c>
      <c r="F2" s="320" t="s">
        <v>25</v>
      </c>
      <c r="G2" s="322" t="s">
        <v>26</v>
      </c>
      <c r="H2" s="323" t="s">
        <v>27</v>
      </c>
      <c r="I2" s="171"/>
      <c r="J2" s="148"/>
      <c r="P2" s="2">
        <f t="shared" ref="P2:V2" si="0">SUM(_xlfn.ANCHORARRAY(P3))</f>
        <v>91</v>
      </c>
      <c r="Q2" s="2">
        <f t="shared" si="0"/>
        <v>75</v>
      </c>
      <c r="R2" s="2">
        <f t="shared" si="0"/>
        <v>18</v>
      </c>
      <c r="S2" s="2">
        <f t="shared" si="0"/>
        <v>78.5</v>
      </c>
      <c r="T2" s="2">
        <f t="shared" si="0"/>
        <v>73</v>
      </c>
      <c r="U2" s="2">
        <f t="shared" si="0"/>
        <v>83</v>
      </c>
      <c r="V2" s="2">
        <f t="shared" si="0"/>
        <v>76</v>
      </c>
    </row>
    <row r="3" spans="1:22" ht="31.5" customHeight="1">
      <c r="A3" s="99" t="s">
        <v>258</v>
      </c>
      <c r="B3" s="6">
        <v>45666</v>
      </c>
      <c r="C3" s="48" t="s">
        <v>259</v>
      </c>
      <c r="D3" s="216" t="s">
        <v>260</v>
      </c>
      <c r="E3" s="48" t="s">
        <v>15</v>
      </c>
      <c r="F3" s="217" t="s">
        <v>36</v>
      </c>
      <c r="G3" s="146">
        <v>4</v>
      </c>
      <c r="H3" s="171"/>
      <c r="I3" s="171"/>
      <c r="J3" s="148"/>
      <c r="K3" s="119" t="s">
        <v>32</v>
      </c>
      <c r="L3" s="120">
        <v>480</v>
      </c>
      <c r="N3">
        <f>192+256</f>
        <v>448</v>
      </c>
      <c r="P3" s="327" cm="1">
        <f t="array" ref="P3:P196">IF(E3:E196=P1,G3:G196,0)</f>
        <v>0</v>
      </c>
      <c r="Q3" s="327" cm="1">
        <f t="array" ref="Q3:Q196">IF(E3:E196=Q1,G3:G196,0)</f>
        <v>4</v>
      </c>
      <c r="R3" s="327" cm="1">
        <f t="array" ref="R3:R196">IF(E3:E196=R1,G3:G196,0)</f>
        <v>0</v>
      </c>
      <c r="S3" s="327" cm="1">
        <f t="array" ref="S3:S196">IF(E3:E196=S1,G3:G196,0)</f>
        <v>0</v>
      </c>
      <c r="T3" s="327" cm="1">
        <f t="array" ref="T3:T196">IF(E3:E196=T1,G3:G196,0)</f>
        <v>0</v>
      </c>
      <c r="U3" s="327" cm="1">
        <f t="array" ref="U3:U196">IF(E3:E196=U1,G3:G196,0)</f>
        <v>0</v>
      </c>
      <c r="V3" s="327" cm="1">
        <f t="array" ref="V3:V196">IF(E3:E196=V1,G3:G196,0)</f>
        <v>0</v>
      </c>
    </row>
    <row r="4" spans="1:22" ht="31.5" customHeight="1">
      <c r="A4" s="99" t="s">
        <v>261</v>
      </c>
      <c r="B4" s="6">
        <v>45666</v>
      </c>
      <c r="C4" s="48" t="s">
        <v>262</v>
      </c>
      <c r="D4" s="216" t="s">
        <v>263</v>
      </c>
      <c r="E4" s="48" t="s">
        <v>17</v>
      </c>
      <c r="F4" s="217" t="s">
        <v>31</v>
      </c>
      <c r="G4" s="146">
        <v>2</v>
      </c>
      <c r="H4" s="171"/>
      <c r="I4" s="171"/>
      <c r="J4" s="148"/>
      <c r="K4" s="121" t="s">
        <v>37</v>
      </c>
      <c r="L4" s="246">
        <f>L3-G197</f>
        <v>-66.5</v>
      </c>
      <c r="P4" s="327">
        <v>0</v>
      </c>
      <c r="Q4" s="327">
        <v>0</v>
      </c>
      <c r="R4" s="327">
        <v>0</v>
      </c>
      <c r="S4" s="327">
        <v>2</v>
      </c>
      <c r="T4" s="327">
        <v>0</v>
      </c>
      <c r="U4" s="327">
        <v>0</v>
      </c>
      <c r="V4" s="327">
        <v>0</v>
      </c>
    </row>
    <row r="5" spans="1:22" ht="31.5" customHeight="1">
      <c r="A5" s="99" t="s">
        <v>264</v>
      </c>
      <c r="B5" s="6">
        <v>45670</v>
      </c>
      <c r="C5" s="48" t="s">
        <v>29</v>
      </c>
      <c r="D5" s="216" t="s">
        <v>265</v>
      </c>
      <c r="E5" s="48" t="s">
        <v>11</v>
      </c>
      <c r="F5" s="217" t="s">
        <v>31</v>
      </c>
      <c r="G5" s="146">
        <v>1</v>
      </c>
      <c r="H5" s="171"/>
      <c r="I5" s="171"/>
      <c r="J5" s="148"/>
      <c r="K5" s="121" t="s">
        <v>41</v>
      </c>
      <c r="L5" s="122">
        <f>G197</f>
        <v>546.5</v>
      </c>
      <c r="P5" s="327">
        <v>0</v>
      </c>
      <c r="Q5" s="327">
        <v>0</v>
      </c>
      <c r="R5" s="327">
        <v>0</v>
      </c>
      <c r="S5" s="327">
        <v>0</v>
      </c>
      <c r="T5" s="327">
        <v>0</v>
      </c>
      <c r="U5" s="327">
        <v>0</v>
      </c>
      <c r="V5" s="327">
        <v>0</v>
      </c>
    </row>
    <row r="6" spans="1:22" ht="31.5" customHeight="1">
      <c r="A6" s="99" t="s">
        <v>264</v>
      </c>
      <c r="B6" s="6">
        <v>45670</v>
      </c>
      <c r="C6" s="48" t="s">
        <v>29</v>
      </c>
      <c r="D6" s="216" t="s">
        <v>265</v>
      </c>
      <c r="E6" s="48" t="s">
        <v>19</v>
      </c>
      <c r="F6" s="217" t="s">
        <v>31</v>
      </c>
      <c r="G6" s="146">
        <v>1</v>
      </c>
      <c r="H6" s="171"/>
      <c r="I6" s="171"/>
      <c r="J6" s="148"/>
      <c r="K6" s="123" t="s">
        <v>45</v>
      </c>
      <c r="L6" s="247">
        <f>1-(L4/L3)</f>
        <v>1.1385416666666668</v>
      </c>
      <c r="N6" s="182" t="s">
        <v>46</v>
      </c>
      <c r="P6" s="327">
        <v>0</v>
      </c>
      <c r="Q6" s="327">
        <v>0</v>
      </c>
      <c r="R6" s="327">
        <v>0</v>
      </c>
      <c r="S6" s="327">
        <v>0</v>
      </c>
      <c r="T6" s="327">
        <v>0</v>
      </c>
      <c r="U6" s="327">
        <v>0</v>
      </c>
      <c r="V6" s="327">
        <v>1</v>
      </c>
    </row>
    <row r="7" spans="1:22" ht="31.5" customHeight="1">
      <c r="A7" s="99" t="s">
        <v>266</v>
      </c>
      <c r="B7" s="6">
        <v>45672</v>
      </c>
      <c r="C7" s="48" t="s">
        <v>267</v>
      </c>
      <c r="D7" s="216" t="s">
        <v>263</v>
      </c>
      <c r="E7" s="48" t="s">
        <v>19</v>
      </c>
      <c r="F7" s="217" t="s">
        <v>31</v>
      </c>
      <c r="G7" s="146">
        <v>1</v>
      </c>
      <c r="H7" s="171"/>
      <c r="I7" s="171"/>
      <c r="J7" s="148"/>
      <c r="P7" s="327">
        <v>0</v>
      </c>
      <c r="Q7" s="327">
        <v>0</v>
      </c>
      <c r="R7" s="327">
        <v>0</v>
      </c>
      <c r="S7" s="327">
        <v>0</v>
      </c>
      <c r="T7" s="327">
        <v>0</v>
      </c>
      <c r="U7" s="327">
        <v>0</v>
      </c>
      <c r="V7" s="327">
        <v>1</v>
      </c>
    </row>
    <row r="8" spans="1:22" ht="31.5" customHeight="1">
      <c r="A8" s="99" t="s">
        <v>268</v>
      </c>
      <c r="B8" s="6">
        <v>45673</v>
      </c>
      <c r="C8" s="48" t="s">
        <v>29</v>
      </c>
      <c r="D8" s="216" t="s">
        <v>269</v>
      </c>
      <c r="E8" s="48" t="s">
        <v>19</v>
      </c>
      <c r="F8" s="217" t="s">
        <v>36</v>
      </c>
      <c r="G8" s="146">
        <v>1</v>
      </c>
      <c r="H8" s="171"/>
      <c r="I8" s="171"/>
      <c r="J8" s="148"/>
      <c r="L8" s="249" t="s">
        <v>2</v>
      </c>
      <c r="M8" s="249" t="s">
        <v>270</v>
      </c>
      <c r="P8" s="327">
        <v>0</v>
      </c>
      <c r="Q8" s="327">
        <v>0</v>
      </c>
      <c r="R8" s="327">
        <v>0</v>
      </c>
      <c r="S8" s="327">
        <v>0</v>
      </c>
      <c r="T8" s="327">
        <v>0</v>
      </c>
      <c r="U8" s="327">
        <v>0</v>
      </c>
      <c r="V8" s="327">
        <v>1</v>
      </c>
    </row>
    <row r="9" spans="1:22" ht="31.5" customHeight="1">
      <c r="A9" s="99" t="s">
        <v>271</v>
      </c>
      <c r="B9" s="6">
        <v>45673</v>
      </c>
      <c r="C9" s="48" t="s">
        <v>272</v>
      </c>
      <c r="D9" s="216" t="s">
        <v>273</v>
      </c>
      <c r="E9" s="48" t="s">
        <v>11</v>
      </c>
      <c r="F9" s="217" t="s">
        <v>36</v>
      </c>
      <c r="G9" s="146">
        <v>2</v>
      </c>
      <c r="H9" s="171"/>
      <c r="I9" s="171"/>
      <c r="J9" s="148"/>
      <c r="K9" s="255" t="s">
        <v>14</v>
      </c>
      <c r="L9" s="251">
        <f>P2</f>
        <v>91</v>
      </c>
      <c r="M9" s="260">
        <f>COUNTIF(P3:P196,"&gt;0")</f>
        <v>26</v>
      </c>
      <c r="P9" s="327">
        <v>0</v>
      </c>
      <c r="Q9" s="327">
        <v>0</v>
      </c>
      <c r="R9" s="327">
        <v>0</v>
      </c>
      <c r="S9" s="327">
        <v>0</v>
      </c>
      <c r="T9" s="327">
        <v>0</v>
      </c>
      <c r="U9" s="327">
        <v>0</v>
      </c>
      <c r="V9" s="327">
        <v>0</v>
      </c>
    </row>
    <row r="10" spans="1:22" ht="31.5" customHeight="1">
      <c r="A10" s="99" t="s">
        <v>274</v>
      </c>
      <c r="B10" s="6">
        <v>45675</v>
      </c>
      <c r="C10" s="48" t="s">
        <v>39</v>
      </c>
      <c r="D10" s="216" t="s">
        <v>275</v>
      </c>
      <c r="E10" s="48" t="s">
        <v>14</v>
      </c>
      <c r="F10" s="217" t="s">
        <v>36</v>
      </c>
      <c r="G10" s="146">
        <v>8</v>
      </c>
      <c r="H10" s="171"/>
      <c r="I10" s="171"/>
      <c r="J10" s="148"/>
      <c r="K10" s="256" t="s">
        <v>15</v>
      </c>
      <c r="L10" s="252">
        <f>Q2</f>
        <v>75</v>
      </c>
      <c r="M10" s="231">
        <f>COUNTIF(Q3:Q196,"&gt;0")</f>
        <v>31</v>
      </c>
      <c r="N10" s="118"/>
      <c r="P10" s="327">
        <v>8</v>
      </c>
      <c r="Q10" s="327">
        <v>0</v>
      </c>
      <c r="R10" s="327">
        <v>0</v>
      </c>
      <c r="S10" s="327">
        <v>0</v>
      </c>
      <c r="T10" s="327">
        <v>0</v>
      </c>
      <c r="U10" s="327">
        <v>0</v>
      </c>
      <c r="V10" s="327">
        <v>0</v>
      </c>
    </row>
    <row r="11" spans="1:22" ht="31.5" customHeight="1">
      <c r="A11" s="99" t="s">
        <v>276</v>
      </c>
      <c r="B11" s="6">
        <v>45678</v>
      </c>
      <c r="C11" s="48" t="s">
        <v>277</v>
      </c>
      <c r="D11" s="216" t="s">
        <v>278</v>
      </c>
      <c r="E11" s="48" t="s">
        <v>15</v>
      </c>
      <c r="F11" s="217" t="s">
        <v>36</v>
      </c>
      <c r="G11" s="146">
        <v>5</v>
      </c>
      <c r="H11" s="171"/>
      <c r="I11" s="171"/>
      <c r="J11" s="148"/>
      <c r="K11" s="256" t="s">
        <v>16</v>
      </c>
      <c r="L11" s="252">
        <f>R2</f>
        <v>18</v>
      </c>
      <c r="M11" s="231">
        <f>COUNTIF(R3:R196,"&gt;0")</f>
        <v>11</v>
      </c>
      <c r="P11" s="327">
        <v>0</v>
      </c>
      <c r="Q11" s="327">
        <v>5</v>
      </c>
      <c r="R11" s="327">
        <v>0</v>
      </c>
      <c r="S11" s="327">
        <v>0</v>
      </c>
      <c r="T11" s="327">
        <v>0</v>
      </c>
      <c r="U11" s="327">
        <v>0</v>
      </c>
      <c r="V11" s="327">
        <v>0</v>
      </c>
    </row>
    <row r="12" spans="1:22" ht="31.5" customHeight="1">
      <c r="A12" s="99" t="s">
        <v>279</v>
      </c>
      <c r="B12" s="6">
        <v>45682</v>
      </c>
      <c r="C12" s="48" t="s">
        <v>150</v>
      </c>
      <c r="D12" s="216" t="s">
        <v>280</v>
      </c>
      <c r="E12" s="48" t="s">
        <v>14</v>
      </c>
      <c r="F12" s="217" t="s">
        <v>36</v>
      </c>
      <c r="G12" s="146">
        <v>7</v>
      </c>
      <c r="H12" s="171"/>
      <c r="I12" s="171"/>
      <c r="J12" s="148"/>
      <c r="K12" s="256" t="s">
        <v>17</v>
      </c>
      <c r="L12" s="252">
        <f>S2</f>
        <v>78.5</v>
      </c>
      <c r="M12" s="231">
        <f>COUNTIF(S3:S196,"&gt;0")</f>
        <v>24</v>
      </c>
      <c r="P12" s="327">
        <v>7</v>
      </c>
      <c r="Q12" s="327">
        <v>0</v>
      </c>
      <c r="R12" s="327">
        <v>0</v>
      </c>
      <c r="S12" s="327">
        <v>0</v>
      </c>
      <c r="T12" s="327">
        <v>0</v>
      </c>
      <c r="U12" s="327">
        <v>0</v>
      </c>
      <c r="V12" s="327">
        <v>0</v>
      </c>
    </row>
    <row r="13" spans="1:22" ht="31.5" customHeight="1">
      <c r="A13" s="99" t="s">
        <v>281</v>
      </c>
      <c r="B13" s="6">
        <v>45683</v>
      </c>
      <c r="C13" s="48" t="s">
        <v>282</v>
      </c>
      <c r="D13" s="216" t="s">
        <v>283</v>
      </c>
      <c r="E13" s="48" t="s">
        <v>18</v>
      </c>
      <c r="F13" s="217" t="s">
        <v>31</v>
      </c>
      <c r="G13" s="146">
        <v>9</v>
      </c>
      <c r="H13" s="171"/>
      <c r="I13" s="171"/>
      <c r="J13" s="148"/>
      <c r="K13" s="256" t="s">
        <v>12</v>
      </c>
      <c r="L13" s="252">
        <f>T2</f>
        <v>73</v>
      </c>
      <c r="M13" s="231">
        <f>COUNTIF(T3:T196,"&gt;0")</f>
        <v>25</v>
      </c>
      <c r="P13" s="327">
        <v>0</v>
      </c>
      <c r="Q13" s="327">
        <v>0</v>
      </c>
      <c r="R13" s="327">
        <v>0</v>
      </c>
      <c r="S13" s="327">
        <v>0</v>
      </c>
      <c r="T13" s="327">
        <v>0</v>
      </c>
      <c r="U13" s="327">
        <v>9</v>
      </c>
      <c r="V13" s="327">
        <v>0</v>
      </c>
    </row>
    <row r="14" spans="1:22" ht="31.5" customHeight="1">
      <c r="A14" s="99" t="s">
        <v>281</v>
      </c>
      <c r="B14" s="6">
        <v>45683</v>
      </c>
      <c r="C14" s="48" t="s">
        <v>284</v>
      </c>
      <c r="D14" s="216" t="s">
        <v>283</v>
      </c>
      <c r="E14" s="48" t="s">
        <v>19</v>
      </c>
      <c r="F14" s="217" t="s">
        <v>31</v>
      </c>
      <c r="G14" s="146">
        <v>6</v>
      </c>
      <c r="H14" s="171"/>
      <c r="I14" s="171"/>
      <c r="J14" s="148"/>
      <c r="K14" s="256" t="s">
        <v>18</v>
      </c>
      <c r="L14" s="253">
        <f>U2</f>
        <v>83</v>
      </c>
      <c r="M14" s="231">
        <f>COUNTIF(U3:U196,"&gt;0")</f>
        <v>25</v>
      </c>
      <c r="P14" s="327">
        <v>0</v>
      </c>
      <c r="Q14" s="327">
        <v>0</v>
      </c>
      <c r="R14" s="327">
        <v>0</v>
      </c>
      <c r="S14" s="327">
        <v>0</v>
      </c>
      <c r="T14" s="327">
        <v>0</v>
      </c>
      <c r="U14" s="327">
        <v>0</v>
      </c>
      <c r="V14" s="327">
        <v>6</v>
      </c>
    </row>
    <row r="15" spans="1:22" ht="31.5" customHeight="1">
      <c r="A15" s="269" t="s">
        <v>285</v>
      </c>
      <c r="B15" s="270">
        <v>45687</v>
      </c>
      <c r="C15" s="271" t="s">
        <v>286</v>
      </c>
      <c r="D15" s="272" t="s">
        <v>278</v>
      </c>
      <c r="E15" s="271" t="s">
        <v>19</v>
      </c>
      <c r="F15" s="271" t="s">
        <v>36</v>
      </c>
      <c r="G15" s="302">
        <v>6</v>
      </c>
      <c r="H15" s="317" t="s">
        <v>98</v>
      </c>
      <c r="I15" s="266">
        <f>SUM(G3:G15)</f>
        <v>53</v>
      </c>
      <c r="J15" s="148"/>
      <c r="K15" s="257" t="s">
        <v>19</v>
      </c>
      <c r="L15" s="254">
        <f>V2</f>
        <v>76</v>
      </c>
      <c r="M15" s="238">
        <f>COUNTIF(V3:V196,"&gt;0")</f>
        <v>35</v>
      </c>
      <c r="P15" s="327">
        <v>0</v>
      </c>
      <c r="Q15" s="327">
        <v>0</v>
      </c>
      <c r="R15" s="327">
        <v>0</v>
      </c>
      <c r="S15" s="327">
        <v>0</v>
      </c>
      <c r="T15" s="327">
        <v>0</v>
      </c>
      <c r="U15" s="327">
        <v>0</v>
      </c>
      <c r="V15" s="327">
        <v>6</v>
      </c>
    </row>
    <row r="16" spans="1:22" ht="31.5" customHeight="1">
      <c r="A16" s="101" t="s">
        <v>287</v>
      </c>
      <c r="B16" s="13">
        <v>45693</v>
      </c>
      <c r="C16" s="51" t="s">
        <v>68</v>
      </c>
      <c r="D16" s="75" t="s">
        <v>288</v>
      </c>
      <c r="E16" s="50" t="s">
        <v>14</v>
      </c>
      <c r="F16" s="50" t="s">
        <v>36</v>
      </c>
      <c r="G16" s="219">
        <v>2</v>
      </c>
      <c r="H16" s="171"/>
      <c r="I16" s="171"/>
      <c r="J16" s="148"/>
      <c r="P16" s="327">
        <v>2</v>
      </c>
      <c r="Q16" s="327">
        <v>0</v>
      </c>
      <c r="R16" s="327">
        <v>0</v>
      </c>
      <c r="S16" s="327">
        <v>0</v>
      </c>
      <c r="T16" s="327">
        <v>0</v>
      </c>
      <c r="U16" s="327">
        <v>0</v>
      </c>
      <c r="V16" s="327">
        <v>0</v>
      </c>
    </row>
    <row r="17" spans="1:22" ht="31.5" customHeight="1">
      <c r="A17" s="101" t="s">
        <v>289</v>
      </c>
      <c r="B17" s="13">
        <v>45694</v>
      </c>
      <c r="C17" s="51" t="s">
        <v>29</v>
      </c>
      <c r="D17" s="75" t="s">
        <v>290</v>
      </c>
      <c r="E17" s="50" t="s">
        <v>18</v>
      </c>
      <c r="F17" s="50" t="s">
        <v>36</v>
      </c>
      <c r="G17" s="219">
        <v>1</v>
      </c>
      <c r="H17" s="171"/>
      <c r="I17" s="171"/>
      <c r="J17" s="148"/>
      <c r="K17" s="259" t="s">
        <v>11</v>
      </c>
      <c r="L17" s="258">
        <v>53</v>
      </c>
      <c r="M17" s="250">
        <f>COUNTIF(E3:E196,"Fernando Martín")</f>
        <v>15</v>
      </c>
      <c r="P17" s="327">
        <v>0</v>
      </c>
      <c r="Q17" s="327">
        <v>0</v>
      </c>
      <c r="R17" s="327">
        <v>0</v>
      </c>
      <c r="S17" s="327">
        <v>0</v>
      </c>
      <c r="T17" s="327">
        <v>0</v>
      </c>
      <c r="U17" s="327">
        <v>1</v>
      </c>
      <c r="V17" s="327">
        <v>0</v>
      </c>
    </row>
    <row r="18" spans="1:22" ht="31.5" customHeight="1">
      <c r="A18" s="101" t="s">
        <v>291</v>
      </c>
      <c r="B18" s="13">
        <v>45694</v>
      </c>
      <c r="C18" s="51" t="s">
        <v>145</v>
      </c>
      <c r="D18" s="75" t="s">
        <v>292</v>
      </c>
      <c r="E18" s="50" t="s">
        <v>18</v>
      </c>
      <c r="F18" s="50" t="s">
        <v>36</v>
      </c>
      <c r="G18" s="219">
        <v>2</v>
      </c>
      <c r="H18" s="171"/>
      <c r="I18" s="171"/>
      <c r="J18" s="148"/>
      <c r="P18" s="327">
        <v>0</v>
      </c>
      <c r="Q18" s="327">
        <v>0</v>
      </c>
      <c r="R18" s="327">
        <v>0</v>
      </c>
      <c r="S18" s="327">
        <v>0</v>
      </c>
      <c r="T18" s="327">
        <v>0</v>
      </c>
      <c r="U18" s="327">
        <v>2</v>
      </c>
      <c r="V18" s="327">
        <v>0</v>
      </c>
    </row>
    <row r="19" spans="1:22" ht="31.5" customHeight="1">
      <c r="A19" s="101" t="s">
        <v>293</v>
      </c>
      <c r="B19" s="13">
        <v>45696</v>
      </c>
      <c r="C19" s="51" t="s">
        <v>160</v>
      </c>
      <c r="D19" s="75" t="s">
        <v>280</v>
      </c>
      <c r="E19" s="50" t="s">
        <v>17</v>
      </c>
      <c r="F19" s="50" t="s">
        <v>36</v>
      </c>
      <c r="G19" s="219">
        <v>9</v>
      </c>
      <c r="H19" s="171"/>
      <c r="I19" s="171"/>
      <c r="J19" s="148"/>
      <c r="P19" s="327">
        <v>0</v>
      </c>
      <c r="Q19" s="327">
        <v>0</v>
      </c>
      <c r="R19" s="327">
        <v>0</v>
      </c>
      <c r="S19" s="327">
        <v>9</v>
      </c>
      <c r="T19" s="327">
        <v>0</v>
      </c>
      <c r="U19" s="327">
        <v>0</v>
      </c>
      <c r="V19" s="327">
        <v>0</v>
      </c>
    </row>
    <row r="20" spans="1:22" ht="31.5" customHeight="1">
      <c r="A20" s="101" t="s">
        <v>294</v>
      </c>
      <c r="B20" s="13">
        <v>45698</v>
      </c>
      <c r="C20" s="51" t="s">
        <v>72</v>
      </c>
      <c r="D20" s="75" t="s">
        <v>295</v>
      </c>
      <c r="E20" s="50" t="s">
        <v>12</v>
      </c>
      <c r="F20" s="50" t="s">
        <v>36</v>
      </c>
      <c r="G20" s="219">
        <v>3</v>
      </c>
      <c r="H20" s="171"/>
      <c r="I20" s="171"/>
      <c r="J20" s="148"/>
      <c r="K20" t="s">
        <v>82</v>
      </c>
      <c r="L20" s="42">
        <f>SUM(L9:L17)</f>
        <v>547.5</v>
      </c>
      <c r="P20" s="327">
        <v>0</v>
      </c>
      <c r="Q20" s="327">
        <v>0</v>
      </c>
      <c r="R20" s="327">
        <v>0</v>
      </c>
      <c r="S20" s="327">
        <v>0</v>
      </c>
      <c r="T20" s="327">
        <v>3</v>
      </c>
      <c r="U20" s="327">
        <v>0</v>
      </c>
      <c r="V20" s="327">
        <v>0</v>
      </c>
    </row>
    <row r="21" spans="1:22" ht="31.5" customHeight="1">
      <c r="A21" s="101" t="s">
        <v>296</v>
      </c>
      <c r="B21" s="13">
        <v>45699</v>
      </c>
      <c r="C21" s="51" t="s">
        <v>297</v>
      </c>
      <c r="D21" s="75" t="s">
        <v>298</v>
      </c>
      <c r="E21" s="50" t="s">
        <v>17</v>
      </c>
      <c r="F21" s="50" t="s">
        <v>36</v>
      </c>
      <c r="G21" s="219">
        <v>2</v>
      </c>
      <c r="H21" s="171"/>
      <c r="I21" s="171"/>
      <c r="J21" s="148"/>
      <c r="K21" t="s">
        <v>85</v>
      </c>
      <c r="M21">
        <f>SUM(M9:M17)</f>
        <v>192</v>
      </c>
      <c r="P21" s="327">
        <v>0</v>
      </c>
      <c r="Q21" s="327">
        <v>0</v>
      </c>
      <c r="R21" s="327">
        <v>0</v>
      </c>
      <c r="S21" s="327">
        <v>2</v>
      </c>
      <c r="T21" s="327">
        <v>0</v>
      </c>
      <c r="U21" s="327">
        <v>0</v>
      </c>
      <c r="V21" s="327">
        <v>0</v>
      </c>
    </row>
    <row r="22" spans="1:22" ht="31.5" customHeight="1">
      <c r="A22" s="101" t="s">
        <v>299</v>
      </c>
      <c r="B22" s="13">
        <v>45700</v>
      </c>
      <c r="C22" s="51" t="s">
        <v>300</v>
      </c>
      <c r="D22" s="75" t="s">
        <v>278</v>
      </c>
      <c r="E22" s="50" t="s">
        <v>15</v>
      </c>
      <c r="F22" s="50" t="s">
        <v>36</v>
      </c>
      <c r="G22" s="219">
        <v>3</v>
      </c>
      <c r="H22" s="171"/>
      <c r="I22" s="171"/>
      <c r="J22" s="148"/>
      <c r="K22" t="s">
        <v>88</v>
      </c>
      <c r="L22" s="42">
        <f>L20/12</f>
        <v>45.625</v>
      </c>
      <c r="M22">
        <f>M21/12</f>
        <v>16</v>
      </c>
      <c r="P22" s="327">
        <v>0</v>
      </c>
      <c r="Q22" s="327">
        <v>3</v>
      </c>
      <c r="R22" s="327">
        <v>0</v>
      </c>
      <c r="S22" s="327">
        <v>0</v>
      </c>
      <c r="T22" s="327">
        <v>0</v>
      </c>
      <c r="U22" s="327">
        <v>0</v>
      </c>
      <c r="V22" s="327">
        <v>0</v>
      </c>
    </row>
    <row r="23" spans="1:22" ht="31.5" customHeight="1">
      <c r="A23" s="101" t="s">
        <v>301</v>
      </c>
      <c r="B23" s="13">
        <v>45701</v>
      </c>
      <c r="C23" s="51" t="s">
        <v>297</v>
      </c>
      <c r="D23" s="75" t="s">
        <v>302</v>
      </c>
      <c r="E23" s="50" t="s">
        <v>14</v>
      </c>
      <c r="F23" s="50" t="s">
        <v>36</v>
      </c>
      <c r="G23" s="219">
        <v>2</v>
      </c>
      <c r="H23" s="171"/>
      <c r="I23" s="171"/>
      <c r="J23" s="148"/>
      <c r="P23" s="327">
        <v>2</v>
      </c>
      <c r="Q23" s="327">
        <v>0</v>
      </c>
      <c r="R23" s="327">
        <v>0</v>
      </c>
      <c r="S23" s="327">
        <v>0</v>
      </c>
      <c r="T23" s="327">
        <v>0</v>
      </c>
      <c r="U23" s="327">
        <v>0</v>
      </c>
      <c r="V23" s="327">
        <v>0</v>
      </c>
    </row>
    <row r="24" spans="1:22" ht="31.5" customHeight="1">
      <c r="A24" s="101" t="s">
        <v>303</v>
      </c>
      <c r="B24" s="13">
        <v>45702</v>
      </c>
      <c r="C24" s="51" t="s">
        <v>304</v>
      </c>
      <c r="D24" s="75" t="s">
        <v>305</v>
      </c>
      <c r="E24" s="50" t="s">
        <v>14</v>
      </c>
      <c r="F24" s="50" t="s">
        <v>36</v>
      </c>
      <c r="G24" s="219">
        <v>7</v>
      </c>
      <c r="H24" s="171"/>
      <c r="I24" s="171"/>
      <c r="J24" s="148"/>
      <c r="P24" s="327">
        <v>7</v>
      </c>
      <c r="Q24" s="327">
        <v>0</v>
      </c>
      <c r="R24" s="327">
        <v>0</v>
      </c>
      <c r="S24" s="327">
        <v>0</v>
      </c>
      <c r="T24" s="327">
        <v>0</v>
      </c>
      <c r="U24" s="327">
        <v>0</v>
      </c>
      <c r="V24" s="327">
        <v>0</v>
      </c>
    </row>
    <row r="25" spans="1:22" ht="31.5" customHeight="1">
      <c r="A25" s="101" t="s">
        <v>306</v>
      </c>
      <c r="B25" s="13">
        <v>45703</v>
      </c>
      <c r="C25" s="51" t="s">
        <v>307</v>
      </c>
      <c r="D25" s="75" t="s">
        <v>280</v>
      </c>
      <c r="E25" s="50" t="s">
        <v>17</v>
      </c>
      <c r="F25" s="50" t="s">
        <v>36</v>
      </c>
      <c r="G25" s="219">
        <v>14</v>
      </c>
      <c r="H25" s="171"/>
      <c r="I25" s="171"/>
      <c r="J25" s="148"/>
      <c r="P25" s="327">
        <v>0</v>
      </c>
      <c r="Q25" s="327">
        <v>0</v>
      </c>
      <c r="R25" s="327">
        <v>0</v>
      </c>
      <c r="S25" s="327">
        <v>14</v>
      </c>
      <c r="T25" s="327">
        <v>0</v>
      </c>
      <c r="U25" s="327">
        <v>0</v>
      </c>
      <c r="V25" s="327">
        <v>0</v>
      </c>
    </row>
    <row r="26" spans="1:22" ht="31.5" customHeight="1">
      <c r="A26" s="101" t="s">
        <v>308</v>
      </c>
      <c r="B26" s="13">
        <v>45703</v>
      </c>
      <c r="C26" s="51" t="s">
        <v>309</v>
      </c>
      <c r="D26" s="75" t="s">
        <v>310</v>
      </c>
      <c r="E26" s="50" t="s">
        <v>12</v>
      </c>
      <c r="F26" s="50" t="s">
        <v>36</v>
      </c>
      <c r="G26" s="219">
        <v>3</v>
      </c>
      <c r="H26" s="171"/>
      <c r="I26" s="171"/>
      <c r="J26" s="148"/>
      <c r="P26" s="327">
        <v>0</v>
      </c>
      <c r="Q26" s="327">
        <v>0</v>
      </c>
      <c r="R26" s="327">
        <v>0</v>
      </c>
      <c r="S26" s="327">
        <v>0</v>
      </c>
      <c r="T26" s="327">
        <v>3</v>
      </c>
      <c r="U26" s="327">
        <v>0</v>
      </c>
      <c r="V26" s="327">
        <v>0</v>
      </c>
    </row>
    <row r="27" spans="1:22" ht="31.5" customHeight="1">
      <c r="A27" s="101" t="s">
        <v>311</v>
      </c>
      <c r="B27" s="13">
        <v>45705</v>
      </c>
      <c r="C27" s="51" t="s">
        <v>68</v>
      </c>
      <c r="D27" s="75" t="s">
        <v>312</v>
      </c>
      <c r="E27" s="50" t="s">
        <v>12</v>
      </c>
      <c r="F27" s="50" t="s">
        <v>36</v>
      </c>
      <c r="G27" s="219">
        <v>2</v>
      </c>
      <c r="H27" s="171"/>
      <c r="I27" s="171"/>
      <c r="J27" s="148"/>
      <c r="P27" s="327">
        <v>0</v>
      </c>
      <c r="Q27" s="327">
        <v>0</v>
      </c>
      <c r="R27" s="327">
        <v>0</v>
      </c>
      <c r="S27" s="327">
        <v>0</v>
      </c>
      <c r="T27" s="327">
        <v>2</v>
      </c>
      <c r="U27" s="327">
        <v>0</v>
      </c>
      <c r="V27" s="327">
        <v>0</v>
      </c>
    </row>
    <row r="28" spans="1:22" ht="31.5" customHeight="1">
      <c r="A28" s="101" t="s">
        <v>313</v>
      </c>
      <c r="B28" s="13">
        <v>45706</v>
      </c>
      <c r="C28" s="51" t="s">
        <v>29</v>
      </c>
      <c r="D28" s="75" t="s">
        <v>314</v>
      </c>
      <c r="E28" s="50" t="s">
        <v>14</v>
      </c>
      <c r="F28" s="50" t="s">
        <v>36</v>
      </c>
      <c r="G28" s="219">
        <v>1</v>
      </c>
      <c r="H28" s="171"/>
      <c r="I28" s="171"/>
      <c r="J28" s="148"/>
      <c r="P28" s="327">
        <v>1</v>
      </c>
      <c r="Q28" s="327">
        <v>0</v>
      </c>
      <c r="R28" s="327">
        <v>0</v>
      </c>
      <c r="S28" s="327">
        <v>0</v>
      </c>
      <c r="T28" s="327">
        <v>0</v>
      </c>
      <c r="U28" s="327">
        <v>0</v>
      </c>
      <c r="V28" s="327">
        <v>0</v>
      </c>
    </row>
    <row r="29" spans="1:22" ht="31.5" customHeight="1">
      <c r="A29" s="101" t="s">
        <v>315</v>
      </c>
      <c r="B29" s="13">
        <v>45707</v>
      </c>
      <c r="C29" s="51" t="s">
        <v>297</v>
      </c>
      <c r="D29" s="75" t="s">
        <v>316</v>
      </c>
      <c r="E29" s="50" t="s">
        <v>18</v>
      </c>
      <c r="F29" s="50" t="s">
        <v>36</v>
      </c>
      <c r="G29" s="219">
        <v>2</v>
      </c>
      <c r="H29" s="171"/>
      <c r="I29" s="171"/>
      <c r="J29" s="148"/>
      <c r="P29" s="327">
        <v>0</v>
      </c>
      <c r="Q29" s="327">
        <v>0</v>
      </c>
      <c r="R29" s="327">
        <v>0</v>
      </c>
      <c r="S29" s="327">
        <v>0</v>
      </c>
      <c r="T29" s="327">
        <v>0</v>
      </c>
      <c r="U29" s="327">
        <v>2</v>
      </c>
      <c r="V29" s="327">
        <v>0</v>
      </c>
    </row>
    <row r="30" spans="1:22" ht="31.5" customHeight="1">
      <c r="A30" s="101" t="s">
        <v>317</v>
      </c>
      <c r="B30" s="13">
        <v>45708</v>
      </c>
      <c r="C30" s="51" t="s">
        <v>318</v>
      </c>
      <c r="D30" s="75" t="s">
        <v>319</v>
      </c>
      <c r="E30" s="50" t="s">
        <v>18</v>
      </c>
      <c r="F30" s="50" t="s">
        <v>36</v>
      </c>
      <c r="G30" s="219">
        <v>2</v>
      </c>
      <c r="H30" s="171"/>
      <c r="I30" s="171"/>
      <c r="J30" s="148"/>
      <c r="P30" s="327">
        <v>0</v>
      </c>
      <c r="Q30" s="327">
        <v>0</v>
      </c>
      <c r="R30" s="327">
        <v>0</v>
      </c>
      <c r="S30" s="327">
        <v>0</v>
      </c>
      <c r="T30" s="327">
        <v>0</v>
      </c>
      <c r="U30" s="327">
        <v>2</v>
      </c>
      <c r="V30" s="327">
        <v>0</v>
      </c>
    </row>
    <row r="31" spans="1:22" ht="31.5" customHeight="1">
      <c r="A31" s="101" t="s">
        <v>320</v>
      </c>
      <c r="B31" s="13">
        <v>45710</v>
      </c>
      <c r="C31" s="51" t="s">
        <v>150</v>
      </c>
      <c r="D31" s="75" t="s">
        <v>280</v>
      </c>
      <c r="E31" s="50" t="s">
        <v>11</v>
      </c>
      <c r="F31" s="50" t="s">
        <v>36</v>
      </c>
      <c r="G31" s="219">
        <v>7</v>
      </c>
      <c r="H31" s="171"/>
      <c r="I31" s="171"/>
      <c r="J31" s="148"/>
      <c r="P31" s="327">
        <v>0</v>
      </c>
      <c r="Q31" s="327">
        <v>0</v>
      </c>
      <c r="R31" s="327">
        <v>0</v>
      </c>
      <c r="S31" s="327">
        <v>0</v>
      </c>
      <c r="T31" s="327">
        <v>0</v>
      </c>
      <c r="U31" s="327">
        <v>0</v>
      </c>
      <c r="V31" s="327">
        <v>0</v>
      </c>
    </row>
    <row r="32" spans="1:22" ht="31.5" customHeight="1">
      <c r="A32" s="101" t="s">
        <v>321</v>
      </c>
      <c r="B32" s="13">
        <v>45712</v>
      </c>
      <c r="C32" s="51" t="s">
        <v>102</v>
      </c>
      <c r="D32" s="75" t="s">
        <v>322</v>
      </c>
      <c r="E32" s="50" t="s">
        <v>19</v>
      </c>
      <c r="F32" s="50" t="s">
        <v>36</v>
      </c>
      <c r="G32" s="219">
        <v>1</v>
      </c>
      <c r="H32" s="171"/>
      <c r="I32" s="171"/>
      <c r="J32" s="148"/>
      <c r="P32" s="327">
        <v>0</v>
      </c>
      <c r="Q32" s="327">
        <v>0</v>
      </c>
      <c r="R32" s="327">
        <v>0</v>
      </c>
      <c r="S32" s="327">
        <v>0</v>
      </c>
      <c r="T32" s="327">
        <v>0</v>
      </c>
      <c r="U32" s="327">
        <v>0</v>
      </c>
      <c r="V32" s="327">
        <v>1</v>
      </c>
    </row>
    <row r="33" spans="1:22" ht="31.5" customHeight="1">
      <c r="A33" s="220" t="s">
        <v>323</v>
      </c>
      <c r="B33" s="221">
        <v>45713</v>
      </c>
      <c r="C33" s="52" t="s">
        <v>29</v>
      </c>
      <c r="D33" s="76" t="s">
        <v>324</v>
      </c>
      <c r="E33" s="222" t="s">
        <v>14</v>
      </c>
      <c r="F33" s="222" t="s">
        <v>36</v>
      </c>
      <c r="G33" s="284">
        <v>1</v>
      </c>
      <c r="H33" s="171"/>
      <c r="I33" s="171"/>
      <c r="J33" s="148"/>
      <c r="P33" s="327">
        <v>1</v>
      </c>
      <c r="Q33" s="327">
        <v>0</v>
      </c>
      <c r="R33" s="327">
        <v>0</v>
      </c>
      <c r="S33" s="327">
        <v>0</v>
      </c>
      <c r="T33" s="327">
        <v>0</v>
      </c>
      <c r="U33" s="327">
        <v>0</v>
      </c>
      <c r="V33" s="327">
        <v>0</v>
      </c>
    </row>
    <row r="34" spans="1:22" ht="31.5" customHeight="1">
      <c r="A34" s="167" t="s">
        <v>325</v>
      </c>
      <c r="B34" s="168">
        <v>45714</v>
      </c>
      <c r="C34" s="170" t="s">
        <v>326</v>
      </c>
      <c r="D34" s="169" t="s">
        <v>327</v>
      </c>
      <c r="E34" s="170" t="s">
        <v>19</v>
      </c>
      <c r="F34" s="170" t="s">
        <v>36</v>
      </c>
      <c r="G34" s="189">
        <v>2</v>
      </c>
      <c r="H34" s="175" t="s">
        <v>98</v>
      </c>
      <c r="I34" s="174">
        <f>SUM(G16:G34)</f>
        <v>66</v>
      </c>
      <c r="J34" s="148"/>
      <c r="P34" s="327">
        <v>0</v>
      </c>
      <c r="Q34" s="327">
        <v>0</v>
      </c>
      <c r="R34" s="327">
        <v>0</v>
      </c>
      <c r="S34" s="327">
        <v>0</v>
      </c>
      <c r="T34" s="327">
        <v>0</v>
      </c>
      <c r="U34" s="327">
        <v>0</v>
      </c>
      <c r="V34" s="327">
        <v>2</v>
      </c>
    </row>
    <row r="35" spans="1:22" ht="31.5" customHeight="1">
      <c r="A35" s="190" t="s">
        <v>328</v>
      </c>
      <c r="B35" s="191">
        <v>45719</v>
      </c>
      <c r="C35" s="193" t="s">
        <v>102</v>
      </c>
      <c r="D35" s="192" t="s">
        <v>329</v>
      </c>
      <c r="E35" s="193" t="s">
        <v>18</v>
      </c>
      <c r="F35" s="193" t="s">
        <v>36</v>
      </c>
      <c r="G35" s="194">
        <v>1</v>
      </c>
      <c r="H35" s="171"/>
      <c r="I35" s="171"/>
      <c r="J35" s="148"/>
      <c r="P35" s="327">
        <v>0</v>
      </c>
      <c r="Q35" s="327">
        <v>0</v>
      </c>
      <c r="R35" s="327">
        <v>0</v>
      </c>
      <c r="S35" s="327">
        <v>0</v>
      </c>
      <c r="T35" s="327">
        <v>0</v>
      </c>
      <c r="U35" s="327">
        <v>1</v>
      </c>
      <c r="V35" s="327">
        <v>0</v>
      </c>
    </row>
    <row r="36" spans="1:22" ht="31.5" customHeight="1">
      <c r="A36" s="105" t="s">
        <v>330</v>
      </c>
      <c r="B36" s="4">
        <v>45720</v>
      </c>
      <c r="C36" s="54" t="s">
        <v>29</v>
      </c>
      <c r="D36" s="78" t="s">
        <v>331</v>
      </c>
      <c r="E36" s="54" t="s">
        <v>19</v>
      </c>
      <c r="F36" s="54" t="s">
        <v>36</v>
      </c>
      <c r="G36" s="151">
        <v>1</v>
      </c>
      <c r="H36" s="171"/>
      <c r="I36" s="171"/>
      <c r="J36" s="148"/>
      <c r="P36" s="327">
        <v>0</v>
      </c>
      <c r="Q36" s="327">
        <v>0</v>
      </c>
      <c r="R36" s="327">
        <v>0</v>
      </c>
      <c r="S36" s="327">
        <v>0</v>
      </c>
      <c r="T36" s="327">
        <v>0</v>
      </c>
      <c r="U36" s="327">
        <v>0</v>
      </c>
      <c r="V36" s="327">
        <v>1</v>
      </c>
    </row>
    <row r="37" spans="1:22" ht="31.5" customHeight="1">
      <c r="A37" s="105" t="s">
        <v>332</v>
      </c>
      <c r="B37" s="4">
        <v>45721</v>
      </c>
      <c r="C37" s="54" t="s">
        <v>333</v>
      </c>
      <c r="D37" s="78" t="s">
        <v>334</v>
      </c>
      <c r="E37" s="54" t="s">
        <v>18</v>
      </c>
      <c r="F37" s="54" t="s">
        <v>36</v>
      </c>
      <c r="G37" s="151">
        <v>2</v>
      </c>
      <c r="H37" s="171"/>
      <c r="I37" s="171"/>
      <c r="J37" s="148"/>
      <c r="P37" s="327">
        <v>0</v>
      </c>
      <c r="Q37" s="327">
        <v>0</v>
      </c>
      <c r="R37" s="327">
        <v>0</v>
      </c>
      <c r="S37" s="327">
        <v>0</v>
      </c>
      <c r="T37" s="327">
        <v>0</v>
      </c>
      <c r="U37" s="327">
        <v>2</v>
      </c>
      <c r="V37" s="327">
        <v>0</v>
      </c>
    </row>
    <row r="38" spans="1:22" ht="31.5" customHeight="1">
      <c r="A38" s="105" t="s">
        <v>335</v>
      </c>
      <c r="B38" s="4">
        <v>45724</v>
      </c>
      <c r="C38" s="54" t="s">
        <v>150</v>
      </c>
      <c r="D38" s="78" t="s">
        <v>280</v>
      </c>
      <c r="E38" s="54" t="s">
        <v>17</v>
      </c>
      <c r="F38" s="54" t="s">
        <v>36</v>
      </c>
      <c r="G38" s="151">
        <v>7</v>
      </c>
      <c r="H38" s="171"/>
      <c r="I38" s="171"/>
      <c r="J38" s="148"/>
      <c r="P38" s="327">
        <v>0</v>
      </c>
      <c r="Q38" s="327">
        <v>0</v>
      </c>
      <c r="R38" s="327">
        <v>0</v>
      </c>
      <c r="S38" s="327">
        <v>7</v>
      </c>
      <c r="T38" s="327">
        <v>0</v>
      </c>
      <c r="U38" s="327">
        <v>0</v>
      </c>
      <c r="V38" s="327">
        <v>0</v>
      </c>
    </row>
    <row r="39" spans="1:22" ht="31.5" customHeight="1">
      <c r="A39" s="105" t="s">
        <v>336</v>
      </c>
      <c r="B39" s="4">
        <v>45725</v>
      </c>
      <c r="C39" s="54" t="s">
        <v>116</v>
      </c>
      <c r="D39" s="78" t="s">
        <v>337</v>
      </c>
      <c r="E39" s="54" t="s">
        <v>18</v>
      </c>
      <c r="F39" s="54" t="s">
        <v>36</v>
      </c>
      <c r="G39" s="151">
        <v>5</v>
      </c>
      <c r="H39" s="171"/>
      <c r="I39" s="171"/>
      <c r="J39" s="148"/>
      <c r="P39" s="327">
        <v>0</v>
      </c>
      <c r="Q39" s="327">
        <v>0</v>
      </c>
      <c r="R39" s="327">
        <v>0</v>
      </c>
      <c r="S39" s="327">
        <v>0</v>
      </c>
      <c r="T39" s="327">
        <v>0</v>
      </c>
      <c r="U39" s="327">
        <v>5</v>
      </c>
      <c r="V39" s="327">
        <v>0</v>
      </c>
    </row>
    <row r="40" spans="1:22" ht="31.5" customHeight="1">
      <c r="A40" s="105" t="s">
        <v>338</v>
      </c>
      <c r="B40" s="4">
        <v>45726</v>
      </c>
      <c r="C40" s="54" t="s">
        <v>102</v>
      </c>
      <c r="D40" s="78" t="s">
        <v>339</v>
      </c>
      <c r="E40" s="54" t="s">
        <v>12</v>
      </c>
      <c r="F40" s="54" t="s">
        <v>36</v>
      </c>
      <c r="G40" s="151">
        <v>1</v>
      </c>
      <c r="H40" s="171"/>
      <c r="I40" s="171"/>
      <c r="J40" s="148"/>
      <c r="P40" s="327">
        <v>0</v>
      </c>
      <c r="Q40" s="327">
        <v>0</v>
      </c>
      <c r="R40" s="327">
        <v>0</v>
      </c>
      <c r="S40" s="327">
        <v>0</v>
      </c>
      <c r="T40" s="327">
        <v>1</v>
      </c>
      <c r="U40" s="327">
        <v>0</v>
      </c>
      <c r="V40" s="327">
        <v>0</v>
      </c>
    </row>
    <row r="41" spans="1:22" ht="31.5" customHeight="1">
      <c r="A41" s="105" t="s">
        <v>340</v>
      </c>
      <c r="B41" s="4">
        <v>45727</v>
      </c>
      <c r="C41" s="54" t="s">
        <v>68</v>
      </c>
      <c r="D41" s="78" t="s">
        <v>341</v>
      </c>
      <c r="E41" s="54" t="s">
        <v>12</v>
      </c>
      <c r="F41" s="54" t="s">
        <v>36</v>
      </c>
      <c r="G41" s="151">
        <v>2</v>
      </c>
      <c r="H41" s="171"/>
      <c r="I41" s="171"/>
      <c r="J41" s="148"/>
      <c r="P41" s="327">
        <v>0</v>
      </c>
      <c r="Q41" s="327">
        <v>0</v>
      </c>
      <c r="R41" s="327">
        <v>0</v>
      </c>
      <c r="S41" s="327">
        <v>0</v>
      </c>
      <c r="T41" s="327">
        <v>2</v>
      </c>
      <c r="U41" s="327">
        <v>0</v>
      </c>
      <c r="V41" s="327">
        <v>0</v>
      </c>
    </row>
    <row r="42" spans="1:22" ht="31.5" customHeight="1">
      <c r="A42" s="105" t="s">
        <v>342</v>
      </c>
      <c r="B42" s="4">
        <v>45728</v>
      </c>
      <c r="C42" s="54" t="s">
        <v>29</v>
      </c>
      <c r="D42" s="78" t="s">
        <v>343</v>
      </c>
      <c r="E42" s="54" t="s">
        <v>15</v>
      </c>
      <c r="F42" s="54" t="s">
        <v>36</v>
      </c>
      <c r="G42" s="151">
        <v>1</v>
      </c>
      <c r="H42" s="171"/>
      <c r="I42" s="171"/>
      <c r="J42" s="148"/>
      <c r="P42" s="327">
        <v>0</v>
      </c>
      <c r="Q42" s="327">
        <v>1</v>
      </c>
      <c r="R42" s="327">
        <v>0</v>
      </c>
      <c r="S42" s="327">
        <v>0</v>
      </c>
      <c r="T42" s="327">
        <v>0</v>
      </c>
      <c r="U42" s="327">
        <v>0</v>
      </c>
      <c r="V42" s="327">
        <v>0</v>
      </c>
    </row>
    <row r="43" spans="1:22" ht="31.5" customHeight="1">
      <c r="A43" s="105" t="s">
        <v>344</v>
      </c>
      <c r="B43" s="4">
        <v>45729</v>
      </c>
      <c r="C43" s="54" t="s">
        <v>345</v>
      </c>
      <c r="D43" s="78" t="s">
        <v>346</v>
      </c>
      <c r="E43" s="54" t="s">
        <v>19</v>
      </c>
      <c r="F43" s="54" t="s">
        <v>36</v>
      </c>
      <c r="G43" s="151">
        <v>1</v>
      </c>
      <c r="J43" s="148"/>
      <c r="K43" s="196" t="s">
        <v>347</v>
      </c>
      <c r="P43" s="327">
        <v>0</v>
      </c>
      <c r="Q43" s="327">
        <v>0</v>
      </c>
      <c r="R43" s="327">
        <v>0</v>
      </c>
      <c r="S43" s="327">
        <v>0</v>
      </c>
      <c r="T43" s="327">
        <v>0</v>
      </c>
      <c r="U43" s="327">
        <v>0</v>
      </c>
      <c r="V43" s="327">
        <v>1</v>
      </c>
    </row>
    <row r="44" spans="1:22" ht="31.5" customHeight="1">
      <c r="A44" s="105" t="s">
        <v>348</v>
      </c>
      <c r="B44" s="4">
        <v>45729</v>
      </c>
      <c r="C44" s="54" t="s">
        <v>349</v>
      </c>
      <c r="D44" s="78" t="s">
        <v>350</v>
      </c>
      <c r="E44" s="54" t="s">
        <v>19</v>
      </c>
      <c r="F44" s="54" t="s">
        <v>31</v>
      </c>
      <c r="G44" s="151">
        <v>1</v>
      </c>
      <c r="H44" s="171"/>
      <c r="I44" s="171"/>
      <c r="J44" s="148"/>
      <c r="P44" s="327">
        <v>0</v>
      </c>
      <c r="Q44" s="327">
        <v>0</v>
      </c>
      <c r="R44" s="327">
        <v>0</v>
      </c>
      <c r="S44" s="327">
        <v>0</v>
      </c>
      <c r="T44" s="327">
        <v>0</v>
      </c>
      <c r="U44" s="327">
        <v>0</v>
      </c>
      <c r="V44" s="327">
        <v>1</v>
      </c>
    </row>
    <row r="45" spans="1:22" ht="31.5" customHeight="1">
      <c r="A45" s="105" t="s">
        <v>351</v>
      </c>
      <c r="B45" s="4">
        <v>45731</v>
      </c>
      <c r="C45" s="54" t="s">
        <v>352</v>
      </c>
      <c r="D45" s="78" t="s">
        <v>353</v>
      </c>
      <c r="E45" s="54" t="s">
        <v>12</v>
      </c>
      <c r="F45" s="54" t="s">
        <v>31</v>
      </c>
      <c r="G45" s="151">
        <v>3</v>
      </c>
      <c r="H45" s="171"/>
      <c r="I45" s="171"/>
      <c r="J45" s="148"/>
      <c r="P45" s="327">
        <v>0</v>
      </c>
      <c r="Q45" s="327">
        <v>0</v>
      </c>
      <c r="R45" s="327">
        <v>0</v>
      </c>
      <c r="S45" s="327">
        <v>0</v>
      </c>
      <c r="T45" s="327">
        <v>3</v>
      </c>
      <c r="U45" s="327">
        <v>0</v>
      </c>
      <c r="V45" s="327">
        <v>0</v>
      </c>
    </row>
    <row r="46" spans="1:22" ht="31.5" customHeight="1">
      <c r="A46" s="105" t="s">
        <v>354</v>
      </c>
      <c r="B46" s="4">
        <v>45731</v>
      </c>
      <c r="C46" s="54" t="s">
        <v>150</v>
      </c>
      <c r="D46" s="78" t="s">
        <v>280</v>
      </c>
      <c r="E46" s="54" t="s">
        <v>15</v>
      </c>
      <c r="F46" s="54" t="s">
        <v>36</v>
      </c>
      <c r="G46" s="151">
        <v>7</v>
      </c>
      <c r="H46" s="171"/>
      <c r="I46" s="171"/>
      <c r="J46" s="148"/>
      <c r="P46" s="327">
        <v>0</v>
      </c>
      <c r="Q46" s="327">
        <v>7</v>
      </c>
      <c r="R46" s="327">
        <v>0</v>
      </c>
      <c r="S46" s="327">
        <v>0</v>
      </c>
      <c r="T46" s="327">
        <v>0</v>
      </c>
      <c r="U46" s="327">
        <v>0</v>
      </c>
      <c r="V46" s="327">
        <v>0</v>
      </c>
    </row>
    <row r="47" spans="1:22" ht="31.5" customHeight="1">
      <c r="A47" s="105" t="s">
        <v>355</v>
      </c>
      <c r="B47" s="4">
        <v>45733</v>
      </c>
      <c r="C47" s="54" t="s">
        <v>68</v>
      </c>
      <c r="D47" s="78" t="s">
        <v>356</v>
      </c>
      <c r="E47" s="54" t="s">
        <v>14</v>
      </c>
      <c r="F47" s="54" t="s">
        <v>36</v>
      </c>
      <c r="G47" s="151">
        <v>0</v>
      </c>
      <c r="H47" s="171"/>
      <c r="J47" s="148"/>
      <c r="K47" s="196" t="s">
        <v>138</v>
      </c>
      <c r="P47" s="327">
        <v>0</v>
      </c>
      <c r="Q47" s="327">
        <v>0</v>
      </c>
      <c r="R47" s="327">
        <v>0</v>
      </c>
      <c r="S47" s="327">
        <v>0</v>
      </c>
      <c r="T47" s="327">
        <v>0</v>
      </c>
      <c r="U47" s="327">
        <v>0</v>
      </c>
      <c r="V47" s="327">
        <v>0</v>
      </c>
    </row>
    <row r="48" spans="1:22" ht="31.5" customHeight="1">
      <c r="A48" s="105" t="s">
        <v>355</v>
      </c>
      <c r="B48" s="4">
        <v>45733</v>
      </c>
      <c r="C48" s="54" t="s">
        <v>68</v>
      </c>
      <c r="D48" s="78" t="s">
        <v>356</v>
      </c>
      <c r="E48" s="54" t="s">
        <v>18</v>
      </c>
      <c r="F48" s="54" t="s">
        <v>36</v>
      </c>
      <c r="G48" s="151">
        <v>0</v>
      </c>
      <c r="H48" s="171"/>
      <c r="J48" s="148"/>
      <c r="K48" s="196" t="s">
        <v>138</v>
      </c>
      <c r="P48" s="327">
        <v>0</v>
      </c>
      <c r="Q48" s="327">
        <v>0</v>
      </c>
      <c r="R48" s="327">
        <v>0</v>
      </c>
      <c r="S48" s="327">
        <v>0</v>
      </c>
      <c r="T48" s="327">
        <v>0</v>
      </c>
      <c r="U48" s="327">
        <v>0</v>
      </c>
      <c r="V48" s="327">
        <v>0</v>
      </c>
    </row>
    <row r="49" spans="1:22" ht="31.5" customHeight="1">
      <c r="A49" s="105" t="s">
        <v>357</v>
      </c>
      <c r="B49" s="4">
        <v>45733</v>
      </c>
      <c r="C49" s="54" t="s">
        <v>358</v>
      </c>
      <c r="D49" s="78" t="s">
        <v>359</v>
      </c>
      <c r="E49" s="54" t="s">
        <v>14</v>
      </c>
      <c r="F49" s="54" t="s">
        <v>36</v>
      </c>
      <c r="G49" s="151">
        <v>5</v>
      </c>
      <c r="H49" s="171"/>
      <c r="J49" s="148"/>
      <c r="K49" s="196" t="s">
        <v>360</v>
      </c>
      <c r="P49" s="327">
        <v>5</v>
      </c>
      <c r="Q49" s="327">
        <v>0</v>
      </c>
      <c r="R49" s="327">
        <v>0</v>
      </c>
      <c r="S49" s="327">
        <v>0</v>
      </c>
      <c r="T49" s="327">
        <v>0</v>
      </c>
      <c r="U49" s="327">
        <v>0</v>
      </c>
      <c r="V49" s="327">
        <v>0</v>
      </c>
    </row>
    <row r="50" spans="1:22" ht="31.5" customHeight="1">
      <c r="A50" s="105" t="s">
        <v>361</v>
      </c>
      <c r="B50" s="4">
        <v>45734</v>
      </c>
      <c r="C50" s="54" t="s">
        <v>68</v>
      </c>
      <c r="D50" s="78" t="s">
        <v>362</v>
      </c>
      <c r="E50" s="54" t="s">
        <v>14</v>
      </c>
      <c r="F50" s="54" t="s">
        <v>36</v>
      </c>
      <c r="G50" s="151">
        <v>2</v>
      </c>
      <c r="H50" s="171"/>
      <c r="K50" s="196" t="s">
        <v>360</v>
      </c>
      <c r="P50" s="327">
        <v>2</v>
      </c>
      <c r="Q50" s="327">
        <v>0</v>
      </c>
      <c r="R50" s="327">
        <v>0</v>
      </c>
      <c r="S50" s="327">
        <v>0</v>
      </c>
      <c r="T50" s="327">
        <v>0</v>
      </c>
      <c r="U50" s="327">
        <v>0</v>
      </c>
      <c r="V50" s="327">
        <v>0</v>
      </c>
    </row>
    <row r="51" spans="1:22" ht="31.5" customHeight="1">
      <c r="A51" s="105" t="s">
        <v>363</v>
      </c>
      <c r="B51" s="4">
        <v>45738</v>
      </c>
      <c r="C51" s="54" t="s">
        <v>116</v>
      </c>
      <c r="D51" s="78" t="s">
        <v>364</v>
      </c>
      <c r="E51" s="54" t="s">
        <v>18</v>
      </c>
      <c r="F51" s="54" t="s">
        <v>36</v>
      </c>
      <c r="G51" s="151">
        <v>5</v>
      </c>
      <c r="H51" s="171"/>
      <c r="I51" s="171"/>
      <c r="J51" s="148"/>
      <c r="P51" s="327">
        <v>0</v>
      </c>
      <c r="Q51" s="327">
        <v>0</v>
      </c>
      <c r="R51" s="327">
        <v>0</v>
      </c>
      <c r="S51" s="327">
        <v>0</v>
      </c>
      <c r="T51" s="327">
        <v>0</v>
      </c>
      <c r="U51" s="327">
        <v>5</v>
      </c>
      <c r="V51" s="327">
        <v>0</v>
      </c>
    </row>
    <row r="52" spans="1:22" ht="31.5" customHeight="1">
      <c r="A52" s="157" t="s">
        <v>365</v>
      </c>
      <c r="B52" s="158">
        <v>45738</v>
      </c>
      <c r="C52" s="159" t="s">
        <v>160</v>
      </c>
      <c r="D52" s="183" t="s">
        <v>280</v>
      </c>
      <c r="E52" s="159" t="s">
        <v>11</v>
      </c>
      <c r="F52" s="159" t="s">
        <v>36</v>
      </c>
      <c r="G52" s="184">
        <v>9</v>
      </c>
      <c r="H52" s="171"/>
      <c r="I52" s="171"/>
      <c r="J52" s="148"/>
      <c r="P52" s="327">
        <v>0</v>
      </c>
      <c r="Q52" s="327">
        <v>0</v>
      </c>
      <c r="R52" s="327">
        <v>0</v>
      </c>
      <c r="S52" s="327">
        <v>0</v>
      </c>
      <c r="T52" s="327">
        <v>0</v>
      </c>
      <c r="U52" s="327">
        <v>0</v>
      </c>
      <c r="V52" s="327">
        <v>0</v>
      </c>
    </row>
    <row r="53" spans="1:22" ht="31.5" customHeight="1">
      <c r="A53" s="106" t="s">
        <v>366</v>
      </c>
      <c r="B53" s="15">
        <v>45747</v>
      </c>
      <c r="C53" s="55" t="s">
        <v>29</v>
      </c>
      <c r="D53" s="79" t="s">
        <v>367</v>
      </c>
      <c r="E53" s="55" t="s">
        <v>12</v>
      </c>
      <c r="F53" s="55" t="s">
        <v>36</v>
      </c>
      <c r="G53" s="32">
        <v>1</v>
      </c>
      <c r="H53" s="181" t="s">
        <v>98</v>
      </c>
      <c r="I53" s="176">
        <f>SUM(G35:G53)</f>
        <v>54</v>
      </c>
      <c r="J53" s="148"/>
      <c r="P53" s="327">
        <v>0</v>
      </c>
      <c r="Q53" s="327">
        <v>0</v>
      </c>
      <c r="R53" s="327">
        <v>0</v>
      </c>
      <c r="S53" s="327">
        <v>0</v>
      </c>
      <c r="T53" s="327">
        <v>1</v>
      </c>
      <c r="U53" s="327">
        <v>0</v>
      </c>
      <c r="V53" s="327">
        <v>0</v>
      </c>
    </row>
    <row r="54" spans="1:22" ht="31.5" customHeight="1">
      <c r="A54" s="107" t="s">
        <v>368</v>
      </c>
      <c r="B54" s="185" t="s">
        <v>369</v>
      </c>
      <c r="C54" s="187" t="s">
        <v>60</v>
      </c>
      <c r="D54" s="186" t="s">
        <v>280</v>
      </c>
      <c r="E54" s="56" t="s">
        <v>11</v>
      </c>
      <c r="F54" s="56" t="s">
        <v>36</v>
      </c>
      <c r="G54" s="188">
        <v>6</v>
      </c>
      <c r="H54" s="171"/>
      <c r="I54" s="171"/>
      <c r="J54" s="148"/>
      <c r="P54" s="327">
        <v>0</v>
      </c>
      <c r="Q54" s="327">
        <v>0</v>
      </c>
      <c r="R54" s="327">
        <v>0</v>
      </c>
      <c r="S54" s="327">
        <v>0</v>
      </c>
      <c r="T54" s="327">
        <v>0</v>
      </c>
      <c r="U54" s="327">
        <v>0</v>
      </c>
      <c r="V54" s="327">
        <v>0</v>
      </c>
    </row>
    <row r="55" spans="1:22" ht="31.5" customHeight="1">
      <c r="A55" s="108" t="s">
        <v>370</v>
      </c>
      <c r="B55" s="164">
        <v>45753</v>
      </c>
      <c r="C55" s="166" t="s">
        <v>371</v>
      </c>
      <c r="D55" s="165" t="s">
        <v>372</v>
      </c>
      <c r="E55" s="57" t="s">
        <v>15</v>
      </c>
      <c r="F55" s="57" t="s">
        <v>36</v>
      </c>
      <c r="G55" s="152">
        <v>6</v>
      </c>
      <c r="H55" s="171"/>
      <c r="I55" s="171"/>
      <c r="J55" s="148"/>
      <c r="P55" s="327">
        <v>0</v>
      </c>
      <c r="Q55" s="327">
        <v>6</v>
      </c>
      <c r="R55" s="327">
        <v>0</v>
      </c>
      <c r="S55" s="327">
        <v>0</v>
      </c>
      <c r="T55" s="327">
        <v>0</v>
      </c>
      <c r="U55" s="327">
        <v>0</v>
      </c>
      <c r="V55" s="327">
        <v>0</v>
      </c>
    </row>
    <row r="56" spans="1:22" ht="31.5" customHeight="1">
      <c r="A56" s="108" t="s">
        <v>370</v>
      </c>
      <c r="B56" s="164">
        <v>45753</v>
      </c>
      <c r="C56" s="166" t="s">
        <v>373</v>
      </c>
      <c r="D56" s="165" t="s">
        <v>372</v>
      </c>
      <c r="E56" s="57" t="s">
        <v>19</v>
      </c>
      <c r="F56" s="57" t="s">
        <v>36</v>
      </c>
      <c r="G56" s="152">
        <v>1</v>
      </c>
      <c r="H56" s="171"/>
      <c r="I56" s="171"/>
      <c r="J56" s="148"/>
      <c r="P56" s="327">
        <v>0</v>
      </c>
      <c r="Q56" s="327">
        <v>0</v>
      </c>
      <c r="R56" s="327">
        <v>0</v>
      </c>
      <c r="S56" s="327">
        <v>0</v>
      </c>
      <c r="T56" s="327">
        <v>0</v>
      </c>
      <c r="U56" s="327">
        <v>0</v>
      </c>
      <c r="V56" s="327">
        <v>1</v>
      </c>
    </row>
    <row r="57" spans="1:22" ht="31.5" customHeight="1">
      <c r="A57" s="108" t="s">
        <v>374</v>
      </c>
      <c r="B57" s="164">
        <v>45756</v>
      </c>
      <c r="C57" s="166" t="s">
        <v>34</v>
      </c>
      <c r="D57" s="165" t="s">
        <v>375</v>
      </c>
      <c r="E57" s="57" t="s">
        <v>18</v>
      </c>
      <c r="F57" s="57" t="s">
        <v>36</v>
      </c>
      <c r="G57" s="152">
        <v>4</v>
      </c>
      <c r="H57" s="171"/>
      <c r="I57" s="171"/>
      <c r="J57" s="148"/>
      <c r="P57" s="327">
        <v>0</v>
      </c>
      <c r="Q57" s="327">
        <v>0</v>
      </c>
      <c r="R57" s="327">
        <v>0</v>
      </c>
      <c r="S57" s="327">
        <v>0</v>
      </c>
      <c r="T57" s="327">
        <v>0</v>
      </c>
      <c r="U57" s="327">
        <v>4</v>
      </c>
      <c r="V57" s="327">
        <v>0</v>
      </c>
    </row>
    <row r="58" spans="1:22" ht="31.5" customHeight="1">
      <c r="A58" s="108" t="s">
        <v>376</v>
      </c>
      <c r="B58" s="164">
        <v>45756</v>
      </c>
      <c r="C58" s="166" t="s">
        <v>68</v>
      </c>
      <c r="D58" s="165" t="s">
        <v>377</v>
      </c>
      <c r="E58" s="57" t="s">
        <v>17</v>
      </c>
      <c r="F58" s="57" t="s">
        <v>31</v>
      </c>
      <c r="G58" s="152">
        <v>2</v>
      </c>
      <c r="H58" s="171"/>
      <c r="I58" s="171"/>
      <c r="J58" s="148"/>
      <c r="P58" s="327">
        <v>0</v>
      </c>
      <c r="Q58" s="327">
        <v>0</v>
      </c>
      <c r="R58" s="327">
        <v>0</v>
      </c>
      <c r="S58" s="327">
        <v>2</v>
      </c>
      <c r="T58" s="327">
        <v>0</v>
      </c>
      <c r="U58" s="327">
        <v>0</v>
      </c>
      <c r="V58" s="327">
        <v>0</v>
      </c>
    </row>
    <row r="59" spans="1:22" ht="31.5" customHeight="1">
      <c r="A59" s="108" t="s">
        <v>378</v>
      </c>
      <c r="B59" s="164">
        <v>45757</v>
      </c>
      <c r="C59" s="166" t="s">
        <v>95</v>
      </c>
      <c r="D59" s="165" t="s">
        <v>379</v>
      </c>
      <c r="E59" s="57" t="s">
        <v>12</v>
      </c>
      <c r="F59" s="57" t="s">
        <v>31</v>
      </c>
      <c r="G59" s="152">
        <v>4</v>
      </c>
      <c r="H59" s="171"/>
      <c r="I59" s="171"/>
      <c r="J59" s="148"/>
      <c r="P59" s="327">
        <v>0</v>
      </c>
      <c r="Q59" s="327">
        <v>0</v>
      </c>
      <c r="R59" s="327">
        <v>0</v>
      </c>
      <c r="S59" s="327">
        <v>0</v>
      </c>
      <c r="T59" s="327">
        <v>4</v>
      </c>
      <c r="U59" s="327">
        <v>0</v>
      </c>
      <c r="V59" s="327">
        <v>0</v>
      </c>
    </row>
    <row r="60" spans="1:22" ht="31.5" customHeight="1">
      <c r="A60" s="108" t="s">
        <v>380</v>
      </c>
      <c r="B60" s="164">
        <v>45758</v>
      </c>
      <c r="C60" s="166" t="s">
        <v>381</v>
      </c>
      <c r="D60" s="165" t="s">
        <v>382</v>
      </c>
      <c r="E60" s="57" t="s">
        <v>12</v>
      </c>
      <c r="F60" s="57" t="s">
        <v>36</v>
      </c>
      <c r="G60" s="152">
        <v>2</v>
      </c>
      <c r="H60" s="171"/>
      <c r="I60" s="171"/>
      <c r="J60" s="148"/>
      <c r="P60" s="327">
        <v>0</v>
      </c>
      <c r="Q60" s="327">
        <v>0</v>
      </c>
      <c r="R60" s="327">
        <v>0</v>
      </c>
      <c r="S60" s="327">
        <v>0</v>
      </c>
      <c r="T60" s="327">
        <v>2</v>
      </c>
      <c r="U60" s="327">
        <v>0</v>
      </c>
      <c r="V60" s="327">
        <v>0</v>
      </c>
    </row>
    <row r="61" spans="1:22" ht="31.5" customHeight="1">
      <c r="A61" s="108" t="s">
        <v>383</v>
      </c>
      <c r="B61" s="164">
        <v>45768</v>
      </c>
      <c r="C61" s="166" t="s">
        <v>384</v>
      </c>
      <c r="D61" s="165" t="s">
        <v>385</v>
      </c>
      <c r="E61" s="57" t="s">
        <v>19</v>
      </c>
      <c r="F61" s="57" t="s">
        <v>36</v>
      </c>
      <c r="G61" s="152">
        <v>3</v>
      </c>
      <c r="H61" s="171"/>
      <c r="I61" s="171"/>
      <c r="J61" s="148"/>
      <c r="P61" s="327">
        <v>0</v>
      </c>
      <c r="Q61" s="327">
        <v>0</v>
      </c>
      <c r="R61" s="327">
        <v>0</v>
      </c>
      <c r="S61" s="327">
        <v>0</v>
      </c>
      <c r="T61" s="327">
        <v>0</v>
      </c>
      <c r="U61" s="327">
        <v>0</v>
      </c>
      <c r="V61" s="327">
        <v>3</v>
      </c>
    </row>
    <row r="62" spans="1:22" ht="31.5" customHeight="1">
      <c r="A62" s="108" t="s">
        <v>386</v>
      </c>
      <c r="B62" s="164">
        <v>45769</v>
      </c>
      <c r="C62" s="166" t="s">
        <v>43</v>
      </c>
      <c r="D62" s="165" t="s">
        <v>387</v>
      </c>
      <c r="E62" s="57" t="s">
        <v>12</v>
      </c>
      <c r="F62" s="57" t="s">
        <v>31</v>
      </c>
      <c r="G62" s="152">
        <v>3</v>
      </c>
      <c r="H62" s="171"/>
      <c r="I62" s="171"/>
      <c r="J62" s="148"/>
      <c r="P62" s="327">
        <v>0</v>
      </c>
      <c r="Q62" s="327">
        <v>0</v>
      </c>
      <c r="R62" s="327">
        <v>0</v>
      </c>
      <c r="S62" s="327">
        <v>0</v>
      </c>
      <c r="T62" s="327">
        <v>3</v>
      </c>
      <c r="U62" s="327">
        <v>0</v>
      </c>
      <c r="V62" s="327">
        <v>0</v>
      </c>
    </row>
    <row r="63" spans="1:22" ht="31.5" customHeight="1">
      <c r="A63" s="108" t="s">
        <v>388</v>
      </c>
      <c r="B63" s="164">
        <v>45769</v>
      </c>
      <c r="C63" s="166" t="s">
        <v>145</v>
      </c>
      <c r="D63" s="165" t="s">
        <v>389</v>
      </c>
      <c r="E63" s="57" t="s">
        <v>17</v>
      </c>
      <c r="F63" s="57" t="s">
        <v>36</v>
      </c>
      <c r="G63" s="152">
        <v>2</v>
      </c>
      <c r="H63" s="171"/>
      <c r="I63" s="171"/>
      <c r="J63" s="148"/>
      <c r="P63" s="327">
        <v>0</v>
      </c>
      <c r="Q63" s="327">
        <v>0</v>
      </c>
      <c r="R63" s="327">
        <v>0</v>
      </c>
      <c r="S63" s="327">
        <v>2</v>
      </c>
      <c r="T63" s="327">
        <v>0</v>
      </c>
      <c r="U63" s="327">
        <v>0</v>
      </c>
      <c r="V63" s="327">
        <v>0</v>
      </c>
    </row>
    <row r="64" spans="1:22" ht="31.5" customHeight="1">
      <c r="A64" s="108" t="s">
        <v>390</v>
      </c>
      <c r="B64" s="164">
        <v>45769</v>
      </c>
      <c r="C64" s="166" t="s">
        <v>43</v>
      </c>
      <c r="D64" s="165" t="s">
        <v>391</v>
      </c>
      <c r="E64" s="57" t="s">
        <v>11</v>
      </c>
      <c r="F64" s="57" t="s">
        <v>31</v>
      </c>
      <c r="G64" s="152">
        <v>3</v>
      </c>
      <c r="H64" s="171"/>
      <c r="I64" s="171"/>
      <c r="J64" s="148"/>
      <c r="P64" s="327">
        <v>0</v>
      </c>
      <c r="Q64" s="327">
        <v>0</v>
      </c>
      <c r="R64" s="327">
        <v>0</v>
      </c>
      <c r="S64" s="327">
        <v>0</v>
      </c>
      <c r="T64" s="327">
        <v>0</v>
      </c>
      <c r="U64" s="327">
        <v>0</v>
      </c>
      <c r="V64" s="327">
        <v>0</v>
      </c>
    </row>
    <row r="65" spans="1:22" ht="31.5" customHeight="1">
      <c r="A65" s="108" t="s">
        <v>392</v>
      </c>
      <c r="B65" s="164">
        <v>45770</v>
      </c>
      <c r="C65" s="166" t="s">
        <v>384</v>
      </c>
      <c r="D65" s="165" t="s">
        <v>393</v>
      </c>
      <c r="E65" s="57" t="s">
        <v>15</v>
      </c>
      <c r="F65" s="57" t="s">
        <v>36</v>
      </c>
      <c r="G65" s="152">
        <v>3</v>
      </c>
      <c r="H65" s="171"/>
      <c r="I65" s="171"/>
      <c r="J65" s="148"/>
      <c r="P65" s="327">
        <v>0</v>
      </c>
      <c r="Q65" s="327">
        <v>3</v>
      </c>
      <c r="R65" s="327">
        <v>0</v>
      </c>
      <c r="S65" s="327">
        <v>0</v>
      </c>
      <c r="T65" s="327">
        <v>0</v>
      </c>
      <c r="U65" s="327">
        <v>0</v>
      </c>
      <c r="V65" s="327">
        <v>0</v>
      </c>
    </row>
    <row r="66" spans="1:22" ht="31.5" customHeight="1">
      <c r="A66" s="108" t="s">
        <v>394</v>
      </c>
      <c r="B66" s="164">
        <v>45770</v>
      </c>
      <c r="C66" s="166" t="s">
        <v>105</v>
      </c>
      <c r="D66" s="165" t="s">
        <v>395</v>
      </c>
      <c r="E66" s="57" t="s">
        <v>11</v>
      </c>
      <c r="F66" s="57" t="s">
        <v>36</v>
      </c>
      <c r="G66" s="152">
        <v>1</v>
      </c>
      <c r="H66" s="171"/>
      <c r="I66" s="171"/>
      <c r="J66" s="148"/>
      <c r="P66" s="327">
        <v>0</v>
      </c>
      <c r="Q66" s="327">
        <v>0</v>
      </c>
      <c r="R66" s="327">
        <v>0</v>
      </c>
      <c r="S66" s="327">
        <v>0</v>
      </c>
      <c r="T66" s="327">
        <v>0</v>
      </c>
      <c r="U66" s="327">
        <v>0</v>
      </c>
      <c r="V66" s="327">
        <v>0</v>
      </c>
    </row>
    <row r="67" spans="1:22" ht="31.5" customHeight="1">
      <c r="A67" s="108" t="s">
        <v>396</v>
      </c>
      <c r="B67" s="164">
        <v>45771</v>
      </c>
      <c r="C67" s="166" t="s">
        <v>145</v>
      </c>
      <c r="D67" s="165" t="s">
        <v>397</v>
      </c>
      <c r="E67" s="57" t="s">
        <v>15</v>
      </c>
      <c r="F67" s="57" t="s">
        <v>36</v>
      </c>
      <c r="G67" s="152">
        <v>2</v>
      </c>
      <c r="J67" s="148"/>
      <c r="P67" s="327">
        <v>0</v>
      </c>
      <c r="Q67" s="327">
        <v>2</v>
      </c>
      <c r="R67" s="327">
        <v>0</v>
      </c>
      <c r="S67" s="327">
        <v>0</v>
      </c>
      <c r="T67" s="327">
        <v>0</v>
      </c>
      <c r="U67" s="327">
        <v>0</v>
      </c>
      <c r="V67" s="327">
        <v>0</v>
      </c>
    </row>
    <row r="68" spans="1:22" ht="31.5" customHeight="1">
      <c r="A68" s="108" t="s">
        <v>398</v>
      </c>
      <c r="B68" s="164">
        <v>45772</v>
      </c>
      <c r="C68" s="166" t="s">
        <v>399</v>
      </c>
      <c r="D68" s="165" t="s">
        <v>400</v>
      </c>
      <c r="E68" s="57" t="s">
        <v>14</v>
      </c>
      <c r="F68" s="57" t="s">
        <v>36</v>
      </c>
      <c r="G68" s="152">
        <v>2</v>
      </c>
      <c r="J68" s="148"/>
      <c r="P68" s="327">
        <v>2</v>
      </c>
      <c r="Q68" s="327">
        <v>0</v>
      </c>
      <c r="R68" s="327">
        <v>0</v>
      </c>
      <c r="S68" s="327">
        <v>0</v>
      </c>
      <c r="T68" s="327">
        <v>0</v>
      </c>
      <c r="U68" s="327">
        <v>0</v>
      </c>
      <c r="V68" s="327">
        <v>0</v>
      </c>
    </row>
    <row r="69" spans="1:22" ht="31.5" customHeight="1">
      <c r="A69" s="109" t="s">
        <v>401</v>
      </c>
      <c r="B69" s="198">
        <v>45773</v>
      </c>
      <c r="C69" s="199" t="s">
        <v>150</v>
      </c>
      <c r="D69" s="200" t="s">
        <v>402</v>
      </c>
      <c r="E69" s="58" t="s">
        <v>14</v>
      </c>
      <c r="F69" s="58" t="s">
        <v>36</v>
      </c>
      <c r="G69" s="201">
        <v>6</v>
      </c>
      <c r="J69" s="148"/>
      <c r="P69" s="327">
        <v>6</v>
      </c>
      <c r="Q69" s="327">
        <v>0</v>
      </c>
      <c r="R69" s="327">
        <v>0</v>
      </c>
      <c r="S69" s="327">
        <v>0</v>
      </c>
      <c r="T69" s="327">
        <v>0</v>
      </c>
      <c r="U69" s="327">
        <v>0</v>
      </c>
      <c r="V69" s="327">
        <v>0</v>
      </c>
    </row>
    <row r="70" spans="1:22" ht="31.5" customHeight="1">
      <c r="A70" s="239" t="s">
        <v>403</v>
      </c>
      <c r="B70" s="300">
        <v>45774</v>
      </c>
      <c r="C70" s="324" t="s">
        <v>60</v>
      </c>
      <c r="D70" s="301" t="s">
        <v>280</v>
      </c>
      <c r="E70" s="241" t="s">
        <v>15</v>
      </c>
      <c r="F70" s="241" t="s">
        <v>36</v>
      </c>
      <c r="G70" s="243">
        <v>6</v>
      </c>
      <c r="H70" s="224" t="s">
        <v>98</v>
      </c>
      <c r="I70" s="179">
        <f>SUM(G54:G70)</f>
        <v>56</v>
      </c>
      <c r="J70" s="148"/>
      <c r="P70" s="327">
        <v>0</v>
      </c>
      <c r="Q70" s="327">
        <v>6</v>
      </c>
      <c r="R70" s="327">
        <v>0</v>
      </c>
      <c r="S70" s="327">
        <v>0</v>
      </c>
      <c r="T70" s="327">
        <v>0</v>
      </c>
      <c r="U70" s="327">
        <v>0</v>
      </c>
      <c r="V70" s="327">
        <v>0</v>
      </c>
    </row>
    <row r="71" spans="1:22" ht="31.5" customHeight="1">
      <c r="A71" s="233" t="s">
        <v>404</v>
      </c>
      <c r="B71" s="234">
        <v>45784</v>
      </c>
      <c r="C71" s="236" t="s">
        <v>145</v>
      </c>
      <c r="D71" s="235" t="s">
        <v>405</v>
      </c>
      <c r="E71" s="236" t="s">
        <v>12</v>
      </c>
      <c r="F71" s="236" t="s">
        <v>31</v>
      </c>
      <c r="G71" s="237">
        <v>2</v>
      </c>
      <c r="H71" s="171"/>
      <c r="I71" s="171"/>
      <c r="J71" s="148"/>
      <c r="P71" s="327">
        <v>0</v>
      </c>
      <c r="Q71" s="327">
        <v>0</v>
      </c>
      <c r="R71" s="327">
        <v>0</v>
      </c>
      <c r="S71" s="327">
        <v>0</v>
      </c>
      <c r="T71" s="327">
        <v>2</v>
      </c>
      <c r="U71" s="327">
        <v>0</v>
      </c>
      <c r="V71" s="327">
        <v>0</v>
      </c>
    </row>
    <row r="72" spans="1:22" ht="31.5" customHeight="1">
      <c r="A72" s="111" t="s">
        <v>406</v>
      </c>
      <c r="B72" s="7">
        <v>45785</v>
      </c>
      <c r="C72" s="60" t="s">
        <v>384</v>
      </c>
      <c r="D72" s="89" t="s">
        <v>407</v>
      </c>
      <c r="E72" s="60" t="s">
        <v>12</v>
      </c>
      <c r="F72" s="60" t="s">
        <v>36</v>
      </c>
      <c r="G72" s="153">
        <v>3</v>
      </c>
      <c r="H72" s="171"/>
      <c r="I72" s="171"/>
      <c r="J72" s="148"/>
      <c r="P72" s="327">
        <v>0</v>
      </c>
      <c r="Q72" s="327">
        <v>0</v>
      </c>
      <c r="R72" s="327">
        <v>0</v>
      </c>
      <c r="S72" s="327">
        <v>0</v>
      </c>
      <c r="T72" s="327">
        <v>3</v>
      </c>
      <c r="U72" s="327">
        <v>0</v>
      </c>
      <c r="V72" s="327">
        <v>0</v>
      </c>
    </row>
    <row r="73" spans="1:22" ht="31.5" customHeight="1">
      <c r="A73" s="111" t="s">
        <v>408</v>
      </c>
      <c r="B73" s="7">
        <v>45786</v>
      </c>
      <c r="C73" s="60" t="s">
        <v>300</v>
      </c>
      <c r="D73" s="89" t="s">
        <v>409</v>
      </c>
      <c r="E73" s="60" t="s">
        <v>17</v>
      </c>
      <c r="F73" s="60" t="s">
        <v>31</v>
      </c>
      <c r="G73" s="153">
        <v>3</v>
      </c>
      <c r="H73" s="171"/>
      <c r="I73" s="171"/>
      <c r="J73" s="148"/>
      <c r="P73" s="327">
        <v>0</v>
      </c>
      <c r="Q73" s="327">
        <v>0</v>
      </c>
      <c r="R73" s="327">
        <v>0</v>
      </c>
      <c r="S73" s="327">
        <v>3</v>
      </c>
      <c r="T73" s="327">
        <v>0</v>
      </c>
      <c r="U73" s="327">
        <v>0</v>
      </c>
      <c r="V73" s="327">
        <v>0</v>
      </c>
    </row>
    <row r="74" spans="1:22" ht="31.5" customHeight="1">
      <c r="A74" s="111" t="s">
        <v>410</v>
      </c>
      <c r="B74" s="7">
        <v>45789</v>
      </c>
      <c r="C74" s="60" t="s">
        <v>411</v>
      </c>
      <c r="D74" s="89" t="s">
        <v>412</v>
      </c>
      <c r="E74" s="60" t="s">
        <v>19</v>
      </c>
      <c r="F74" s="60" t="s">
        <v>36</v>
      </c>
      <c r="G74" s="153">
        <v>2.5</v>
      </c>
      <c r="H74" s="171"/>
      <c r="I74" s="171"/>
      <c r="P74" s="327">
        <v>0</v>
      </c>
      <c r="Q74" s="327">
        <v>0</v>
      </c>
      <c r="R74" s="327">
        <v>0</v>
      </c>
      <c r="S74" s="327">
        <v>0</v>
      </c>
      <c r="T74" s="327">
        <v>0</v>
      </c>
      <c r="U74" s="327">
        <v>0</v>
      </c>
      <c r="V74" s="327">
        <v>2.5</v>
      </c>
    </row>
    <row r="75" spans="1:22" ht="31.5" customHeight="1">
      <c r="A75" s="111" t="s">
        <v>413</v>
      </c>
      <c r="B75" s="7">
        <v>45791</v>
      </c>
      <c r="C75" s="60" t="s">
        <v>105</v>
      </c>
      <c r="D75" s="89" t="s">
        <v>414</v>
      </c>
      <c r="E75" s="60" t="s">
        <v>12</v>
      </c>
      <c r="F75" s="60" t="s">
        <v>31</v>
      </c>
      <c r="G75" s="153">
        <v>1</v>
      </c>
      <c r="H75" s="171"/>
      <c r="I75" s="171"/>
      <c r="P75" s="327">
        <v>0</v>
      </c>
      <c r="Q75" s="327">
        <v>0</v>
      </c>
      <c r="R75" s="327">
        <v>0</v>
      </c>
      <c r="S75" s="327">
        <v>0</v>
      </c>
      <c r="T75" s="327">
        <v>1</v>
      </c>
      <c r="U75" s="327">
        <v>0</v>
      </c>
      <c r="V75" s="327">
        <v>0</v>
      </c>
    </row>
    <row r="76" spans="1:22" ht="31.5" customHeight="1">
      <c r="A76" s="111" t="s">
        <v>415</v>
      </c>
      <c r="B76" s="7">
        <v>45791</v>
      </c>
      <c r="C76" s="60" t="s">
        <v>416</v>
      </c>
      <c r="D76" s="89" t="s">
        <v>417</v>
      </c>
      <c r="E76" s="60" t="s">
        <v>19</v>
      </c>
      <c r="F76" s="60" t="s">
        <v>31</v>
      </c>
      <c r="G76" s="153">
        <v>1.5</v>
      </c>
      <c r="H76" s="171"/>
      <c r="I76" s="171"/>
      <c r="P76" s="327">
        <v>0</v>
      </c>
      <c r="Q76" s="327">
        <v>0</v>
      </c>
      <c r="R76" s="327">
        <v>0</v>
      </c>
      <c r="S76" s="327">
        <v>0</v>
      </c>
      <c r="T76" s="327">
        <v>0</v>
      </c>
      <c r="U76" s="327">
        <v>0</v>
      </c>
      <c r="V76" s="327">
        <v>1.5</v>
      </c>
    </row>
    <row r="77" spans="1:22" ht="31.5" customHeight="1">
      <c r="A77" s="111" t="s">
        <v>418</v>
      </c>
      <c r="B77" s="7">
        <v>45793</v>
      </c>
      <c r="C77" s="60" t="s">
        <v>68</v>
      </c>
      <c r="D77" s="89" t="s">
        <v>419</v>
      </c>
      <c r="E77" s="60" t="s">
        <v>14</v>
      </c>
      <c r="F77" s="60" t="s">
        <v>36</v>
      </c>
      <c r="G77" s="153">
        <v>2</v>
      </c>
      <c r="H77" s="171"/>
      <c r="I77" s="171"/>
      <c r="J77" s="148"/>
      <c r="P77" s="327">
        <v>2</v>
      </c>
      <c r="Q77" s="327">
        <v>0</v>
      </c>
      <c r="R77" s="327">
        <v>0</v>
      </c>
      <c r="S77" s="327">
        <v>0</v>
      </c>
      <c r="T77" s="327">
        <v>0</v>
      </c>
      <c r="U77" s="327">
        <v>0</v>
      </c>
      <c r="V77" s="327">
        <v>0</v>
      </c>
    </row>
    <row r="78" spans="1:22" ht="31.5" customHeight="1">
      <c r="A78" s="111" t="s">
        <v>420</v>
      </c>
      <c r="B78" s="7">
        <v>45794</v>
      </c>
      <c r="C78" s="60" t="s">
        <v>421</v>
      </c>
      <c r="D78" s="89" t="s">
        <v>422</v>
      </c>
      <c r="E78" s="60" t="s">
        <v>14</v>
      </c>
      <c r="F78" s="60" t="s">
        <v>36</v>
      </c>
      <c r="G78" s="153">
        <v>10</v>
      </c>
      <c r="H78" s="171"/>
      <c r="I78" s="171"/>
      <c r="J78" s="148"/>
      <c r="P78" s="327">
        <v>10</v>
      </c>
      <c r="Q78" s="327">
        <v>0</v>
      </c>
      <c r="R78" s="327">
        <v>0</v>
      </c>
      <c r="S78" s="327">
        <v>0</v>
      </c>
      <c r="T78" s="327">
        <v>0</v>
      </c>
      <c r="U78" s="327">
        <v>0</v>
      </c>
      <c r="V78" s="327">
        <v>0</v>
      </c>
    </row>
    <row r="79" spans="1:22" ht="31.5" customHeight="1">
      <c r="A79" s="111" t="s">
        <v>423</v>
      </c>
      <c r="B79" s="7">
        <v>45796</v>
      </c>
      <c r="C79" s="60" t="s">
        <v>43</v>
      </c>
      <c r="D79" s="89" t="s">
        <v>424</v>
      </c>
      <c r="E79" s="60" t="s">
        <v>11</v>
      </c>
      <c r="F79" s="60" t="s">
        <v>36</v>
      </c>
      <c r="G79" s="153">
        <v>3</v>
      </c>
      <c r="H79" s="171"/>
      <c r="I79" s="171"/>
      <c r="J79" s="148"/>
      <c r="P79" s="327">
        <v>0</v>
      </c>
      <c r="Q79" s="327">
        <v>0</v>
      </c>
      <c r="R79" s="327">
        <v>0</v>
      </c>
      <c r="S79" s="327">
        <v>0</v>
      </c>
      <c r="T79" s="327">
        <v>0</v>
      </c>
      <c r="U79" s="327">
        <v>0</v>
      </c>
      <c r="V79" s="327">
        <v>0</v>
      </c>
    </row>
    <row r="80" spans="1:22" ht="31.5" customHeight="1">
      <c r="A80" s="111" t="s">
        <v>425</v>
      </c>
      <c r="B80" s="7">
        <v>45797</v>
      </c>
      <c r="C80" s="60" t="s">
        <v>68</v>
      </c>
      <c r="D80" s="89" t="s">
        <v>426</v>
      </c>
      <c r="E80" s="60" t="s">
        <v>15</v>
      </c>
      <c r="F80" s="60" t="s">
        <v>36</v>
      </c>
      <c r="G80" s="153">
        <v>1</v>
      </c>
      <c r="H80" s="171"/>
      <c r="I80" s="171"/>
      <c r="J80" s="148"/>
      <c r="P80" s="327">
        <v>0</v>
      </c>
      <c r="Q80" s="327">
        <v>1</v>
      </c>
      <c r="R80" s="327">
        <v>0</v>
      </c>
      <c r="S80" s="327">
        <v>0</v>
      </c>
      <c r="T80" s="327">
        <v>0</v>
      </c>
      <c r="U80" s="327">
        <v>0</v>
      </c>
      <c r="V80" s="327">
        <v>0</v>
      </c>
    </row>
    <row r="81" spans="1:22" ht="31.5" customHeight="1">
      <c r="A81" s="111" t="s">
        <v>427</v>
      </c>
      <c r="B81" s="7">
        <v>45798</v>
      </c>
      <c r="C81" s="60" t="s">
        <v>272</v>
      </c>
      <c r="D81" s="89" t="s">
        <v>428</v>
      </c>
      <c r="E81" s="60" t="s">
        <v>19</v>
      </c>
      <c r="F81" s="60" t="s">
        <v>31</v>
      </c>
      <c r="G81" s="153">
        <v>2</v>
      </c>
      <c r="H81" s="171"/>
      <c r="I81" s="171"/>
      <c r="J81" s="148"/>
      <c r="P81" s="327">
        <v>0</v>
      </c>
      <c r="Q81" s="327">
        <v>0</v>
      </c>
      <c r="R81" s="327">
        <v>0</v>
      </c>
      <c r="S81" s="327">
        <v>0</v>
      </c>
      <c r="T81" s="327">
        <v>0</v>
      </c>
      <c r="U81" s="327">
        <v>0</v>
      </c>
      <c r="V81" s="327">
        <v>2</v>
      </c>
    </row>
    <row r="82" spans="1:22" ht="31.5" customHeight="1">
      <c r="A82" s="111" t="s">
        <v>429</v>
      </c>
      <c r="B82" s="7">
        <v>45799</v>
      </c>
      <c r="C82" s="60" t="s">
        <v>29</v>
      </c>
      <c r="D82" s="89" t="s">
        <v>430</v>
      </c>
      <c r="E82" s="60" t="s">
        <v>14</v>
      </c>
      <c r="F82" s="60" t="s">
        <v>36</v>
      </c>
      <c r="G82" s="153">
        <v>1</v>
      </c>
      <c r="H82" s="171"/>
      <c r="I82" s="171"/>
      <c r="J82" s="148"/>
      <c r="P82" s="327">
        <v>1</v>
      </c>
      <c r="Q82" s="327">
        <v>0</v>
      </c>
      <c r="R82" s="327">
        <v>0</v>
      </c>
      <c r="S82" s="327">
        <v>0</v>
      </c>
      <c r="T82" s="327">
        <v>0</v>
      </c>
      <c r="U82" s="327">
        <v>0</v>
      </c>
      <c r="V82" s="327">
        <v>0</v>
      </c>
    </row>
    <row r="83" spans="1:22" ht="31.5" customHeight="1">
      <c r="A83" s="111" t="s">
        <v>431</v>
      </c>
      <c r="B83" s="7">
        <v>45801</v>
      </c>
      <c r="C83" s="60" t="s">
        <v>150</v>
      </c>
      <c r="D83" s="89" t="s">
        <v>432</v>
      </c>
      <c r="E83" s="60" t="s">
        <v>15</v>
      </c>
      <c r="F83" s="60" t="s">
        <v>36</v>
      </c>
      <c r="G83" s="153">
        <v>3</v>
      </c>
      <c r="J83" s="148"/>
      <c r="P83" s="327">
        <v>0</v>
      </c>
      <c r="Q83" s="327">
        <v>3</v>
      </c>
      <c r="R83" s="327">
        <v>0</v>
      </c>
      <c r="S83" s="327">
        <v>0</v>
      </c>
      <c r="T83" s="327">
        <v>0</v>
      </c>
      <c r="U83" s="327">
        <v>0</v>
      </c>
      <c r="V83" s="327">
        <v>0</v>
      </c>
    </row>
    <row r="84" spans="1:22" ht="31.5" customHeight="1">
      <c r="A84" s="111" t="s">
        <v>433</v>
      </c>
      <c r="B84" s="7">
        <v>45803</v>
      </c>
      <c r="C84" s="60" t="s">
        <v>145</v>
      </c>
      <c r="D84" s="89" t="s">
        <v>434</v>
      </c>
      <c r="E84" s="60" t="s">
        <v>19</v>
      </c>
      <c r="F84" s="60" t="s">
        <v>36</v>
      </c>
      <c r="G84" s="153">
        <v>2</v>
      </c>
      <c r="J84" s="148"/>
      <c r="P84" s="327">
        <v>0</v>
      </c>
      <c r="Q84" s="327">
        <v>0</v>
      </c>
      <c r="R84" s="327">
        <v>0</v>
      </c>
      <c r="S84" s="327">
        <v>0</v>
      </c>
      <c r="T84" s="327">
        <v>0</v>
      </c>
      <c r="U84" s="327">
        <v>0</v>
      </c>
      <c r="V84" s="327">
        <v>2</v>
      </c>
    </row>
    <row r="85" spans="1:22" ht="31.5" customHeight="1">
      <c r="A85" s="111" t="s">
        <v>435</v>
      </c>
      <c r="B85" s="7">
        <v>45803</v>
      </c>
      <c r="C85" s="60" t="s">
        <v>43</v>
      </c>
      <c r="D85" s="89" t="s">
        <v>436</v>
      </c>
      <c r="E85" s="60" t="s">
        <v>17</v>
      </c>
      <c r="F85" s="60" t="s">
        <v>36</v>
      </c>
      <c r="G85" s="153">
        <v>3</v>
      </c>
      <c r="J85" s="148"/>
      <c r="P85" s="327">
        <v>0</v>
      </c>
      <c r="Q85" s="327">
        <v>0</v>
      </c>
      <c r="R85" s="327">
        <v>0</v>
      </c>
      <c r="S85" s="327">
        <v>3</v>
      </c>
      <c r="T85" s="327">
        <v>0</v>
      </c>
      <c r="U85" s="327">
        <v>0</v>
      </c>
      <c r="V85" s="327">
        <v>0</v>
      </c>
    </row>
    <row r="86" spans="1:22" ht="31.5" customHeight="1">
      <c r="A86" s="204" t="s">
        <v>437</v>
      </c>
      <c r="B86" s="205">
        <v>45804</v>
      </c>
      <c r="C86" s="206" t="s">
        <v>34</v>
      </c>
      <c r="D86" s="207" t="s">
        <v>438</v>
      </c>
      <c r="E86" s="206" t="s">
        <v>11</v>
      </c>
      <c r="F86" s="206" t="s">
        <v>36</v>
      </c>
      <c r="G86" s="208">
        <v>4</v>
      </c>
      <c r="H86" s="171"/>
      <c r="I86" s="171"/>
      <c r="J86" s="148"/>
      <c r="P86" s="327">
        <v>0</v>
      </c>
      <c r="Q86" s="327">
        <v>0</v>
      </c>
      <c r="R86" s="327">
        <v>0</v>
      </c>
      <c r="S86" s="327">
        <v>0</v>
      </c>
      <c r="T86" s="327">
        <v>0</v>
      </c>
      <c r="U86" s="327">
        <v>0</v>
      </c>
      <c r="V86" s="327">
        <v>0</v>
      </c>
    </row>
    <row r="87" spans="1:22" ht="31.5" customHeight="1">
      <c r="A87" s="112" t="s">
        <v>439</v>
      </c>
      <c r="B87" s="19">
        <v>45805</v>
      </c>
      <c r="C87" s="61" t="s">
        <v>72</v>
      </c>
      <c r="D87" s="90" t="s">
        <v>430</v>
      </c>
      <c r="E87" s="61" t="s">
        <v>15</v>
      </c>
      <c r="F87" s="61" t="s">
        <v>36</v>
      </c>
      <c r="G87" s="38">
        <v>1</v>
      </c>
      <c r="H87" s="197" t="s">
        <v>98</v>
      </c>
      <c r="I87" s="178">
        <f>SUM(G71:G87)</f>
        <v>45</v>
      </c>
      <c r="J87" s="148"/>
      <c r="P87" s="327">
        <v>0</v>
      </c>
      <c r="Q87" s="327">
        <v>1</v>
      </c>
      <c r="R87" s="327">
        <v>0</v>
      </c>
      <c r="S87" s="327">
        <v>0</v>
      </c>
      <c r="T87" s="327">
        <v>0</v>
      </c>
      <c r="U87" s="327">
        <v>0</v>
      </c>
      <c r="V87" s="327">
        <v>0</v>
      </c>
    </row>
    <row r="88" spans="1:22" ht="31.5" customHeight="1">
      <c r="A88" s="113" t="s">
        <v>440</v>
      </c>
      <c r="B88" s="21">
        <v>45814</v>
      </c>
      <c r="C88" s="203" t="s">
        <v>72</v>
      </c>
      <c r="D88" s="80" t="s">
        <v>441</v>
      </c>
      <c r="E88" s="63" t="s">
        <v>14</v>
      </c>
      <c r="F88" s="63" t="s">
        <v>36</v>
      </c>
      <c r="G88" s="202">
        <v>3</v>
      </c>
      <c r="H88" s="171"/>
      <c r="I88" s="171"/>
      <c r="J88" s="148"/>
      <c r="P88" s="327">
        <v>3</v>
      </c>
      <c r="Q88" s="327">
        <v>0</v>
      </c>
      <c r="R88" s="327">
        <v>0</v>
      </c>
      <c r="S88" s="327">
        <v>0</v>
      </c>
      <c r="T88" s="327">
        <v>0</v>
      </c>
      <c r="U88" s="327">
        <v>0</v>
      </c>
      <c r="V88" s="327">
        <v>0</v>
      </c>
    </row>
    <row r="89" spans="1:22" ht="31.5" customHeight="1">
      <c r="A89" s="113" t="s">
        <v>442</v>
      </c>
      <c r="B89" s="21">
        <v>45815</v>
      </c>
      <c r="C89" s="203" t="s">
        <v>60</v>
      </c>
      <c r="D89" s="80" t="s">
        <v>443</v>
      </c>
      <c r="E89" s="65" t="s">
        <v>14</v>
      </c>
      <c r="F89" s="63" t="s">
        <v>36</v>
      </c>
      <c r="G89" s="154">
        <v>6</v>
      </c>
      <c r="H89" s="171"/>
      <c r="I89" s="171"/>
      <c r="J89" s="148"/>
      <c r="P89" s="327">
        <v>6</v>
      </c>
      <c r="Q89" s="327">
        <v>0</v>
      </c>
      <c r="R89" s="327">
        <v>0</v>
      </c>
      <c r="S89" s="327">
        <v>0</v>
      </c>
      <c r="T89" s="327">
        <v>0</v>
      </c>
      <c r="U89" s="327">
        <v>0</v>
      </c>
      <c r="V89" s="327">
        <v>0</v>
      </c>
    </row>
    <row r="90" spans="1:22" ht="31.5" customHeight="1">
      <c r="A90" s="113" t="s">
        <v>444</v>
      </c>
      <c r="B90" s="21">
        <v>45822</v>
      </c>
      <c r="C90" s="203" t="s">
        <v>445</v>
      </c>
      <c r="D90" s="80" t="s">
        <v>446</v>
      </c>
      <c r="E90" s="65" t="s">
        <v>12</v>
      </c>
      <c r="F90" s="63" t="s">
        <v>36</v>
      </c>
      <c r="G90" s="154">
        <v>10</v>
      </c>
      <c r="H90" s="171"/>
      <c r="I90" s="171"/>
      <c r="P90" s="327">
        <v>0</v>
      </c>
      <c r="Q90" s="327">
        <v>0</v>
      </c>
      <c r="R90" s="327">
        <v>0</v>
      </c>
      <c r="S90" s="327">
        <v>0</v>
      </c>
      <c r="T90" s="327">
        <v>10</v>
      </c>
      <c r="U90" s="327">
        <v>0</v>
      </c>
      <c r="V90" s="327">
        <v>0</v>
      </c>
    </row>
    <row r="91" spans="1:22" ht="31.5" customHeight="1">
      <c r="A91" s="113" t="s">
        <v>447</v>
      </c>
      <c r="B91" s="21">
        <v>45823</v>
      </c>
      <c r="C91" s="203" t="s">
        <v>448</v>
      </c>
      <c r="D91" s="80" t="s">
        <v>446</v>
      </c>
      <c r="E91" s="65" t="s">
        <v>19</v>
      </c>
      <c r="F91" s="63" t="s">
        <v>36</v>
      </c>
      <c r="G91" s="154">
        <v>4</v>
      </c>
      <c r="H91" s="171"/>
      <c r="I91" s="171"/>
      <c r="P91" s="327">
        <v>0</v>
      </c>
      <c r="Q91" s="327">
        <v>0</v>
      </c>
      <c r="R91" s="327">
        <v>0</v>
      </c>
      <c r="S91" s="327">
        <v>0</v>
      </c>
      <c r="T91" s="327">
        <v>0</v>
      </c>
      <c r="U91" s="327">
        <v>0</v>
      </c>
      <c r="V91" s="327">
        <v>4</v>
      </c>
    </row>
    <row r="92" spans="1:22" ht="31.5" customHeight="1">
      <c r="A92" s="113" t="s">
        <v>449</v>
      </c>
      <c r="B92" s="21">
        <v>45827</v>
      </c>
      <c r="C92" s="203" t="s">
        <v>105</v>
      </c>
      <c r="D92" s="80" t="s">
        <v>450</v>
      </c>
      <c r="E92" s="65" t="s">
        <v>17</v>
      </c>
      <c r="F92" s="63" t="s">
        <v>36</v>
      </c>
      <c r="G92" s="154">
        <v>1</v>
      </c>
      <c r="H92" s="171"/>
      <c r="I92" s="171"/>
      <c r="P92" s="327">
        <v>0</v>
      </c>
      <c r="Q92" s="327">
        <v>0</v>
      </c>
      <c r="R92" s="327">
        <v>0</v>
      </c>
      <c r="S92" s="327">
        <v>1</v>
      </c>
      <c r="T92" s="327">
        <v>0</v>
      </c>
      <c r="U92" s="327">
        <v>0</v>
      </c>
      <c r="V92" s="327">
        <v>0</v>
      </c>
    </row>
    <row r="93" spans="1:22" ht="31.5" customHeight="1">
      <c r="A93" s="113" t="s">
        <v>451</v>
      </c>
      <c r="B93" s="21">
        <v>45828</v>
      </c>
      <c r="C93" s="203" t="s">
        <v>452</v>
      </c>
      <c r="D93" s="80" t="s">
        <v>453</v>
      </c>
      <c r="E93" s="65" t="s">
        <v>15</v>
      </c>
      <c r="F93" s="63" t="s">
        <v>36</v>
      </c>
      <c r="G93" s="154">
        <v>2</v>
      </c>
      <c r="H93" s="171"/>
      <c r="I93" s="171"/>
      <c r="J93" s="148"/>
      <c r="P93" s="327">
        <v>0</v>
      </c>
      <c r="Q93" s="327">
        <v>2</v>
      </c>
      <c r="R93" s="327">
        <v>0</v>
      </c>
      <c r="S93" s="327">
        <v>0</v>
      </c>
      <c r="T93" s="327">
        <v>0</v>
      </c>
      <c r="U93" s="327">
        <v>0</v>
      </c>
      <c r="V93" s="327">
        <v>0</v>
      </c>
    </row>
    <row r="94" spans="1:22" ht="31.5" customHeight="1">
      <c r="A94" s="113" t="s">
        <v>454</v>
      </c>
      <c r="B94" s="21">
        <v>45829</v>
      </c>
      <c r="C94" s="203" t="s">
        <v>150</v>
      </c>
      <c r="D94" s="80" t="s">
        <v>455</v>
      </c>
      <c r="E94" s="65" t="s">
        <v>15</v>
      </c>
      <c r="F94" s="63" t="s">
        <v>36</v>
      </c>
      <c r="G94" s="154">
        <v>5</v>
      </c>
      <c r="H94" s="171"/>
      <c r="I94" s="171"/>
      <c r="J94" s="148"/>
      <c r="P94" s="327">
        <v>0</v>
      </c>
      <c r="Q94" s="327">
        <v>5</v>
      </c>
      <c r="R94" s="327">
        <v>0</v>
      </c>
      <c r="S94" s="327">
        <v>0</v>
      </c>
      <c r="T94" s="327">
        <v>0</v>
      </c>
      <c r="U94" s="327">
        <v>0</v>
      </c>
      <c r="V94" s="327">
        <v>0</v>
      </c>
    </row>
    <row r="95" spans="1:22" ht="31.5" customHeight="1">
      <c r="A95" s="113" t="s">
        <v>456</v>
      </c>
      <c r="B95" s="21">
        <v>45832</v>
      </c>
      <c r="C95" s="203" t="s">
        <v>300</v>
      </c>
      <c r="D95" s="80" t="s">
        <v>457</v>
      </c>
      <c r="E95" s="65" t="s">
        <v>15</v>
      </c>
      <c r="F95" s="63" t="s">
        <v>36</v>
      </c>
      <c r="G95" s="154">
        <v>1</v>
      </c>
      <c r="H95" s="171"/>
      <c r="I95" s="171"/>
      <c r="J95" s="148"/>
      <c r="P95" s="327">
        <v>0</v>
      </c>
      <c r="Q95" s="327">
        <v>1</v>
      </c>
      <c r="R95" s="327">
        <v>0</v>
      </c>
      <c r="S95" s="327">
        <v>0</v>
      </c>
      <c r="T95" s="327">
        <v>0</v>
      </c>
      <c r="U95" s="327">
        <v>0</v>
      </c>
      <c r="V95" s="327">
        <v>0</v>
      </c>
    </row>
    <row r="96" spans="1:22" ht="31.5" customHeight="1">
      <c r="A96" s="113" t="s">
        <v>449</v>
      </c>
      <c r="B96" s="21">
        <v>45833</v>
      </c>
      <c r="C96" s="203" t="s">
        <v>105</v>
      </c>
      <c r="D96" s="80" t="s">
        <v>450</v>
      </c>
      <c r="E96" s="65" t="s">
        <v>18</v>
      </c>
      <c r="F96" s="63" t="s">
        <v>36</v>
      </c>
      <c r="G96" s="154">
        <v>1</v>
      </c>
      <c r="H96" s="171"/>
      <c r="I96" s="171"/>
      <c r="J96" s="148"/>
      <c r="P96" s="327">
        <v>0</v>
      </c>
      <c r="Q96" s="327">
        <v>0</v>
      </c>
      <c r="R96" s="327">
        <v>0</v>
      </c>
      <c r="S96" s="327">
        <v>0</v>
      </c>
      <c r="T96" s="327">
        <v>0</v>
      </c>
      <c r="U96" s="327">
        <v>1</v>
      </c>
      <c r="V96" s="327">
        <v>0</v>
      </c>
    </row>
    <row r="97" spans="1:22" ht="31.5" customHeight="1">
      <c r="A97" s="113" t="s">
        <v>458</v>
      </c>
      <c r="B97" s="21">
        <v>45835</v>
      </c>
      <c r="C97" s="203" t="s">
        <v>300</v>
      </c>
      <c r="D97" s="80" t="s">
        <v>459</v>
      </c>
      <c r="E97" s="65" t="s">
        <v>18</v>
      </c>
      <c r="F97" s="63" t="s">
        <v>36</v>
      </c>
      <c r="G97" s="154">
        <v>3</v>
      </c>
      <c r="H97" s="171"/>
      <c r="I97" s="171"/>
      <c r="J97" s="148"/>
      <c r="P97" s="327">
        <v>0</v>
      </c>
      <c r="Q97" s="327">
        <v>0</v>
      </c>
      <c r="R97" s="327">
        <v>0</v>
      </c>
      <c r="S97" s="327">
        <v>0</v>
      </c>
      <c r="T97" s="327">
        <v>0</v>
      </c>
      <c r="U97" s="327">
        <v>3</v>
      </c>
      <c r="V97" s="327">
        <v>0</v>
      </c>
    </row>
    <row r="98" spans="1:22" ht="31.5" customHeight="1">
      <c r="A98" s="113" t="s">
        <v>460</v>
      </c>
      <c r="B98" s="21">
        <v>45835</v>
      </c>
      <c r="C98" s="203" t="s">
        <v>399</v>
      </c>
      <c r="D98" s="80" t="s">
        <v>441</v>
      </c>
      <c r="E98" s="65" t="s">
        <v>14</v>
      </c>
      <c r="F98" s="63" t="s">
        <v>36</v>
      </c>
      <c r="G98" s="154">
        <v>5</v>
      </c>
      <c r="H98" s="171"/>
      <c r="I98" s="171"/>
      <c r="J98" s="148"/>
      <c r="P98" s="327">
        <v>5</v>
      </c>
      <c r="Q98" s="327">
        <v>0</v>
      </c>
      <c r="R98" s="327">
        <v>0</v>
      </c>
      <c r="S98" s="327">
        <v>0</v>
      </c>
      <c r="T98" s="327">
        <v>0</v>
      </c>
      <c r="U98" s="327">
        <v>0</v>
      </c>
      <c r="V98" s="327">
        <v>0</v>
      </c>
    </row>
    <row r="99" spans="1:22" ht="31.5" customHeight="1">
      <c r="A99" s="293" t="s">
        <v>461</v>
      </c>
      <c r="B99" s="210">
        <v>45836</v>
      </c>
      <c r="C99" s="325" t="s">
        <v>39</v>
      </c>
      <c r="D99" s="211" t="s">
        <v>443</v>
      </c>
      <c r="E99" s="67" t="s">
        <v>14</v>
      </c>
      <c r="F99" s="212" t="s">
        <v>36</v>
      </c>
      <c r="G99" s="213">
        <v>8</v>
      </c>
      <c r="H99" s="171"/>
      <c r="I99" s="171"/>
      <c r="J99" s="148"/>
      <c r="P99" s="327">
        <v>8</v>
      </c>
      <c r="Q99" s="327">
        <v>0</v>
      </c>
      <c r="R99" s="327">
        <v>0</v>
      </c>
      <c r="S99" s="327">
        <v>0</v>
      </c>
      <c r="T99" s="327">
        <v>0</v>
      </c>
      <c r="U99" s="327">
        <v>0</v>
      </c>
      <c r="V99" s="327">
        <v>0</v>
      </c>
    </row>
    <row r="100" spans="1:22" ht="31.5" customHeight="1">
      <c r="A100" s="160" t="s">
        <v>462</v>
      </c>
      <c r="B100" s="161">
        <v>45836</v>
      </c>
      <c r="C100" s="326" t="s">
        <v>463</v>
      </c>
      <c r="D100" s="162" t="s">
        <v>459</v>
      </c>
      <c r="E100" s="163" t="s">
        <v>18</v>
      </c>
      <c r="F100" s="163" t="s">
        <v>36</v>
      </c>
      <c r="G100" s="280">
        <v>4</v>
      </c>
      <c r="H100" s="209" t="s">
        <v>98</v>
      </c>
      <c r="I100" s="177">
        <f>SUM(G88:G100)</f>
        <v>53</v>
      </c>
      <c r="J100" s="148"/>
      <c r="P100" s="327">
        <v>0</v>
      </c>
      <c r="Q100" s="327">
        <v>0</v>
      </c>
      <c r="R100" s="327">
        <v>0</v>
      </c>
      <c r="S100" s="327">
        <v>0</v>
      </c>
      <c r="T100" s="327">
        <v>0</v>
      </c>
      <c r="U100" s="327">
        <v>4</v>
      </c>
      <c r="V100" s="327">
        <v>0</v>
      </c>
    </row>
    <row r="101" spans="1:22" ht="31.5" customHeight="1">
      <c r="A101" s="294" t="s">
        <v>464</v>
      </c>
      <c r="B101" s="295">
        <v>45841</v>
      </c>
      <c r="C101" s="296" t="s">
        <v>29</v>
      </c>
      <c r="D101" s="297" t="s">
        <v>465</v>
      </c>
      <c r="E101" s="296" t="s">
        <v>19</v>
      </c>
      <c r="F101" s="298" t="s">
        <v>36</v>
      </c>
      <c r="G101" s="299">
        <v>1</v>
      </c>
      <c r="H101" s="171"/>
      <c r="I101" s="171"/>
      <c r="J101" s="148"/>
      <c r="P101" s="327">
        <v>0</v>
      </c>
      <c r="Q101" s="327">
        <v>0</v>
      </c>
      <c r="R101" s="327">
        <v>0</v>
      </c>
      <c r="S101" s="327">
        <v>0</v>
      </c>
      <c r="T101" s="327">
        <v>0</v>
      </c>
      <c r="U101" s="327">
        <v>0</v>
      </c>
      <c r="V101" s="327">
        <v>1</v>
      </c>
    </row>
    <row r="102" spans="1:22" ht="31.5" customHeight="1">
      <c r="A102" s="99" t="s">
        <v>466</v>
      </c>
      <c r="B102" s="6">
        <v>45842</v>
      </c>
      <c r="C102" s="48" t="s">
        <v>68</v>
      </c>
      <c r="D102" s="216" t="s">
        <v>465</v>
      </c>
      <c r="E102" s="48" t="s">
        <v>19</v>
      </c>
      <c r="F102" s="217" t="s">
        <v>36</v>
      </c>
      <c r="G102" s="146">
        <v>2</v>
      </c>
      <c r="H102" s="171"/>
      <c r="I102" s="171"/>
      <c r="J102" s="148"/>
      <c r="P102" s="327">
        <v>0</v>
      </c>
      <c r="Q102" s="327">
        <v>0</v>
      </c>
      <c r="R102" s="327">
        <v>0</v>
      </c>
      <c r="S102" s="327">
        <v>0</v>
      </c>
      <c r="T102" s="327">
        <v>0</v>
      </c>
      <c r="U102" s="327">
        <v>0</v>
      </c>
      <c r="V102" s="327">
        <v>2</v>
      </c>
    </row>
    <row r="103" spans="1:22" ht="31.5" customHeight="1">
      <c r="A103" s="99" t="s">
        <v>467</v>
      </c>
      <c r="B103" s="6">
        <v>45842</v>
      </c>
      <c r="C103" s="48" t="s">
        <v>468</v>
      </c>
      <c r="D103" s="216" t="s">
        <v>469</v>
      </c>
      <c r="E103" s="48" t="s">
        <v>17</v>
      </c>
      <c r="F103" s="217" t="s">
        <v>36</v>
      </c>
      <c r="G103" s="146">
        <v>7.5</v>
      </c>
      <c r="H103" s="171"/>
      <c r="I103" s="171"/>
      <c r="J103" s="148"/>
      <c r="P103" s="327">
        <v>0</v>
      </c>
      <c r="Q103" s="327">
        <v>0</v>
      </c>
      <c r="R103" s="327">
        <v>0</v>
      </c>
      <c r="S103" s="327">
        <v>7.5</v>
      </c>
      <c r="T103" s="327">
        <v>0</v>
      </c>
      <c r="U103" s="327">
        <v>0</v>
      </c>
      <c r="V103" s="327">
        <v>0</v>
      </c>
    </row>
    <row r="104" spans="1:22" ht="31.5" customHeight="1">
      <c r="A104" s="99" t="s">
        <v>470</v>
      </c>
      <c r="B104" s="6">
        <v>45843</v>
      </c>
      <c r="C104" s="48" t="s">
        <v>60</v>
      </c>
      <c r="D104" s="216" t="s">
        <v>471</v>
      </c>
      <c r="E104" s="48" t="s">
        <v>17</v>
      </c>
      <c r="F104" s="217" t="s">
        <v>36</v>
      </c>
      <c r="G104" s="146">
        <v>6</v>
      </c>
      <c r="H104" s="171"/>
      <c r="I104" s="171"/>
      <c r="J104" s="148"/>
      <c r="P104" s="327">
        <v>0</v>
      </c>
      <c r="Q104" s="327">
        <v>0</v>
      </c>
      <c r="R104" s="327">
        <v>0</v>
      </c>
      <c r="S104" s="327">
        <v>6</v>
      </c>
      <c r="T104" s="327">
        <v>0</v>
      </c>
      <c r="U104" s="327">
        <v>0</v>
      </c>
      <c r="V104" s="327">
        <v>0</v>
      </c>
    </row>
    <row r="105" spans="1:22" ht="31.5" customHeight="1">
      <c r="A105" s="99" t="s">
        <v>472</v>
      </c>
      <c r="B105" s="6">
        <v>45845</v>
      </c>
      <c r="C105" s="48" t="s">
        <v>29</v>
      </c>
      <c r="D105" s="216" t="s">
        <v>473</v>
      </c>
      <c r="E105" s="48" t="s">
        <v>19</v>
      </c>
      <c r="F105" s="217" t="s">
        <v>31</v>
      </c>
      <c r="G105" s="146">
        <v>1</v>
      </c>
      <c r="H105" s="171"/>
      <c r="I105" s="171"/>
      <c r="J105" s="148"/>
      <c r="P105" s="327">
        <v>0</v>
      </c>
      <c r="Q105" s="327">
        <v>0</v>
      </c>
      <c r="R105" s="327">
        <v>0</v>
      </c>
      <c r="S105" s="327">
        <v>0</v>
      </c>
      <c r="T105" s="327">
        <v>0</v>
      </c>
      <c r="U105" s="327">
        <v>0</v>
      </c>
      <c r="V105" s="327">
        <v>1</v>
      </c>
    </row>
    <row r="106" spans="1:22" ht="31.5" customHeight="1">
      <c r="A106" s="99" t="s">
        <v>474</v>
      </c>
      <c r="B106" s="6">
        <v>45845</v>
      </c>
      <c r="C106" s="48" t="s">
        <v>145</v>
      </c>
      <c r="D106" s="216" t="s">
        <v>475</v>
      </c>
      <c r="E106" s="48" t="s">
        <v>11</v>
      </c>
      <c r="F106" s="217" t="s">
        <v>36</v>
      </c>
      <c r="G106" s="146">
        <v>2</v>
      </c>
      <c r="H106" s="171"/>
      <c r="I106" s="171"/>
      <c r="J106" s="148"/>
      <c r="P106" s="327">
        <v>0</v>
      </c>
      <c r="Q106" s="327">
        <v>0</v>
      </c>
      <c r="R106" s="327">
        <v>0</v>
      </c>
      <c r="S106" s="327">
        <v>0</v>
      </c>
      <c r="T106" s="327">
        <v>0</v>
      </c>
      <c r="U106" s="327">
        <v>0</v>
      </c>
      <c r="V106" s="327">
        <v>0</v>
      </c>
    </row>
    <row r="107" spans="1:22" ht="31.5" customHeight="1">
      <c r="A107" s="99" t="s">
        <v>476</v>
      </c>
      <c r="B107" s="6">
        <v>45846</v>
      </c>
      <c r="C107" s="48" t="s">
        <v>68</v>
      </c>
      <c r="D107" s="216" t="s">
        <v>477</v>
      </c>
      <c r="E107" s="48" t="s">
        <v>11</v>
      </c>
      <c r="F107" s="217" t="s">
        <v>31</v>
      </c>
      <c r="G107" s="146">
        <v>2</v>
      </c>
      <c r="H107" s="171"/>
      <c r="I107" s="171"/>
      <c r="J107" s="148"/>
      <c r="P107" s="327">
        <v>0</v>
      </c>
      <c r="Q107" s="327">
        <v>0</v>
      </c>
      <c r="R107" s="327">
        <v>0</v>
      </c>
      <c r="S107" s="327">
        <v>0</v>
      </c>
      <c r="T107" s="327">
        <v>0</v>
      </c>
      <c r="U107" s="327">
        <v>0</v>
      </c>
      <c r="V107" s="327">
        <v>0</v>
      </c>
    </row>
    <row r="108" spans="1:22" ht="31.5" customHeight="1">
      <c r="A108" s="99" t="s">
        <v>478</v>
      </c>
      <c r="B108" s="6">
        <v>45852</v>
      </c>
      <c r="C108" s="48" t="s">
        <v>68</v>
      </c>
      <c r="D108" s="216" t="s">
        <v>465</v>
      </c>
      <c r="E108" s="48" t="s">
        <v>17</v>
      </c>
      <c r="F108" s="217" t="s">
        <v>31</v>
      </c>
      <c r="G108" s="146">
        <v>2</v>
      </c>
      <c r="H108" s="171"/>
      <c r="I108" s="171"/>
      <c r="J108" s="148"/>
      <c r="P108" s="327">
        <v>0</v>
      </c>
      <c r="Q108" s="327">
        <v>0</v>
      </c>
      <c r="R108" s="327">
        <v>0</v>
      </c>
      <c r="S108" s="327">
        <v>2</v>
      </c>
      <c r="T108" s="327">
        <v>0</v>
      </c>
      <c r="U108" s="327">
        <v>0</v>
      </c>
      <c r="V108" s="327">
        <v>0</v>
      </c>
    </row>
    <row r="109" spans="1:22" ht="31.5" customHeight="1">
      <c r="A109" s="99" t="s">
        <v>479</v>
      </c>
      <c r="B109" s="6">
        <v>45853</v>
      </c>
      <c r="C109" s="48" t="s">
        <v>95</v>
      </c>
      <c r="D109" s="216" t="s">
        <v>465</v>
      </c>
      <c r="E109" s="48" t="s">
        <v>15</v>
      </c>
      <c r="F109" s="217" t="s">
        <v>31</v>
      </c>
      <c r="G109" s="146">
        <v>2</v>
      </c>
      <c r="H109" s="171"/>
      <c r="I109" s="171"/>
      <c r="J109" s="148"/>
      <c r="P109" s="327">
        <v>0</v>
      </c>
      <c r="Q109" s="327">
        <v>2</v>
      </c>
      <c r="R109" s="327">
        <v>0</v>
      </c>
      <c r="S109" s="327">
        <v>0</v>
      </c>
      <c r="T109" s="327">
        <v>0</v>
      </c>
      <c r="U109" s="327">
        <v>0</v>
      </c>
      <c r="V109" s="327">
        <v>0</v>
      </c>
    </row>
    <row r="110" spans="1:22" ht="31.5" customHeight="1">
      <c r="A110" s="99" t="s">
        <v>480</v>
      </c>
      <c r="B110" s="6">
        <v>45854</v>
      </c>
      <c r="C110" s="48" t="s">
        <v>481</v>
      </c>
      <c r="D110" s="216" t="s">
        <v>482</v>
      </c>
      <c r="E110" s="48" t="s">
        <v>17</v>
      </c>
      <c r="F110" s="217" t="s">
        <v>31</v>
      </c>
      <c r="G110" s="146">
        <v>3.5</v>
      </c>
      <c r="H110" s="171"/>
      <c r="I110" s="171"/>
      <c r="J110" s="148"/>
      <c r="P110" s="327">
        <v>0</v>
      </c>
      <c r="Q110" s="327">
        <v>0</v>
      </c>
      <c r="R110" s="327">
        <v>0</v>
      </c>
      <c r="S110" s="327">
        <v>3.5</v>
      </c>
      <c r="T110" s="327">
        <v>0</v>
      </c>
      <c r="U110" s="327">
        <v>0</v>
      </c>
      <c r="V110" s="327">
        <v>0</v>
      </c>
    </row>
    <row r="111" spans="1:22" ht="31.5" customHeight="1">
      <c r="A111" s="99" t="s">
        <v>480</v>
      </c>
      <c r="B111" s="6">
        <v>45854</v>
      </c>
      <c r="C111" s="48" t="s">
        <v>481</v>
      </c>
      <c r="D111" s="216" t="s">
        <v>482</v>
      </c>
      <c r="E111" s="48" t="s">
        <v>19</v>
      </c>
      <c r="F111" s="217" t="s">
        <v>31</v>
      </c>
      <c r="G111" s="146">
        <v>3.5</v>
      </c>
      <c r="H111" s="171"/>
      <c r="I111" s="171"/>
      <c r="J111" s="148"/>
      <c r="P111" s="327">
        <v>0</v>
      </c>
      <c r="Q111" s="327">
        <v>0</v>
      </c>
      <c r="R111" s="327">
        <v>0</v>
      </c>
      <c r="S111" s="327">
        <v>0</v>
      </c>
      <c r="T111" s="327">
        <v>0</v>
      </c>
      <c r="U111" s="327">
        <v>0</v>
      </c>
      <c r="V111" s="327">
        <v>3.5</v>
      </c>
    </row>
    <row r="112" spans="1:22" ht="31.5" customHeight="1">
      <c r="A112" s="99" t="s">
        <v>483</v>
      </c>
      <c r="B112" s="6">
        <v>45855</v>
      </c>
      <c r="C112" s="48" t="s">
        <v>68</v>
      </c>
      <c r="D112" s="216" t="s">
        <v>465</v>
      </c>
      <c r="E112" s="48" t="s">
        <v>11</v>
      </c>
      <c r="F112" s="217" t="s">
        <v>31</v>
      </c>
      <c r="G112" s="146">
        <v>2</v>
      </c>
      <c r="H112" s="171"/>
      <c r="I112" s="171"/>
      <c r="J112" s="148"/>
      <c r="P112" s="327">
        <v>0</v>
      </c>
      <c r="Q112" s="327">
        <v>0</v>
      </c>
      <c r="R112" s="327">
        <v>0</v>
      </c>
      <c r="S112" s="327">
        <v>0</v>
      </c>
      <c r="T112" s="327">
        <v>0</v>
      </c>
      <c r="U112" s="327">
        <v>0</v>
      </c>
      <c r="V112" s="327">
        <v>0</v>
      </c>
    </row>
    <row r="113" spans="1:22" ht="31.5" customHeight="1">
      <c r="A113" s="214" t="s">
        <v>484</v>
      </c>
      <c r="B113" s="155">
        <v>45861</v>
      </c>
      <c r="C113" s="156" t="s">
        <v>29</v>
      </c>
      <c r="D113" s="267" t="s">
        <v>485</v>
      </c>
      <c r="E113" s="156" t="s">
        <v>18</v>
      </c>
      <c r="F113" s="268" t="s">
        <v>31</v>
      </c>
      <c r="G113" s="215">
        <v>1</v>
      </c>
      <c r="H113" s="171"/>
      <c r="I113" s="171"/>
      <c r="J113" s="148"/>
      <c r="P113" s="327">
        <v>0</v>
      </c>
      <c r="Q113" s="327">
        <v>0</v>
      </c>
      <c r="R113" s="327">
        <v>0</v>
      </c>
      <c r="S113" s="327">
        <v>0</v>
      </c>
      <c r="T113" s="327">
        <v>0</v>
      </c>
      <c r="U113" s="327">
        <v>1</v>
      </c>
      <c r="V113" s="327">
        <v>0</v>
      </c>
    </row>
    <row r="114" spans="1:22" ht="31.5" customHeight="1">
      <c r="A114" s="117" t="s">
        <v>486</v>
      </c>
      <c r="B114" s="11">
        <v>45867</v>
      </c>
      <c r="C114" s="49" t="s">
        <v>105</v>
      </c>
      <c r="D114" s="73" t="s">
        <v>487</v>
      </c>
      <c r="E114" s="49" t="s">
        <v>18</v>
      </c>
      <c r="F114" s="49" t="s">
        <v>31</v>
      </c>
      <c r="G114" s="291">
        <v>1</v>
      </c>
      <c r="H114" s="292" t="s">
        <v>98</v>
      </c>
      <c r="I114" s="172">
        <f>SUM(G101:G114)</f>
        <v>36.5</v>
      </c>
      <c r="J114" s="148"/>
      <c r="P114" s="327">
        <v>0</v>
      </c>
      <c r="Q114" s="327">
        <v>0</v>
      </c>
      <c r="R114" s="327">
        <v>0</v>
      </c>
      <c r="S114" s="327">
        <v>0</v>
      </c>
      <c r="T114" s="327">
        <v>0</v>
      </c>
      <c r="U114" s="327">
        <v>1</v>
      </c>
      <c r="V114" s="327">
        <v>0</v>
      </c>
    </row>
    <row r="115" spans="1:22" ht="31.5" customHeight="1">
      <c r="A115" s="101" t="s">
        <v>488</v>
      </c>
      <c r="B115" s="13">
        <v>45877</v>
      </c>
      <c r="C115" s="50" t="s">
        <v>29</v>
      </c>
      <c r="D115" s="74" t="s">
        <v>489</v>
      </c>
      <c r="E115" s="50" t="s">
        <v>18</v>
      </c>
      <c r="F115" s="50" t="s">
        <v>36</v>
      </c>
      <c r="G115" s="219">
        <v>1</v>
      </c>
      <c r="H115" s="171"/>
      <c r="I115" s="171"/>
      <c r="J115" s="148"/>
      <c r="P115" s="327">
        <v>0</v>
      </c>
      <c r="Q115" s="327">
        <v>0</v>
      </c>
      <c r="R115" s="327">
        <v>0</v>
      </c>
      <c r="S115" s="327">
        <v>0</v>
      </c>
      <c r="T115" s="327">
        <v>0</v>
      </c>
      <c r="U115" s="327">
        <v>1</v>
      </c>
      <c r="V115" s="327">
        <v>0</v>
      </c>
    </row>
    <row r="116" spans="1:22" ht="31.5" customHeight="1">
      <c r="A116" s="101" t="s">
        <v>490</v>
      </c>
      <c r="B116" s="13">
        <v>45878</v>
      </c>
      <c r="C116" s="51" t="s">
        <v>491</v>
      </c>
      <c r="D116" s="75" t="s">
        <v>492</v>
      </c>
      <c r="E116" s="50" t="s">
        <v>18</v>
      </c>
      <c r="F116" s="50" t="s">
        <v>36</v>
      </c>
      <c r="G116" s="219">
        <v>2</v>
      </c>
      <c r="H116" s="171"/>
      <c r="I116" s="171"/>
      <c r="J116" s="148"/>
      <c r="P116" s="327">
        <v>0</v>
      </c>
      <c r="Q116" s="327">
        <v>0</v>
      </c>
      <c r="R116" s="327">
        <v>0</v>
      </c>
      <c r="S116" s="327">
        <v>0</v>
      </c>
      <c r="T116" s="327">
        <v>0</v>
      </c>
      <c r="U116" s="327">
        <v>2</v>
      </c>
      <c r="V116" s="327">
        <v>0</v>
      </c>
    </row>
    <row r="117" spans="1:22" ht="31.5" customHeight="1">
      <c r="A117" s="101" t="s">
        <v>493</v>
      </c>
      <c r="B117" s="13">
        <v>45880</v>
      </c>
      <c r="C117" s="51" t="s">
        <v>145</v>
      </c>
      <c r="D117" s="75" t="s">
        <v>494</v>
      </c>
      <c r="E117" s="50" t="s">
        <v>11</v>
      </c>
      <c r="F117" s="50" t="s">
        <v>36</v>
      </c>
      <c r="G117" s="219">
        <v>2</v>
      </c>
      <c r="H117" s="171"/>
      <c r="J117" s="148"/>
      <c r="P117" s="327">
        <v>0</v>
      </c>
      <c r="Q117" s="327">
        <v>0</v>
      </c>
      <c r="R117" s="327">
        <v>0</v>
      </c>
      <c r="S117" s="327">
        <v>0</v>
      </c>
      <c r="T117" s="327">
        <v>0</v>
      </c>
      <c r="U117" s="327">
        <v>0</v>
      </c>
      <c r="V117" s="327">
        <v>0</v>
      </c>
    </row>
    <row r="118" spans="1:22" ht="31.5" customHeight="1">
      <c r="A118" s="101" t="s">
        <v>495</v>
      </c>
      <c r="B118" s="13">
        <v>45880</v>
      </c>
      <c r="C118" s="51" t="s">
        <v>29</v>
      </c>
      <c r="D118" s="75" t="s">
        <v>496</v>
      </c>
      <c r="E118" s="50" t="s">
        <v>12</v>
      </c>
      <c r="F118" s="50" t="s">
        <v>31</v>
      </c>
      <c r="G118" s="219">
        <v>1</v>
      </c>
      <c r="H118" s="171"/>
      <c r="I118" s="171"/>
      <c r="J118" s="148"/>
      <c r="P118" s="327">
        <v>0</v>
      </c>
      <c r="Q118" s="327">
        <v>0</v>
      </c>
      <c r="R118" s="327">
        <v>0</v>
      </c>
      <c r="S118" s="327">
        <v>0</v>
      </c>
      <c r="T118" s="327">
        <v>1</v>
      </c>
      <c r="U118" s="327">
        <v>0</v>
      </c>
      <c r="V118" s="327">
        <v>0</v>
      </c>
    </row>
    <row r="119" spans="1:22" ht="31.5" customHeight="1">
      <c r="A119" s="342" t="s">
        <v>497</v>
      </c>
      <c r="B119" s="13">
        <v>45881</v>
      </c>
      <c r="C119" s="51" t="s">
        <v>29</v>
      </c>
      <c r="D119" s="75" t="s">
        <v>498</v>
      </c>
      <c r="E119" s="50" t="s">
        <v>12</v>
      </c>
      <c r="F119" s="50" t="s">
        <v>31</v>
      </c>
      <c r="G119" s="219">
        <v>1</v>
      </c>
      <c r="H119" s="171"/>
      <c r="I119" s="171"/>
      <c r="J119" s="148"/>
      <c r="P119" s="327">
        <v>0</v>
      </c>
      <c r="Q119" s="327">
        <v>0</v>
      </c>
      <c r="R119" s="327">
        <v>0</v>
      </c>
      <c r="S119" s="327">
        <v>0</v>
      </c>
      <c r="T119" s="327">
        <v>1</v>
      </c>
      <c r="U119" s="327">
        <v>0</v>
      </c>
      <c r="V119" s="327">
        <v>0</v>
      </c>
    </row>
    <row r="120" spans="1:22" ht="31.5" customHeight="1">
      <c r="A120" s="101" t="s">
        <v>499</v>
      </c>
      <c r="B120" s="13">
        <v>45882</v>
      </c>
      <c r="C120" s="51" t="s">
        <v>500</v>
      </c>
      <c r="D120" s="75" t="s">
        <v>501</v>
      </c>
      <c r="E120" s="50" t="s">
        <v>17</v>
      </c>
      <c r="F120" s="50" t="s">
        <v>36</v>
      </c>
      <c r="G120" s="219">
        <v>3.5</v>
      </c>
      <c r="H120" s="171"/>
      <c r="I120" s="171"/>
      <c r="J120" s="148"/>
      <c r="P120" s="327">
        <v>0</v>
      </c>
      <c r="Q120" s="327">
        <v>0</v>
      </c>
      <c r="R120" s="327">
        <v>0</v>
      </c>
      <c r="S120" s="327">
        <v>3.5</v>
      </c>
      <c r="T120" s="327">
        <v>0</v>
      </c>
      <c r="U120" s="327">
        <v>0</v>
      </c>
      <c r="V120" s="327">
        <v>0</v>
      </c>
    </row>
    <row r="121" spans="1:22" ht="31.5" customHeight="1">
      <c r="A121" s="101" t="s">
        <v>502</v>
      </c>
      <c r="B121" s="13">
        <v>45882</v>
      </c>
      <c r="C121" s="51" t="s">
        <v>29</v>
      </c>
      <c r="D121" s="75" t="s">
        <v>503</v>
      </c>
      <c r="E121" s="50" t="s">
        <v>12</v>
      </c>
      <c r="F121" s="50" t="s">
        <v>31</v>
      </c>
      <c r="G121" s="219">
        <v>1</v>
      </c>
      <c r="H121" s="171"/>
      <c r="I121" s="171"/>
      <c r="J121" s="148"/>
      <c r="P121" s="327">
        <v>0</v>
      </c>
      <c r="Q121" s="327">
        <v>0</v>
      </c>
      <c r="R121" s="327">
        <v>0</v>
      </c>
      <c r="S121" s="327">
        <v>0</v>
      </c>
      <c r="T121" s="327">
        <v>1</v>
      </c>
      <c r="U121" s="327">
        <v>0</v>
      </c>
      <c r="V121" s="327">
        <v>0</v>
      </c>
    </row>
    <row r="122" spans="1:22" ht="31.5" customHeight="1">
      <c r="A122" s="342" t="s">
        <v>504</v>
      </c>
      <c r="B122" s="13">
        <v>45887</v>
      </c>
      <c r="C122" s="51" t="s">
        <v>29</v>
      </c>
      <c r="D122" s="75" t="s">
        <v>505</v>
      </c>
      <c r="E122" s="50" t="s">
        <v>15</v>
      </c>
      <c r="F122" s="50" t="s">
        <v>31</v>
      </c>
      <c r="G122" s="219">
        <v>1</v>
      </c>
      <c r="H122" s="171"/>
      <c r="I122" s="171"/>
      <c r="J122" s="148"/>
      <c r="P122" s="327">
        <v>0</v>
      </c>
      <c r="Q122" s="327">
        <v>1</v>
      </c>
      <c r="R122" s="327">
        <v>0</v>
      </c>
      <c r="S122" s="327">
        <v>0</v>
      </c>
      <c r="T122" s="327">
        <v>0</v>
      </c>
      <c r="U122" s="327">
        <v>0</v>
      </c>
      <c r="V122" s="327">
        <v>0</v>
      </c>
    </row>
    <row r="123" spans="1:22" ht="31.5" customHeight="1">
      <c r="A123" s="101" t="s">
        <v>506</v>
      </c>
      <c r="B123" s="13">
        <v>45888</v>
      </c>
      <c r="C123" s="51" t="s">
        <v>29</v>
      </c>
      <c r="D123" s="75" t="s">
        <v>507</v>
      </c>
      <c r="E123" s="50" t="s">
        <v>15</v>
      </c>
      <c r="F123" s="50" t="s">
        <v>31</v>
      </c>
      <c r="G123" s="219">
        <v>1</v>
      </c>
      <c r="H123" s="171"/>
      <c r="I123" s="171"/>
      <c r="J123" s="148"/>
      <c r="P123" s="327">
        <v>0</v>
      </c>
      <c r="Q123" s="327">
        <v>1</v>
      </c>
      <c r="R123" s="327">
        <v>0</v>
      </c>
      <c r="S123" s="327">
        <v>0</v>
      </c>
      <c r="T123" s="327">
        <v>0</v>
      </c>
      <c r="U123" s="327">
        <v>0</v>
      </c>
      <c r="V123" s="327">
        <v>0</v>
      </c>
    </row>
    <row r="124" spans="1:22" ht="31.5" customHeight="1">
      <c r="A124" s="101" t="s">
        <v>508</v>
      </c>
      <c r="B124" s="13">
        <v>45888</v>
      </c>
      <c r="C124" s="51" t="s">
        <v>29</v>
      </c>
      <c r="D124" s="75" t="s">
        <v>509</v>
      </c>
      <c r="E124" s="50" t="s">
        <v>14</v>
      </c>
      <c r="F124" s="50" t="s">
        <v>36</v>
      </c>
      <c r="G124" s="219">
        <v>1</v>
      </c>
      <c r="H124" s="171"/>
      <c r="I124" s="171"/>
      <c r="J124" s="148"/>
      <c r="P124" s="327">
        <v>1</v>
      </c>
      <c r="Q124" s="327">
        <v>0</v>
      </c>
      <c r="R124" s="327">
        <v>0</v>
      </c>
      <c r="S124" s="327">
        <v>0</v>
      </c>
      <c r="T124" s="327">
        <v>0</v>
      </c>
      <c r="U124" s="327">
        <v>0</v>
      </c>
      <c r="V124" s="327">
        <v>0</v>
      </c>
    </row>
    <row r="125" spans="1:22" ht="31.5" customHeight="1">
      <c r="A125" s="101" t="s">
        <v>510</v>
      </c>
      <c r="B125" s="13">
        <v>45889</v>
      </c>
      <c r="C125" s="51" t="s">
        <v>29</v>
      </c>
      <c r="D125" s="75" t="s">
        <v>511</v>
      </c>
      <c r="E125" s="50" t="s">
        <v>15</v>
      </c>
      <c r="F125" s="50" t="s">
        <v>31</v>
      </c>
      <c r="G125" s="219">
        <v>1</v>
      </c>
      <c r="H125" s="171"/>
      <c r="I125" s="171"/>
      <c r="J125" s="148"/>
      <c r="P125" s="327">
        <v>0</v>
      </c>
      <c r="Q125" s="327">
        <v>1</v>
      </c>
      <c r="R125" s="327">
        <v>0</v>
      </c>
      <c r="S125" s="327">
        <v>0</v>
      </c>
      <c r="T125" s="327">
        <v>0</v>
      </c>
      <c r="U125" s="327">
        <v>0</v>
      </c>
      <c r="V125" s="327">
        <v>0</v>
      </c>
    </row>
    <row r="126" spans="1:22" ht="31.5" customHeight="1">
      <c r="A126" s="101" t="s">
        <v>512</v>
      </c>
      <c r="B126" s="13">
        <v>45889</v>
      </c>
      <c r="C126" s="51" t="s">
        <v>43</v>
      </c>
      <c r="D126" s="75" t="s">
        <v>513</v>
      </c>
      <c r="E126" s="50" t="s">
        <v>14</v>
      </c>
      <c r="F126" s="50" t="s">
        <v>36</v>
      </c>
      <c r="G126" s="219">
        <v>3</v>
      </c>
      <c r="H126" s="171"/>
      <c r="I126" s="171"/>
      <c r="J126" s="148"/>
      <c r="P126" s="327">
        <v>3</v>
      </c>
      <c r="Q126" s="327">
        <v>0</v>
      </c>
      <c r="R126" s="327">
        <v>0</v>
      </c>
      <c r="S126" s="327">
        <v>0</v>
      </c>
      <c r="T126" s="327">
        <v>0</v>
      </c>
      <c r="U126" s="327">
        <v>0</v>
      </c>
      <c r="V126" s="327">
        <v>0</v>
      </c>
    </row>
    <row r="127" spans="1:22" ht="31.5" customHeight="1">
      <c r="A127" s="101" t="s">
        <v>514</v>
      </c>
      <c r="B127" s="13">
        <v>45889</v>
      </c>
      <c r="C127" s="51" t="s">
        <v>34</v>
      </c>
      <c r="D127" s="75" t="s">
        <v>515</v>
      </c>
      <c r="E127" s="50" t="s">
        <v>15</v>
      </c>
      <c r="F127" s="50" t="s">
        <v>36</v>
      </c>
      <c r="G127" s="219">
        <v>4</v>
      </c>
      <c r="H127" s="171"/>
      <c r="I127" s="171"/>
      <c r="J127" s="148"/>
      <c r="P127" s="327">
        <v>0</v>
      </c>
      <c r="Q127" s="327">
        <v>4</v>
      </c>
      <c r="R127" s="327">
        <v>0</v>
      </c>
      <c r="S127" s="327">
        <v>0</v>
      </c>
      <c r="T127" s="327">
        <v>0</v>
      </c>
      <c r="U127" s="327">
        <v>0</v>
      </c>
      <c r="V127" s="327">
        <v>0</v>
      </c>
    </row>
    <row r="128" spans="1:22" ht="31.5" customHeight="1">
      <c r="A128" s="101" t="s">
        <v>516</v>
      </c>
      <c r="B128" s="13">
        <v>45890</v>
      </c>
      <c r="C128" s="51" t="s">
        <v>29</v>
      </c>
      <c r="D128" s="75" t="s">
        <v>517</v>
      </c>
      <c r="E128" s="50" t="s">
        <v>15</v>
      </c>
      <c r="F128" s="50" t="s">
        <v>31</v>
      </c>
      <c r="G128" s="219">
        <v>1</v>
      </c>
      <c r="H128" s="171"/>
      <c r="I128" s="171"/>
      <c r="J128" s="148"/>
      <c r="P128" s="327">
        <v>0</v>
      </c>
      <c r="Q128" s="327">
        <v>1</v>
      </c>
      <c r="R128" s="327">
        <v>0</v>
      </c>
      <c r="S128" s="327">
        <v>0</v>
      </c>
      <c r="T128" s="327">
        <v>0</v>
      </c>
      <c r="U128" s="327">
        <v>0</v>
      </c>
      <c r="V128" s="327">
        <v>0</v>
      </c>
    </row>
    <row r="129" spans="1:22" ht="31.5" customHeight="1">
      <c r="A129" s="101" t="s">
        <v>518</v>
      </c>
      <c r="B129" s="13">
        <v>45891</v>
      </c>
      <c r="C129" s="51" t="s">
        <v>29</v>
      </c>
      <c r="D129" s="75" t="s">
        <v>519</v>
      </c>
      <c r="E129" s="50" t="s">
        <v>15</v>
      </c>
      <c r="F129" s="50" t="s">
        <v>31</v>
      </c>
      <c r="G129" s="219">
        <v>1</v>
      </c>
      <c r="H129" s="171"/>
      <c r="I129" s="171"/>
      <c r="J129" s="148"/>
      <c r="P129" s="327">
        <v>0</v>
      </c>
      <c r="Q129" s="327">
        <v>1</v>
      </c>
      <c r="R129" s="327">
        <v>0</v>
      </c>
      <c r="S129" s="327">
        <v>0</v>
      </c>
      <c r="T129" s="327">
        <v>0</v>
      </c>
      <c r="U129" s="327">
        <v>0</v>
      </c>
      <c r="V129" s="327">
        <v>0</v>
      </c>
    </row>
    <row r="130" spans="1:22" ht="31.5" customHeight="1">
      <c r="A130" s="101" t="s">
        <v>520</v>
      </c>
      <c r="B130" s="13">
        <v>45891</v>
      </c>
      <c r="C130" s="51" t="s">
        <v>34</v>
      </c>
      <c r="D130" s="75" t="s">
        <v>521</v>
      </c>
      <c r="E130" s="50" t="s">
        <v>11</v>
      </c>
      <c r="F130" s="50" t="s">
        <v>36</v>
      </c>
      <c r="G130" s="219">
        <v>4</v>
      </c>
      <c r="H130" s="171"/>
      <c r="I130" s="171"/>
      <c r="J130" s="148"/>
      <c r="P130" s="327">
        <v>0</v>
      </c>
      <c r="Q130" s="327">
        <v>0</v>
      </c>
      <c r="R130" s="327">
        <v>0</v>
      </c>
      <c r="S130" s="327">
        <v>0</v>
      </c>
      <c r="T130" s="327">
        <v>0</v>
      </c>
      <c r="U130" s="327">
        <v>0</v>
      </c>
      <c r="V130" s="327">
        <v>0</v>
      </c>
    </row>
    <row r="131" spans="1:22" ht="31.5" customHeight="1">
      <c r="A131" s="101" t="s">
        <v>522</v>
      </c>
      <c r="B131" s="13">
        <v>45892</v>
      </c>
      <c r="C131" s="51" t="s">
        <v>463</v>
      </c>
      <c r="D131" s="75" t="s">
        <v>523</v>
      </c>
      <c r="E131" s="50" t="s">
        <v>11</v>
      </c>
      <c r="F131" s="50" t="s">
        <v>36</v>
      </c>
      <c r="G131" s="219">
        <v>4</v>
      </c>
      <c r="H131" s="171"/>
      <c r="I131" s="171"/>
      <c r="J131" s="148"/>
      <c r="P131" s="327">
        <v>0</v>
      </c>
      <c r="Q131" s="327">
        <v>0</v>
      </c>
      <c r="R131" s="327">
        <v>0</v>
      </c>
      <c r="S131" s="327">
        <v>0</v>
      </c>
      <c r="T131" s="327">
        <v>0</v>
      </c>
      <c r="U131" s="327">
        <v>0</v>
      </c>
      <c r="V131" s="327">
        <v>0</v>
      </c>
    </row>
    <row r="132" spans="1:22" ht="31.5" customHeight="1">
      <c r="A132" s="101" t="s">
        <v>524</v>
      </c>
      <c r="B132" s="13">
        <v>45892</v>
      </c>
      <c r="C132" s="51" t="s">
        <v>39</v>
      </c>
      <c r="D132" s="75" t="s">
        <v>525</v>
      </c>
      <c r="E132" s="50" t="s">
        <v>12</v>
      </c>
      <c r="F132" s="50" t="s">
        <v>36</v>
      </c>
      <c r="G132" s="219">
        <v>8</v>
      </c>
      <c r="H132" s="171"/>
      <c r="I132" s="171"/>
      <c r="J132" s="148"/>
      <c r="P132" s="327">
        <v>0</v>
      </c>
      <c r="Q132" s="327">
        <v>0</v>
      </c>
      <c r="R132" s="327">
        <v>0</v>
      </c>
      <c r="S132" s="327">
        <v>0</v>
      </c>
      <c r="T132" s="327">
        <v>8</v>
      </c>
      <c r="U132" s="327">
        <v>0</v>
      </c>
      <c r="V132" s="327">
        <v>0</v>
      </c>
    </row>
    <row r="133" spans="1:22" ht="31.5" customHeight="1">
      <c r="A133" s="101" t="s">
        <v>508</v>
      </c>
      <c r="B133" s="13">
        <v>45894</v>
      </c>
      <c r="C133" s="51" t="s">
        <v>29</v>
      </c>
      <c r="D133" s="75" t="s">
        <v>509</v>
      </c>
      <c r="E133" s="50" t="s">
        <v>14</v>
      </c>
      <c r="F133" s="50" t="s">
        <v>36</v>
      </c>
      <c r="G133" s="219">
        <v>1</v>
      </c>
      <c r="H133" s="171"/>
      <c r="I133" s="171"/>
      <c r="J133" s="148"/>
      <c r="P133" s="327">
        <v>1</v>
      </c>
      <c r="Q133" s="327">
        <v>0</v>
      </c>
      <c r="R133" s="327">
        <v>0</v>
      </c>
      <c r="S133" s="327">
        <v>0</v>
      </c>
      <c r="T133" s="327">
        <v>0</v>
      </c>
      <c r="U133" s="327">
        <v>0</v>
      </c>
      <c r="V133" s="327">
        <v>0</v>
      </c>
    </row>
    <row r="134" spans="1:22" ht="31.5" customHeight="1">
      <c r="A134" s="101" t="s">
        <v>526</v>
      </c>
      <c r="B134" s="13">
        <v>45894</v>
      </c>
      <c r="C134" s="51" t="s">
        <v>29</v>
      </c>
      <c r="D134" s="75" t="s">
        <v>527</v>
      </c>
      <c r="E134" s="50" t="s">
        <v>17</v>
      </c>
      <c r="F134" s="50" t="s">
        <v>31</v>
      </c>
      <c r="G134" s="219">
        <v>1</v>
      </c>
      <c r="H134" s="171"/>
      <c r="I134" s="171"/>
      <c r="J134" s="148"/>
      <c r="P134" s="327">
        <v>0</v>
      </c>
      <c r="Q134" s="327">
        <v>0</v>
      </c>
      <c r="R134" s="327">
        <v>0</v>
      </c>
      <c r="S134" s="327">
        <v>1</v>
      </c>
      <c r="T134" s="327">
        <v>0</v>
      </c>
      <c r="U134" s="327">
        <v>0</v>
      </c>
      <c r="V134" s="327">
        <v>0</v>
      </c>
    </row>
    <row r="135" spans="1:22" ht="31.5" customHeight="1">
      <c r="A135" s="101" t="s">
        <v>528</v>
      </c>
      <c r="B135" s="13">
        <v>45895</v>
      </c>
      <c r="C135" s="51" t="s">
        <v>29</v>
      </c>
      <c r="D135" s="75" t="s">
        <v>529</v>
      </c>
      <c r="E135" s="50" t="s">
        <v>17</v>
      </c>
      <c r="F135" s="50" t="s">
        <v>31</v>
      </c>
      <c r="G135" s="219">
        <v>1</v>
      </c>
      <c r="H135" s="171"/>
      <c r="I135" s="171"/>
      <c r="J135" s="148"/>
      <c r="P135" s="327">
        <v>0</v>
      </c>
      <c r="Q135" s="327">
        <v>0</v>
      </c>
      <c r="R135" s="327">
        <v>0</v>
      </c>
      <c r="S135" s="327">
        <v>1</v>
      </c>
      <c r="T135" s="327">
        <v>0</v>
      </c>
      <c r="U135" s="327">
        <v>0</v>
      </c>
      <c r="V135" s="327">
        <v>0</v>
      </c>
    </row>
    <row r="136" spans="1:22" ht="31.5" customHeight="1">
      <c r="A136" s="220" t="s">
        <v>530</v>
      </c>
      <c r="B136" s="221">
        <v>45896</v>
      </c>
      <c r="C136" s="52" t="s">
        <v>29</v>
      </c>
      <c r="D136" s="76" t="s">
        <v>531</v>
      </c>
      <c r="E136" s="222" t="s">
        <v>17</v>
      </c>
      <c r="F136" s="222" t="s">
        <v>31</v>
      </c>
      <c r="G136" s="284">
        <v>1</v>
      </c>
      <c r="H136" s="171"/>
      <c r="I136" s="171"/>
      <c r="J136" s="148"/>
      <c r="P136" s="327">
        <v>0</v>
      </c>
      <c r="Q136" s="327">
        <v>0</v>
      </c>
      <c r="R136" s="327">
        <v>0</v>
      </c>
      <c r="S136" s="327">
        <v>1</v>
      </c>
      <c r="T136" s="327">
        <v>0</v>
      </c>
      <c r="U136" s="327">
        <v>0</v>
      </c>
      <c r="V136" s="327">
        <v>0</v>
      </c>
    </row>
    <row r="137" spans="1:22" ht="31.5" customHeight="1">
      <c r="A137" s="167" t="s">
        <v>532</v>
      </c>
      <c r="B137" s="168">
        <v>45898</v>
      </c>
      <c r="C137" s="170" t="s">
        <v>29</v>
      </c>
      <c r="D137" s="169" t="s">
        <v>533</v>
      </c>
      <c r="E137" s="170" t="s">
        <v>17</v>
      </c>
      <c r="F137" s="170" t="s">
        <v>31</v>
      </c>
      <c r="G137" s="289">
        <v>1</v>
      </c>
      <c r="H137" s="290" t="s">
        <v>98</v>
      </c>
      <c r="I137" s="174">
        <f>SUM(G115:G137)</f>
        <v>45.5</v>
      </c>
      <c r="J137" s="148"/>
      <c r="P137" s="327">
        <v>0</v>
      </c>
      <c r="Q137" s="327">
        <v>0</v>
      </c>
      <c r="R137" s="327">
        <v>0</v>
      </c>
      <c r="S137" s="327">
        <v>1</v>
      </c>
      <c r="T137" s="327">
        <v>0</v>
      </c>
      <c r="U137" s="327">
        <v>0</v>
      </c>
      <c r="V137" s="327">
        <v>0</v>
      </c>
    </row>
    <row r="138" spans="1:22" ht="31.5" customHeight="1">
      <c r="A138" s="285" t="s">
        <v>534</v>
      </c>
      <c r="B138" s="191">
        <v>45901</v>
      </c>
      <c r="C138" s="193" t="s">
        <v>300</v>
      </c>
      <c r="D138" s="228" t="s">
        <v>535</v>
      </c>
      <c r="E138" s="193" t="s">
        <v>14</v>
      </c>
      <c r="F138" s="193" t="s">
        <v>36</v>
      </c>
      <c r="G138" s="194">
        <v>3</v>
      </c>
      <c r="H138"/>
      <c r="I138"/>
      <c r="J138" s="148"/>
      <c r="P138" s="327">
        <v>3</v>
      </c>
      <c r="Q138" s="327">
        <v>0</v>
      </c>
      <c r="R138" s="327">
        <v>0</v>
      </c>
      <c r="S138" s="327">
        <v>0</v>
      </c>
      <c r="T138" s="327">
        <v>0</v>
      </c>
      <c r="U138" s="327">
        <v>0</v>
      </c>
      <c r="V138" s="327">
        <v>0</v>
      </c>
    </row>
    <row r="139" spans="1:22" ht="31.5" customHeight="1">
      <c r="A139" s="226" t="s">
        <v>536</v>
      </c>
      <c r="B139" s="4">
        <v>45906</v>
      </c>
      <c r="C139" s="54" t="s">
        <v>60</v>
      </c>
      <c r="D139" s="84" t="s">
        <v>537</v>
      </c>
      <c r="E139" s="54" t="s">
        <v>12</v>
      </c>
      <c r="F139" s="54" t="s">
        <v>36</v>
      </c>
      <c r="G139" s="151">
        <v>6</v>
      </c>
      <c r="H139" s="171"/>
      <c r="I139" s="171"/>
      <c r="J139" s="148"/>
      <c r="P139" s="327">
        <v>0</v>
      </c>
      <c r="Q139" s="327">
        <v>0</v>
      </c>
      <c r="R139" s="327">
        <v>0</v>
      </c>
      <c r="S139" s="327">
        <v>0</v>
      </c>
      <c r="T139" s="327">
        <v>6</v>
      </c>
      <c r="U139" s="327">
        <v>0</v>
      </c>
      <c r="V139" s="327">
        <v>0</v>
      </c>
    </row>
    <row r="140" spans="1:22" ht="31.5" customHeight="1">
      <c r="A140" s="226" t="s">
        <v>538</v>
      </c>
      <c r="B140" s="4">
        <v>45917</v>
      </c>
      <c r="C140" s="54" t="s">
        <v>29</v>
      </c>
      <c r="D140" s="84" t="s">
        <v>539</v>
      </c>
      <c r="E140" s="54" t="s">
        <v>17</v>
      </c>
      <c r="F140" s="54" t="s">
        <v>31</v>
      </c>
      <c r="G140" s="151">
        <v>1</v>
      </c>
      <c r="H140" s="171"/>
      <c r="I140" s="171"/>
      <c r="J140" s="148"/>
      <c r="P140" s="327">
        <v>0</v>
      </c>
      <c r="Q140" s="327">
        <v>0</v>
      </c>
      <c r="R140" s="327">
        <v>0</v>
      </c>
      <c r="S140" s="327">
        <v>1</v>
      </c>
      <c r="T140" s="327">
        <v>0</v>
      </c>
      <c r="U140" s="327">
        <v>0</v>
      </c>
      <c r="V140" s="327">
        <v>0</v>
      </c>
    </row>
    <row r="141" spans="1:22" ht="31.5" customHeight="1">
      <c r="A141" s="226" t="s">
        <v>538</v>
      </c>
      <c r="B141" s="4">
        <v>45917</v>
      </c>
      <c r="C141" s="54" t="s">
        <v>29</v>
      </c>
      <c r="D141" s="84" t="s">
        <v>539</v>
      </c>
      <c r="E141" s="54" t="s">
        <v>16</v>
      </c>
      <c r="F141" s="54" t="s">
        <v>31</v>
      </c>
      <c r="G141" s="151">
        <v>1</v>
      </c>
      <c r="H141" s="171"/>
      <c r="I141" s="171"/>
      <c r="J141" s="148"/>
      <c r="P141" s="327">
        <v>0</v>
      </c>
      <c r="Q141" s="327">
        <v>0</v>
      </c>
      <c r="R141" s="327">
        <v>1</v>
      </c>
      <c r="S141" s="327">
        <v>0</v>
      </c>
      <c r="T141" s="327">
        <v>0</v>
      </c>
      <c r="U141" s="327">
        <v>0</v>
      </c>
      <c r="V141" s="327">
        <v>0</v>
      </c>
    </row>
    <row r="142" spans="1:22" ht="31.5" customHeight="1">
      <c r="A142" s="226" t="s">
        <v>540</v>
      </c>
      <c r="B142" s="4">
        <v>45918</v>
      </c>
      <c r="C142" s="54" t="s">
        <v>145</v>
      </c>
      <c r="D142" s="84" t="s">
        <v>541</v>
      </c>
      <c r="E142" s="54" t="s">
        <v>16</v>
      </c>
      <c r="F142" s="54" t="s">
        <v>36</v>
      </c>
      <c r="G142" s="151">
        <v>2</v>
      </c>
      <c r="H142" s="171"/>
      <c r="I142" s="171"/>
      <c r="J142" s="148"/>
      <c r="P142" s="327">
        <v>0</v>
      </c>
      <c r="Q142" s="327">
        <v>0</v>
      </c>
      <c r="R142" s="327">
        <v>2</v>
      </c>
      <c r="S142" s="327">
        <v>0</v>
      </c>
      <c r="T142" s="327">
        <v>0</v>
      </c>
      <c r="U142" s="327">
        <v>0</v>
      </c>
      <c r="V142" s="327">
        <v>0</v>
      </c>
    </row>
    <row r="143" spans="1:22" ht="37.5" customHeight="1">
      <c r="A143" s="226" t="s">
        <v>540</v>
      </c>
      <c r="B143" s="4">
        <v>45918</v>
      </c>
      <c r="C143" s="54" t="s">
        <v>145</v>
      </c>
      <c r="D143" s="84" t="s">
        <v>541</v>
      </c>
      <c r="E143" s="54" t="s">
        <v>19</v>
      </c>
      <c r="F143" s="54" t="s">
        <v>36</v>
      </c>
      <c r="G143" s="151">
        <v>2</v>
      </c>
      <c r="H143" s="171"/>
      <c r="I143" s="171"/>
      <c r="J143" s="148"/>
      <c r="P143" s="327">
        <v>0</v>
      </c>
      <c r="Q143" s="327">
        <v>0</v>
      </c>
      <c r="R143" s="327">
        <v>0</v>
      </c>
      <c r="S143" s="327">
        <v>0</v>
      </c>
      <c r="T143" s="327">
        <v>0</v>
      </c>
      <c r="U143" s="327">
        <v>0</v>
      </c>
      <c r="V143" s="327">
        <v>2</v>
      </c>
    </row>
    <row r="144" spans="1:22" ht="31.5" customHeight="1">
      <c r="A144" s="226" t="s">
        <v>542</v>
      </c>
      <c r="B144" s="4">
        <v>45919</v>
      </c>
      <c r="C144" s="54" t="s">
        <v>34</v>
      </c>
      <c r="D144" s="84" t="s">
        <v>543</v>
      </c>
      <c r="E144" s="54" t="s">
        <v>18</v>
      </c>
      <c r="F144" s="54" t="s">
        <v>36</v>
      </c>
      <c r="G144" s="151">
        <v>2</v>
      </c>
      <c r="H144" s="171"/>
      <c r="I144" s="171"/>
      <c r="J144" s="148"/>
      <c r="P144" s="327">
        <v>0</v>
      </c>
      <c r="Q144" s="327">
        <v>0</v>
      </c>
      <c r="R144" s="327">
        <v>0</v>
      </c>
      <c r="S144" s="327">
        <v>0</v>
      </c>
      <c r="T144" s="327">
        <v>0</v>
      </c>
      <c r="U144" s="327">
        <v>2</v>
      </c>
      <c r="V144" s="327">
        <v>0</v>
      </c>
    </row>
    <row r="145" spans="1:22" ht="31.5" customHeight="1">
      <c r="A145" s="226" t="s">
        <v>544</v>
      </c>
      <c r="B145" s="4">
        <v>45920</v>
      </c>
      <c r="C145" s="54" t="s">
        <v>39</v>
      </c>
      <c r="D145" s="84" t="s">
        <v>545</v>
      </c>
      <c r="E145" s="54" t="s">
        <v>18</v>
      </c>
      <c r="F145" s="54" t="s">
        <v>36</v>
      </c>
      <c r="G145" s="151">
        <v>8</v>
      </c>
      <c r="H145" s="171"/>
      <c r="I145" s="171"/>
      <c r="J145" s="148"/>
      <c r="P145" s="327">
        <v>0</v>
      </c>
      <c r="Q145" s="327">
        <v>0</v>
      </c>
      <c r="R145" s="327">
        <v>0</v>
      </c>
      <c r="S145" s="327">
        <v>0</v>
      </c>
      <c r="T145" s="327">
        <v>0</v>
      </c>
      <c r="U145" s="327">
        <v>8</v>
      </c>
      <c r="V145" s="327">
        <v>0</v>
      </c>
    </row>
    <row r="146" spans="1:22" ht="31.5" customHeight="1">
      <c r="A146" s="226" t="s">
        <v>546</v>
      </c>
      <c r="B146" s="4">
        <v>45920</v>
      </c>
      <c r="C146" s="54" t="s">
        <v>547</v>
      </c>
      <c r="D146" s="84" t="s">
        <v>548</v>
      </c>
      <c r="E146" s="54" t="s">
        <v>16</v>
      </c>
      <c r="F146" s="54" t="s">
        <v>36</v>
      </c>
      <c r="G146" s="151">
        <v>4</v>
      </c>
      <c r="H146" s="171"/>
      <c r="I146" s="171"/>
      <c r="J146" s="148"/>
      <c r="P146" s="327">
        <v>0</v>
      </c>
      <c r="Q146" s="327">
        <v>0</v>
      </c>
      <c r="R146" s="327">
        <v>4</v>
      </c>
      <c r="S146" s="327">
        <v>0</v>
      </c>
      <c r="T146" s="327">
        <v>0</v>
      </c>
      <c r="U146" s="327">
        <v>0</v>
      </c>
      <c r="V146" s="327">
        <v>0</v>
      </c>
    </row>
    <row r="147" spans="1:22" ht="31.5" customHeight="1">
      <c r="A147" s="226" t="s">
        <v>546</v>
      </c>
      <c r="B147" s="4">
        <v>45920</v>
      </c>
      <c r="C147" s="54" t="s">
        <v>547</v>
      </c>
      <c r="D147" s="84" t="s">
        <v>548</v>
      </c>
      <c r="E147" s="54" t="s">
        <v>19</v>
      </c>
      <c r="F147" s="54" t="s">
        <v>36</v>
      </c>
      <c r="G147" s="151">
        <v>4</v>
      </c>
      <c r="H147" s="171"/>
      <c r="I147" s="171"/>
      <c r="J147" s="148"/>
      <c r="P147" s="327">
        <v>0</v>
      </c>
      <c r="Q147" s="327">
        <v>0</v>
      </c>
      <c r="R147" s="327">
        <v>0</v>
      </c>
      <c r="S147" s="327">
        <v>0</v>
      </c>
      <c r="T147" s="327">
        <v>0</v>
      </c>
      <c r="U147" s="327">
        <v>0</v>
      </c>
      <c r="V147" s="327">
        <v>4</v>
      </c>
    </row>
    <row r="148" spans="1:22" ht="31.5" customHeight="1">
      <c r="A148" s="232" t="s">
        <v>549</v>
      </c>
      <c r="B148" s="158">
        <v>45924</v>
      </c>
      <c r="C148" s="159" t="s">
        <v>95</v>
      </c>
      <c r="D148" s="225" t="s">
        <v>550</v>
      </c>
      <c r="E148" s="159" t="s">
        <v>18</v>
      </c>
      <c r="F148" s="159" t="s">
        <v>31</v>
      </c>
      <c r="G148" s="184">
        <v>1</v>
      </c>
      <c r="H148" s="171"/>
      <c r="I148" s="171"/>
      <c r="J148" s="148"/>
      <c r="P148" s="327">
        <v>0</v>
      </c>
      <c r="Q148" s="327">
        <v>0</v>
      </c>
      <c r="R148" s="327">
        <v>0</v>
      </c>
      <c r="S148" s="327">
        <v>0</v>
      </c>
      <c r="T148" s="327">
        <v>0</v>
      </c>
      <c r="U148" s="327">
        <v>1</v>
      </c>
      <c r="V148" s="327">
        <v>0</v>
      </c>
    </row>
    <row r="149" spans="1:22" ht="31.5" customHeight="1">
      <c r="A149" s="282" t="s">
        <v>551</v>
      </c>
      <c r="B149" s="15">
        <v>45928</v>
      </c>
      <c r="C149" s="55" t="s">
        <v>552</v>
      </c>
      <c r="D149" s="283" t="s">
        <v>553</v>
      </c>
      <c r="E149" s="55" t="s">
        <v>19</v>
      </c>
      <c r="F149" s="55" t="s">
        <v>36</v>
      </c>
      <c r="G149" s="287">
        <v>2</v>
      </c>
      <c r="H149" s="288" t="s">
        <v>98</v>
      </c>
      <c r="I149" s="176">
        <f>SUM(G138:G149)</f>
        <v>36</v>
      </c>
      <c r="J149" s="148"/>
      <c r="P149" s="327">
        <v>0</v>
      </c>
      <c r="Q149" s="327">
        <v>0</v>
      </c>
      <c r="R149" s="327">
        <v>0</v>
      </c>
      <c r="S149" s="327">
        <v>0</v>
      </c>
      <c r="T149" s="327">
        <v>0</v>
      </c>
      <c r="U149" s="327">
        <v>0</v>
      </c>
      <c r="V149" s="327">
        <v>2</v>
      </c>
    </row>
    <row r="150" spans="1:22" ht="31.5" customHeight="1">
      <c r="A150" s="107" t="s">
        <v>554</v>
      </c>
      <c r="B150" s="17">
        <v>45933</v>
      </c>
      <c r="C150" s="56" t="s">
        <v>34</v>
      </c>
      <c r="D150" s="85" t="s">
        <v>555</v>
      </c>
      <c r="E150" s="56" t="s">
        <v>18</v>
      </c>
      <c r="F150" s="56" t="s">
        <v>36</v>
      </c>
      <c r="G150" s="188">
        <v>4</v>
      </c>
      <c r="H150" s="171"/>
      <c r="I150" s="171"/>
      <c r="J150" s="148"/>
      <c r="P150" s="327">
        <v>0</v>
      </c>
      <c r="Q150" s="327">
        <v>0</v>
      </c>
      <c r="R150" s="327">
        <v>0</v>
      </c>
      <c r="S150" s="327">
        <v>0</v>
      </c>
      <c r="T150" s="327">
        <v>0</v>
      </c>
      <c r="U150" s="327">
        <v>4</v>
      </c>
      <c r="V150" s="327">
        <v>0</v>
      </c>
    </row>
    <row r="151" spans="1:22" ht="31.5" customHeight="1">
      <c r="A151" s="108" t="s">
        <v>556</v>
      </c>
      <c r="B151" s="3">
        <v>45934</v>
      </c>
      <c r="C151" s="57" t="s">
        <v>557</v>
      </c>
      <c r="D151" s="86" t="s">
        <v>558</v>
      </c>
      <c r="E151" s="57" t="s">
        <v>12</v>
      </c>
      <c r="F151" s="57" t="s">
        <v>36</v>
      </c>
      <c r="G151" s="152">
        <v>5</v>
      </c>
      <c r="H151" s="171"/>
      <c r="I151" s="171"/>
      <c r="J151" s="148"/>
      <c r="P151" s="327">
        <v>0</v>
      </c>
      <c r="Q151" s="327">
        <v>0</v>
      </c>
      <c r="R151" s="327">
        <v>0</v>
      </c>
      <c r="S151" s="327">
        <v>0</v>
      </c>
      <c r="T151" s="327">
        <v>5</v>
      </c>
      <c r="U151" s="327">
        <v>0</v>
      </c>
      <c r="V151" s="327">
        <v>0</v>
      </c>
    </row>
    <row r="152" spans="1:22" ht="31.5" customHeight="1">
      <c r="A152" s="108" t="s">
        <v>559</v>
      </c>
      <c r="B152" s="3">
        <v>45934</v>
      </c>
      <c r="C152" s="57" t="s">
        <v>560</v>
      </c>
      <c r="D152" s="86" t="s">
        <v>561</v>
      </c>
      <c r="E152" s="57" t="s">
        <v>18</v>
      </c>
      <c r="F152" s="57" t="s">
        <v>36</v>
      </c>
      <c r="G152" s="152">
        <v>13</v>
      </c>
      <c r="H152" s="171"/>
      <c r="I152" s="171"/>
      <c r="J152" s="148"/>
      <c r="P152" s="327">
        <v>0</v>
      </c>
      <c r="Q152" s="327">
        <v>0</v>
      </c>
      <c r="R152" s="327">
        <v>0</v>
      </c>
      <c r="S152" s="327">
        <v>0</v>
      </c>
      <c r="T152" s="327">
        <v>0</v>
      </c>
      <c r="U152" s="327">
        <v>13</v>
      </c>
      <c r="V152" s="327">
        <v>0</v>
      </c>
    </row>
    <row r="153" spans="1:22" ht="31.5" customHeight="1">
      <c r="A153" s="108" t="s">
        <v>562</v>
      </c>
      <c r="B153" s="3">
        <v>45937</v>
      </c>
      <c r="C153" s="57" t="s">
        <v>29</v>
      </c>
      <c r="D153" s="86" t="s">
        <v>563</v>
      </c>
      <c r="E153" s="57" t="s">
        <v>16</v>
      </c>
      <c r="F153" s="57" t="s">
        <v>36</v>
      </c>
      <c r="G153" s="152">
        <v>1</v>
      </c>
      <c r="H153" s="171"/>
      <c r="I153" s="171"/>
      <c r="J153" s="148"/>
      <c r="P153" s="327">
        <v>0</v>
      </c>
      <c r="Q153" s="327">
        <v>0</v>
      </c>
      <c r="R153" s="327">
        <v>1</v>
      </c>
      <c r="S153" s="327">
        <v>0</v>
      </c>
      <c r="T153" s="327">
        <v>0</v>
      </c>
      <c r="U153" s="327">
        <v>0</v>
      </c>
      <c r="V153" s="327">
        <v>0</v>
      </c>
    </row>
    <row r="154" spans="1:22" ht="31.5" customHeight="1">
      <c r="A154" s="108" t="s">
        <v>564</v>
      </c>
      <c r="B154" s="3">
        <v>45938</v>
      </c>
      <c r="C154" s="57" t="s">
        <v>29</v>
      </c>
      <c r="D154" s="86" t="s">
        <v>565</v>
      </c>
      <c r="E154" s="57" t="s">
        <v>16</v>
      </c>
      <c r="F154" s="57" t="s">
        <v>36</v>
      </c>
      <c r="G154" s="152">
        <v>1</v>
      </c>
      <c r="H154" s="171"/>
      <c r="I154" s="171"/>
      <c r="J154" s="148"/>
      <c r="P154" s="327">
        <v>0</v>
      </c>
      <c r="Q154" s="327">
        <v>0</v>
      </c>
      <c r="R154" s="327">
        <v>1</v>
      </c>
      <c r="S154" s="327">
        <v>0</v>
      </c>
      <c r="T154" s="327">
        <v>0</v>
      </c>
      <c r="U154" s="327">
        <v>0</v>
      </c>
      <c r="V154" s="327">
        <v>0</v>
      </c>
    </row>
    <row r="155" spans="1:22" ht="31.5" customHeight="1">
      <c r="A155" s="108" t="s">
        <v>566</v>
      </c>
      <c r="B155" s="3">
        <v>45939</v>
      </c>
      <c r="C155" s="57" t="s">
        <v>29</v>
      </c>
      <c r="D155" s="86" t="s">
        <v>563</v>
      </c>
      <c r="E155" s="57" t="s">
        <v>16</v>
      </c>
      <c r="F155" s="57" t="s">
        <v>36</v>
      </c>
      <c r="G155" s="152">
        <v>1</v>
      </c>
      <c r="H155" s="171"/>
      <c r="I155" s="171"/>
      <c r="J155" s="148"/>
      <c r="P155" s="327">
        <v>0</v>
      </c>
      <c r="Q155" s="327">
        <v>0</v>
      </c>
      <c r="R155" s="327">
        <v>1</v>
      </c>
      <c r="S155" s="327">
        <v>0</v>
      </c>
      <c r="T155" s="327">
        <v>0</v>
      </c>
      <c r="U155" s="327">
        <v>0</v>
      </c>
      <c r="V155" s="327">
        <v>0</v>
      </c>
    </row>
    <row r="156" spans="1:22" ht="31.5" customHeight="1">
      <c r="A156" s="108" t="s">
        <v>567</v>
      </c>
      <c r="B156" s="3">
        <v>45940</v>
      </c>
      <c r="C156" s="57" t="s">
        <v>43</v>
      </c>
      <c r="D156" s="86" t="s">
        <v>555</v>
      </c>
      <c r="E156" s="57" t="s">
        <v>18</v>
      </c>
      <c r="F156" s="57" t="s">
        <v>36</v>
      </c>
      <c r="G156" s="152">
        <v>3</v>
      </c>
      <c r="H156" s="171"/>
      <c r="I156" s="171"/>
      <c r="J156" s="148"/>
      <c r="P156" s="327">
        <v>0</v>
      </c>
      <c r="Q156" s="327">
        <v>0</v>
      </c>
      <c r="R156" s="327">
        <v>0</v>
      </c>
      <c r="S156" s="327">
        <v>0</v>
      </c>
      <c r="T156" s="327">
        <v>0</v>
      </c>
      <c r="U156" s="327">
        <v>3</v>
      </c>
      <c r="V156" s="327">
        <v>0</v>
      </c>
    </row>
    <row r="157" spans="1:22" ht="31.5" customHeight="1">
      <c r="A157" s="108" t="s">
        <v>568</v>
      </c>
      <c r="B157" s="3">
        <v>45941</v>
      </c>
      <c r="C157" s="57" t="s">
        <v>116</v>
      </c>
      <c r="D157" s="86" t="s">
        <v>561</v>
      </c>
      <c r="E157" s="57" t="s">
        <v>18</v>
      </c>
      <c r="F157" s="57" t="s">
        <v>36</v>
      </c>
      <c r="G157" s="152">
        <v>5</v>
      </c>
      <c r="H157" s="171"/>
      <c r="I157" s="171"/>
      <c r="J157" s="148"/>
      <c r="P157" s="327">
        <v>0</v>
      </c>
      <c r="Q157" s="327">
        <v>0</v>
      </c>
      <c r="R157" s="327">
        <v>0</v>
      </c>
      <c r="S157" s="327">
        <v>0</v>
      </c>
      <c r="T157" s="327">
        <v>0</v>
      </c>
      <c r="U157" s="327">
        <v>5</v>
      </c>
      <c r="V157" s="327">
        <v>0</v>
      </c>
    </row>
    <row r="158" spans="1:22" ht="31.5" customHeight="1">
      <c r="A158" s="108" t="s">
        <v>569</v>
      </c>
      <c r="B158" s="3">
        <v>45944</v>
      </c>
      <c r="C158" s="305" t="s">
        <v>300</v>
      </c>
      <c r="D158" s="86" t="s">
        <v>570</v>
      </c>
      <c r="E158" s="57" t="s">
        <v>19</v>
      </c>
      <c r="F158" s="57" t="s">
        <v>36</v>
      </c>
      <c r="G158" s="152">
        <v>3</v>
      </c>
      <c r="H158" s="171"/>
      <c r="I158" s="171"/>
      <c r="J158" s="148"/>
      <c r="P158" s="327">
        <v>0</v>
      </c>
      <c r="Q158" s="327">
        <v>0</v>
      </c>
      <c r="R158" s="327">
        <v>0</v>
      </c>
      <c r="S158" s="327">
        <v>0</v>
      </c>
      <c r="T158" s="327">
        <v>0</v>
      </c>
      <c r="U158" s="327">
        <v>0</v>
      </c>
      <c r="V158" s="327">
        <v>3</v>
      </c>
    </row>
    <row r="159" spans="1:22" ht="31.5" customHeight="1">
      <c r="A159" s="108" t="s">
        <v>571</v>
      </c>
      <c r="B159" s="3">
        <v>45945</v>
      </c>
      <c r="C159" s="305" t="s">
        <v>209</v>
      </c>
      <c r="D159" s="86" t="s">
        <v>572</v>
      </c>
      <c r="E159" s="57" t="s">
        <v>19</v>
      </c>
      <c r="F159" s="57" t="s">
        <v>31</v>
      </c>
      <c r="G159" s="152">
        <v>1</v>
      </c>
      <c r="H159" s="171"/>
      <c r="I159" s="171"/>
      <c r="J159" s="148"/>
      <c r="K159" s="196" t="s">
        <v>138</v>
      </c>
      <c r="P159" s="327">
        <v>0</v>
      </c>
      <c r="Q159" s="327">
        <v>0</v>
      </c>
      <c r="R159" s="327">
        <v>0</v>
      </c>
      <c r="S159" s="327">
        <v>0</v>
      </c>
      <c r="T159" s="327">
        <v>0</v>
      </c>
      <c r="U159" s="327">
        <v>0</v>
      </c>
      <c r="V159" s="327">
        <v>1</v>
      </c>
    </row>
    <row r="160" spans="1:22" ht="31.5" customHeight="1">
      <c r="A160" s="108" t="s">
        <v>573</v>
      </c>
      <c r="B160" s="3">
        <v>45946</v>
      </c>
      <c r="C160" s="305" t="s">
        <v>102</v>
      </c>
      <c r="D160" s="86" t="s">
        <v>574</v>
      </c>
      <c r="E160" s="57" t="s">
        <v>17</v>
      </c>
      <c r="F160" s="57" t="s">
        <v>36</v>
      </c>
      <c r="G160" s="152">
        <v>1</v>
      </c>
      <c r="H160" s="171"/>
      <c r="I160" s="171"/>
      <c r="J160" s="148"/>
      <c r="P160" s="327">
        <v>0</v>
      </c>
      <c r="Q160" s="327">
        <v>0</v>
      </c>
      <c r="R160" s="327">
        <v>0</v>
      </c>
      <c r="S160" s="327">
        <v>1</v>
      </c>
      <c r="T160" s="327">
        <v>0</v>
      </c>
      <c r="U160" s="327">
        <v>0</v>
      </c>
      <c r="V160" s="327">
        <v>0</v>
      </c>
    </row>
    <row r="161" spans="1:22" ht="31.5" customHeight="1">
      <c r="A161" s="108" t="s">
        <v>575</v>
      </c>
      <c r="B161" s="3">
        <v>45946</v>
      </c>
      <c r="C161" s="305" t="s">
        <v>29</v>
      </c>
      <c r="D161" s="86" t="s">
        <v>563</v>
      </c>
      <c r="E161" s="57" t="s">
        <v>15</v>
      </c>
      <c r="F161" s="57" t="s">
        <v>31</v>
      </c>
      <c r="G161" s="152">
        <v>1</v>
      </c>
      <c r="H161" s="171"/>
      <c r="I161" s="171"/>
      <c r="J161" s="148"/>
      <c r="P161" s="327">
        <v>0</v>
      </c>
      <c r="Q161" s="327">
        <v>1</v>
      </c>
      <c r="R161" s="327">
        <v>0</v>
      </c>
      <c r="S161" s="327">
        <v>0</v>
      </c>
      <c r="T161" s="327">
        <v>0</v>
      </c>
      <c r="U161" s="327">
        <v>0</v>
      </c>
      <c r="V161" s="327">
        <v>0</v>
      </c>
    </row>
    <row r="162" spans="1:22" ht="31.5" customHeight="1">
      <c r="A162" s="108" t="s">
        <v>576</v>
      </c>
      <c r="B162" s="3">
        <v>45952</v>
      </c>
      <c r="C162" s="305" t="s">
        <v>29</v>
      </c>
      <c r="D162" s="86" t="s">
        <v>565</v>
      </c>
      <c r="E162" s="57" t="s">
        <v>19</v>
      </c>
      <c r="F162" s="57" t="s">
        <v>31</v>
      </c>
      <c r="G162" s="152">
        <v>1</v>
      </c>
      <c r="H162" s="171"/>
      <c r="I162" s="171"/>
      <c r="J162" s="148"/>
      <c r="P162" s="327">
        <v>0</v>
      </c>
      <c r="Q162" s="327">
        <v>0</v>
      </c>
      <c r="R162" s="327">
        <v>0</v>
      </c>
      <c r="S162" s="327">
        <v>0</v>
      </c>
      <c r="T162" s="327">
        <v>0</v>
      </c>
      <c r="U162" s="327">
        <v>0</v>
      </c>
      <c r="V162" s="327">
        <v>1</v>
      </c>
    </row>
    <row r="163" spans="1:22" ht="31.5" customHeight="1">
      <c r="A163" s="108" t="s">
        <v>65</v>
      </c>
      <c r="B163" s="3">
        <v>45955</v>
      </c>
      <c r="C163" s="305" t="s">
        <v>373</v>
      </c>
      <c r="D163" s="86" t="s">
        <v>577</v>
      </c>
      <c r="E163" s="57" t="s">
        <v>12</v>
      </c>
      <c r="F163" s="57" t="s">
        <v>36</v>
      </c>
      <c r="G163" s="152">
        <v>1</v>
      </c>
      <c r="H163" s="171"/>
      <c r="I163" s="171"/>
      <c r="J163" s="148"/>
      <c r="K163" s="196" t="s">
        <v>138</v>
      </c>
      <c r="P163" s="327">
        <v>0</v>
      </c>
      <c r="Q163" s="327">
        <v>0</v>
      </c>
      <c r="R163" s="327">
        <v>0</v>
      </c>
      <c r="S163" s="327">
        <v>0</v>
      </c>
      <c r="T163" s="327">
        <v>1</v>
      </c>
      <c r="U163" s="327">
        <v>0</v>
      </c>
      <c r="V163" s="327">
        <v>0</v>
      </c>
    </row>
    <row r="164" spans="1:22" ht="31.5" customHeight="1">
      <c r="A164" s="109" t="s">
        <v>578</v>
      </c>
      <c r="B164" s="20">
        <v>45956</v>
      </c>
      <c r="C164" s="306" t="s">
        <v>579</v>
      </c>
      <c r="D164" s="87" t="s">
        <v>580</v>
      </c>
      <c r="E164" s="58" t="s">
        <v>19</v>
      </c>
      <c r="F164" s="58" t="s">
        <v>31</v>
      </c>
      <c r="G164" s="201">
        <v>9.5</v>
      </c>
      <c r="H164" s="171"/>
      <c r="I164" s="171"/>
      <c r="J164" s="148"/>
      <c r="P164" s="327">
        <v>0</v>
      </c>
      <c r="Q164" s="327">
        <v>0</v>
      </c>
      <c r="R164" s="327">
        <v>0</v>
      </c>
      <c r="S164" s="327">
        <v>0</v>
      </c>
      <c r="T164" s="327">
        <v>0</v>
      </c>
      <c r="U164" s="327">
        <v>0</v>
      </c>
      <c r="V164" s="327">
        <v>9.5</v>
      </c>
    </row>
    <row r="165" spans="1:22" ht="31.5" customHeight="1">
      <c r="A165" s="304" t="s">
        <v>581</v>
      </c>
      <c r="B165" s="240">
        <v>45958</v>
      </c>
      <c r="C165" s="307" t="s">
        <v>214</v>
      </c>
      <c r="D165" s="242" t="s">
        <v>582</v>
      </c>
      <c r="E165" s="241" t="s">
        <v>15</v>
      </c>
      <c r="F165" s="241" t="s">
        <v>36</v>
      </c>
      <c r="G165" s="286">
        <v>1.5</v>
      </c>
      <c r="H165" s="180" t="s">
        <v>98</v>
      </c>
      <c r="I165" s="179">
        <f>SUM(G150:G165)</f>
        <v>52</v>
      </c>
      <c r="J165" s="148"/>
      <c r="P165" s="327">
        <v>0</v>
      </c>
      <c r="Q165" s="327">
        <v>1.5</v>
      </c>
      <c r="R165" s="327">
        <v>0</v>
      </c>
      <c r="S165" s="327">
        <v>0</v>
      </c>
      <c r="T165" s="327">
        <v>0</v>
      </c>
      <c r="U165" s="327">
        <v>0</v>
      </c>
      <c r="V165" s="327">
        <v>0</v>
      </c>
    </row>
    <row r="166" spans="1:22" ht="31.5" customHeight="1">
      <c r="A166" s="281" t="s">
        <v>583</v>
      </c>
      <c r="B166" s="234">
        <v>45965</v>
      </c>
      <c r="C166" s="308" t="s">
        <v>102</v>
      </c>
      <c r="D166" s="235" t="s">
        <v>584</v>
      </c>
      <c r="E166" s="236" t="s">
        <v>12</v>
      </c>
      <c r="F166" s="236" t="s">
        <v>31</v>
      </c>
      <c r="G166" s="237">
        <v>1</v>
      </c>
      <c r="H166" s="171"/>
      <c r="I166" s="171"/>
      <c r="J166" s="148"/>
      <c r="P166" s="327">
        <v>0</v>
      </c>
      <c r="Q166" s="327">
        <v>0</v>
      </c>
      <c r="R166" s="327">
        <v>0</v>
      </c>
      <c r="S166" s="327">
        <v>0</v>
      </c>
      <c r="T166" s="327">
        <v>1</v>
      </c>
      <c r="U166" s="327">
        <v>0</v>
      </c>
      <c r="V166" s="327">
        <v>0</v>
      </c>
    </row>
    <row r="167" spans="1:22" ht="31.5" customHeight="1">
      <c r="A167" s="244" t="s">
        <v>585</v>
      </c>
      <c r="B167" s="7">
        <v>45968</v>
      </c>
      <c r="C167" s="309" t="s">
        <v>105</v>
      </c>
      <c r="D167" s="89" t="s">
        <v>543</v>
      </c>
      <c r="E167" s="60" t="s">
        <v>15</v>
      </c>
      <c r="F167" s="60" t="s">
        <v>36</v>
      </c>
      <c r="G167" s="153">
        <v>1</v>
      </c>
      <c r="H167" s="171"/>
      <c r="I167" s="171"/>
      <c r="J167" s="148"/>
      <c r="K167" s="196" t="s">
        <v>138</v>
      </c>
      <c r="P167" s="327">
        <v>0</v>
      </c>
      <c r="Q167" s="327">
        <v>1</v>
      </c>
      <c r="R167" s="327">
        <v>0</v>
      </c>
      <c r="S167" s="327">
        <v>0</v>
      </c>
      <c r="T167" s="327">
        <v>0</v>
      </c>
      <c r="U167" s="327">
        <v>0</v>
      </c>
      <c r="V167" s="327">
        <v>0</v>
      </c>
    </row>
    <row r="168" spans="1:22" ht="31.5" customHeight="1">
      <c r="A168" s="244" t="s">
        <v>586</v>
      </c>
      <c r="B168" s="7">
        <v>45969</v>
      </c>
      <c r="C168" s="309" t="s">
        <v>373</v>
      </c>
      <c r="D168" s="89" t="s">
        <v>545</v>
      </c>
      <c r="E168" s="60" t="s">
        <v>15</v>
      </c>
      <c r="F168" s="60" t="s">
        <v>36</v>
      </c>
      <c r="G168" s="153">
        <v>1</v>
      </c>
      <c r="H168" s="171"/>
      <c r="I168" s="171"/>
      <c r="J168" s="148"/>
      <c r="K168" s="196" t="s">
        <v>138</v>
      </c>
      <c r="P168" s="327">
        <v>0</v>
      </c>
      <c r="Q168" s="327">
        <v>1</v>
      </c>
      <c r="R168" s="327">
        <v>0</v>
      </c>
      <c r="S168" s="327">
        <v>0</v>
      </c>
      <c r="T168" s="327">
        <v>0</v>
      </c>
      <c r="U168" s="327">
        <v>0</v>
      </c>
      <c r="V168" s="327">
        <v>0</v>
      </c>
    </row>
    <row r="169" spans="1:22" ht="31.5" customHeight="1">
      <c r="A169" s="244" t="s">
        <v>587</v>
      </c>
      <c r="B169" s="7">
        <v>45969</v>
      </c>
      <c r="C169" s="309" t="s">
        <v>588</v>
      </c>
      <c r="D169" s="89" t="s">
        <v>589</v>
      </c>
      <c r="E169" s="60" t="s">
        <v>19</v>
      </c>
      <c r="F169" s="60" t="s">
        <v>36</v>
      </c>
      <c r="G169" s="153">
        <v>2.5</v>
      </c>
      <c r="H169" s="171"/>
      <c r="I169" s="171"/>
      <c r="J169" s="148"/>
      <c r="P169" s="327">
        <v>0</v>
      </c>
      <c r="Q169" s="327">
        <v>0</v>
      </c>
      <c r="R169" s="327">
        <v>0</v>
      </c>
      <c r="S169" s="327">
        <v>0</v>
      </c>
      <c r="T169" s="327">
        <v>0</v>
      </c>
      <c r="U169" s="327">
        <v>0</v>
      </c>
      <c r="V169" s="327">
        <v>2.5</v>
      </c>
    </row>
    <row r="170" spans="1:22" ht="31.5" customHeight="1">
      <c r="A170" s="244" t="s">
        <v>590</v>
      </c>
      <c r="B170" s="7">
        <v>45978</v>
      </c>
      <c r="C170" s="309" t="s">
        <v>591</v>
      </c>
      <c r="D170" s="89" t="s">
        <v>592</v>
      </c>
      <c r="E170" s="60" t="s">
        <v>17</v>
      </c>
      <c r="F170" s="60" t="s">
        <v>36</v>
      </c>
      <c r="G170" s="153">
        <v>3</v>
      </c>
      <c r="H170" s="171"/>
      <c r="I170" s="171"/>
      <c r="J170" s="148"/>
      <c r="P170" s="327">
        <v>0</v>
      </c>
      <c r="Q170" s="327">
        <v>0</v>
      </c>
      <c r="R170" s="327">
        <v>0</v>
      </c>
      <c r="S170" s="327">
        <v>3</v>
      </c>
      <c r="T170" s="327">
        <v>0</v>
      </c>
      <c r="U170" s="327">
        <v>0</v>
      </c>
      <c r="V170" s="327">
        <v>0</v>
      </c>
    </row>
    <row r="171" spans="1:22" ht="31.5" customHeight="1">
      <c r="A171" s="244" t="s">
        <v>590</v>
      </c>
      <c r="B171" s="7">
        <v>45979</v>
      </c>
      <c r="C171" s="309" t="s">
        <v>29</v>
      </c>
      <c r="D171" s="89" t="s">
        <v>592</v>
      </c>
      <c r="E171" s="60" t="s">
        <v>19</v>
      </c>
      <c r="F171" s="60" t="s">
        <v>36</v>
      </c>
      <c r="G171" s="153">
        <v>1</v>
      </c>
      <c r="H171" s="171"/>
      <c r="I171" s="171"/>
      <c r="J171" s="148"/>
      <c r="P171" s="327">
        <v>0</v>
      </c>
      <c r="Q171" s="327">
        <v>0</v>
      </c>
      <c r="R171" s="327">
        <v>0</v>
      </c>
      <c r="S171" s="327">
        <v>0</v>
      </c>
      <c r="T171" s="327">
        <v>0</v>
      </c>
      <c r="U171" s="327">
        <v>0</v>
      </c>
      <c r="V171" s="327">
        <v>1</v>
      </c>
    </row>
    <row r="172" spans="1:22" ht="31.5" customHeight="1">
      <c r="A172" s="244" t="s">
        <v>593</v>
      </c>
      <c r="B172" s="7">
        <v>45979</v>
      </c>
      <c r="C172" s="309" t="s">
        <v>105</v>
      </c>
      <c r="D172" s="89" t="s">
        <v>594</v>
      </c>
      <c r="E172" s="60" t="s">
        <v>14</v>
      </c>
      <c r="F172" s="60" t="s">
        <v>36</v>
      </c>
      <c r="G172" s="153">
        <v>1</v>
      </c>
      <c r="H172" s="171"/>
      <c r="I172" s="171"/>
      <c r="J172" s="148"/>
      <c r="P172" s="327">
        <v>1</v>
      </c>
      <c r="Q172" s="327">
        <v>0</v>
      </c>
      <c r="R172" s="327">
        <v>0</v>
      </c>
      <c r="S172" s="327">
        <v>0</v>
      </c>
      <c r="T172" s="327">
        <v>0</v>
      </c>
      <c r="U172" s="327">
        <v>0</v>
      </c>
      <c r="V172" s="327">
        <v>0</v>
      </c>
    </row>
    <row r="173" spans="1:22" ht="31.5" customHeight="1">
      <c r="A173" s="244" t="s">
        <v>595</v>
      </c>
      <c r="B173" s="7">
        <v>45979</v>
      </c>
      <c r="C173" s="309" t="s">
        <v>416</v>
      </c>
      <c r="D173" s="89" t="s">
        <v>596</v>
      </c>
      <c r="E173" s="60" t="s">
        <v>15</v>
      </c>
      <c r="F173" s="60" t="s">
        <v>36</v>
      </c>
      <c r="G173" s="153">
        <v>1.5</v>
      </c>
      <c r="H173" s="171"/>
      <c r="I173" s="171"/>
      <c r="J173" s="148"/>
      <c r="P173" s="327">
        <v>0</v>
      </c>
      <c r="Q173" s="327">
        <v>1.5</v>
      </c>
      <c r="R173" s="327">
        <v>0</v>
      </c>
      <c r="S173" s="327">
        <v>0</v>
      </c>
      <c r="T173" s="327">
        <v>0</v>
      </c>
      <c r="U173" s="327">
        <v>0</v>
      </c>
      <c r="V173" s="327">
        <v>0</v>
      </c>
    </row>
    <row r="174" spans="1:22" ht="31.5" customHeight="1">
      <c r="A174" s="244" t="s">
        <v>597</v>
      </c>
      <c r="B174" s="7">
        <v>45980</v>
      </c>
      <c r="C174" s="309" t="s">
        <v>481</v>
      </c>
      <c r="D174" s="89" t="s">
        <v>598</v>
      </c>
      <c r="E174" s="60" t="s">
        <v>15</v>
      </c>
      <c r="F174" s="60" t="s">
        <v>31</v>
      </c>
      <c r="G174" s="153">
        <v>3.5</v>
      </c>
      <c r="H174" s="171"/>
      <c r="I174" s="171"/>
      <c r="J174" s="148"/>
      <c r="P174" s="327">
        <v>0</v>
      </c>
      <c r="Q174" s="327">
        <v>3.5</v>
      </c>
      <c r="R174" s="327">
        <v>0</v>
      </c>
      <c r="S174" s="327">
        <v>0</v>
      </c>
      <c r="T174" s="327">
        <v>0</v>
      </c>
      <c r="U174" s="327">
        <v>0</v>
      </c>
      <c r="V174" s="327">
        <v>0</v>
      </c>
    </row>
    <row r="175" spans="1:22" ht="31.5" customHeight="1">
      <c r="A175" s="244" t="s">
        <v>599</v>
      </c>
      <c r="B175" s="7">
        <v>45981</v>
      </c>
      <c r="C175" s="309" t="s">
        <v>72</v>
      </c>
      <c r="D175" s="89" t="s">
        <v>598</v>
      </c>
      <c r="E175" s="60" t="s">
        <v>12</v>
      </c>
      <c r="F175" s="60" t="s">
        <v>31</v>
      </c>
      <c r="G175" s="153">
        <v>3</v>
      </c>
      <c r="H175" s="171"/>
      <c r="I175" s="171"/>
      <c r="J175" s="148"/>
      <c r="P175" s="327">
        <v>0</v>
      </c>
      <c r="Q175" s="327">
        <v>0</v>
      </c>
      <c r="R175" s="327">
        <v>0</v>
      </c>
      <c r="S175" s="327">
        <v>0</v>
      </c>
      <c r="T175" s="327">
        <v>3</v>
      </c>
      <c r="U175" s="327">
        <v>0</v>
      </c>
      <c r="V175" s="327">
        <v>0</v>
      </c>
    </row>
    <row r="176" spans="1:22" ht="31.5" customHeight="1">
      <c r="A176" s="244" t="s">
        <v>600</v>
      </c>
      <c r="B176" s="7">
        <v>45981</v>
      </c>
      <c r="C176" s="309" t="s">
        <v>416</v>
      </c>
      <c r="D176" s="89" t="s">
        <v>601</v>
      </c>
      <c r="E176" s="60" t="s">
        <v>19</v>
      </c>
      <c r="F176" s="60" t="s">
        <v>36</v>
      </c>
      <c r="G176" s="208">
        <v>1.5</v>
      </c>
      <c r="H176" s="171"/>
      <c r="I176" s="171"/>
      <c r="J176" s="148"/>
      <c r="P176" s="327">
        <v>0</v>
      </c>
      <c r="Q176" s="327">
        <v>0</v>
      </c>
      <c r="R176" s="327">
        <v>0</v>
      </c>
      <c r="S176" s="327">
        <v>0</v>
      </c>
      <c r="T176" s="327">
        <v>0</v>
      </c>
      <c r="U176" s="327">
        <v>0</v>
      </c>
      <c r="V176" s="327">
        <v>1.5</v>
      </c>
    </row>
    <row r="177" spans="1:22" ht="31.5" customHeight="1">
      <c r="A177" s="244" t="s">
        <v>602</v>
      </c>
      <c r="B177" s="7">
        <v>45983</v>
      </c>
      <c r="C177" s="309" t="s">
        <v>116</v>
      </c>
      <c r="D177" s="89" t="s">
        <v>603</v>
      </c>
      <c r="E177" s="60" t="s">
        <v>12</v>
      </c>
      <c r="F177" s="329" t="s">
        <v>36</v>
      </c>
      <c r="G177" s="38">
        <v>5</v>
      </c>
      <c r="H177" s="197" t="s">
        <v>98</v>
      </c>
      <c r="I177" s="178">
        <f>SUM(G166:G177)</f>
        <v>25</v>
      </c>
      <c r="J177" s="148"/>
      <c r="P177" s="327">
        <v>0</v>
      </c>
      <c r="Q177" s="327">
        <v>0</v>
      </c>
      <c r="R177" s="327">
        <v>0</v>
      </c>
      <c r="S177" s="327">
        <v>0</v>
      </c>
      <c r="T177" s="327">
        <v>5</v>
      </c>
      <c r="U177" s="327">
        <v>0</v>
      </c>
      <c r="V177" s="327">
        <v>0</v>
      </c>
    </row>
    <row r="178" spans="1:22" ht="31.5" customHeight="1">
      <c r="A178" s="333" t="s">
        <v>604</v>
      </c>
      <c r="B178" s="313">
        <v>45994</v>
      </c>
      <c r="C178" s="314" t="s">
        <v>105</v>
      </c>
      <c r="D178" s="315" t="s">
        <v>605</v>
      </c>
      <c r="E178" s="316" t="s">
        <v>16</v>
      </c>
      <c r="F178" s="316" t="s">
        <v>31</v>
      </c>
      <c r="G178" s="330">
        <v>1</v>
      </c>
      <c r="H178" s="171"/>
      <c r="I178" s="171"/>
      <c r="J178" s="148"/>
      <c r="P178" s="327">
        <v>0</v>
      </c>
      <c r="Q178" s="327">
        <v>0</v>
      </c>
      <c r="R178" s="327">
        <v>1</v>
      </c>
      <c r="S178" s="327">
        <v>0</v>
      </c>
      <c r="T178" s="327">
        <v>0</v>
      </c>
      <c r="U178" s="327">
        <v>0</v>
      </c>
      <c r="V178" s="327">
        <v>0</v>
      </c>
    </row>
    <row r="179" spans="1:22" ht="31.5" customHeight="1">
      <c r="A179" s="334" t="s">
        <v>606</v>
      </c>
      <c r="B179" s="8">
        <v>45994</v>
      </c>
      <c r="C179" s="310" t="s">
        <v>105</v>
      </c>
      <c r="D179" s="81" t="s">
        <v>607</v>
      </c>
      <c r="E179" s="65" t="s">
        <v>19</v>
      </c>
      <c r="F179" s="248" t="s">
        <v>36</v>
      </c>
      <c r="G179" s="154">
        <v>1</v>
      </c>
      <c r="H179" s="171"/>
      <c r="I179" s="171"/>
      <c r="J179" s="148"/>
      <c r="P179" s="327">
        <v>0</v>
      </c>
      <c r="Q179" s="327">
        <v>0</v>
      </c>
      <c r="R179" s="327">
        <v>0</v>
      </c>
      <c r="S179" s="327">
        <v>0</v>
      </c>
      <c r="T179" s="327">
        <v>0</v>
      </c>
      <c r="U179" s="327">
        <v>0</v>
      </c>
      <c r="V179" s="327">
        <v>1</v>
      </c>
    </row>
    <row r="180" spans="1:22" ht="31.5" customHeight="1">
      <c r="A180" s="335" t="s">
        <v>608</v>
      </c>
      <c r="B180" s="22">
        <v>45994</v>
      </c>
      <c r="C180" s="311" t="s">
        <v>145</v>
      </c>
      <c r="D180" s="82" t="s">
        <v>609</v>
      </c>
      <c r="E180" s="67" t="s">
        <v>14</v>
      </c>
      <c r="F180" s="67" t="s">
        <v>36</v>
      </c>
      <c r="G180" s="331">
        <v>1</v>
      </c>
      <c r="H180" s="171"/>
      <c r="I180" s="171"/>
      <c r="J180" s="148"/>
      <c r="P180" s="327">
        <v>1</v>
      </c>
      <c r="Q180" s="327">
        <v>0</v>
      </c>
      <c r="R180" s="327">
        <v>0</v>
      </c>
      <c r="S180" s="327">
        <v>0</v>
      </c>
      <c r="T180" s="327">
        <v>0</v>
      </c>
      <c r="U180" s="327">
        <v>0</v>
      </c>
      <c r="V180" s="327">
        <v>0</v>
      </c>
    </row>
    <row r="181" spans="1:22" ht="31.5" customHeight="1">
      <c r="A181" s="334" t="s">
        <v>610</v>
      </c>
      <c r="B181" s="8">
        <v>45995</v>
      </c>
      <c r="C181" s="310" t="s">
        <v>105</v>
      </c>
      <c r="D181" s="81" t="s">
        <v>611</v>
      </c>
      <c r="E181" s="65" t="s">
        <v>16</v>
      </c>
      <c r="F181" s="65" t="s">
        <v>31</v>
      </c>
      <c r="G181" s="202">
        <v>1</v>
      </c>
      <c r="H181" s="171"/>
      <c r="I181" s="171"/>
      <c r="J181" s="148"/>
      <c r="P181" s="327">
        <v>0</v>
      </c>
      <c r="Q181" s="327">
        <v>0</v>
      </c>
      <c r="R181" s="327">
        <v>1</v>
      </c>
      <c r="S181" s="327">
        <v>0</v>
      </c>
      <c r="T181" s="327">
        <v>0</v>
      </c>
      <c r="U181" s="327">
        <v>0</v>
      </c>
      <c r="V181" s="327">
        <v>0</v>
      </c>
    </row>
    <row r="182" spans="1:22" ht="31.5" customHeight="1">
      <c r="A182" s="334" t="s">
        <v>612</v>
      </c>
      <c r="B182" s="8">
        <v>45995</v>
      </c>
      <c r="C182" s="310" t="s">
        <v>102</v>
      </c>
      <c r="D182" s="81" t="s">
        <v>584</v>
      </c>
      <c r="E182" s="65" t="s">
        <v>12</v>
      </c>
      <c r="F182" s="65" t="s">
        <v>31</v>
      </c>
      <c r="G182" s="154">
        <v>1</v>
      </c>
      <c r="H182" s="171"/>
      <c r="I182" s="171"/>
      <c r="J182" s="148"/>
      <c r="P182" s="327">
        <v>0</v>
      </c>
      <c r="Q182" s="327">
        <v>0</v>
      </c>
      <c r="R182" s="327">
        <v>0</v>
      </c>
      <c r="S182" s="327">
        <v>0</v>
      </c>
      <c r="T182" s="327">
        <v>1</v>
      </c>
      <c r="U182" s="327">
        <v>0</v>
      </c>
      <c r="V182" s="327">
        <v>0</v>
      </c>
    </row>
    <row r="183" spans="1:22" ht="31.5" customHeight="1">
      <c r="A183" s="334" t="s">
        <v>613</v>
      </c>
      <c r="B183" s="8">
        <v>45996</v>
      </c>
      <c r="C183" s="310" t="s">
        <v>105</v>
      </c>
      <c r="D183" s="81" t="s">
        <v>614</v>
      </c>
      <c r="E183" s="65" t="s">
        <v>17</v>
      </c>
      <c r="F183" s="65" t="s">
        <v>31</v>
      </c>
      <c r="G183" s="154">
        <v>1</v>
      </c>
      <c r="H183" s="171"/>
      <c r="I183" s="171"/>
      <c r="J183" s="148"/>
      <c r="P183" s="327">
        <v>0</v>
      </c>
      <c r="Q183" s="327">
        <v>0</v>
      </c>
      <c r="R183" s="327">
        <v>0</v>
      </c>
      <c r="S183" s="327">
        <v>1</v>
      </c>
      <c r="T183" s="327">
        <v>0</v>
      </c>
      <c r="U183" s="327">
        <v>0</v>
      </c>
      <c r="V183" s="327">
        <v>0</v>
      </c>
    </row>
    <row r="184" spans="1:22" ht="31.5" customHeight="1">
      <c r="A184" s="334" t="s">
        <v>615</v>
      </c>
      <c r="B184" s="8">
        <v>45996</v>
      </c>
      <c r="C184" s="310" t="s">
        <v>68</v>
      </c>
      <c r="D184" s="81" t="s">
        <v>616</v>
      </c>
      <c r="E184" s="65" t="s">
        <v>14</v>
      </c>
      <c r="F184" s="65" t="s">
        <v>36</v>
      </c>
      <c r="G184" s="154">
        <v>2</v>
      </c>
      <c r="H184" s="171"/>
      <c r="I184" s="171"/>
      <c r="J184" s="148"/>
      <c r="P184" s="327">
        <v>2</v>
      </c>
      <c r="Q184" s="327">
        <v>0</v>
      </c>
      <c r="R184" s="327">
        <v>0</v>
      </c>
      <c r="S184" s="327">
        <v>0</v>
      </c>
      <c r="T184" s="327">
        <v>0</v>
      </c>
      <c r="U184" s="327">
        <v>0</v>
      </c>
      <c r="V184" s="327">
        <v>0</v>
      </c>
    </row>
    <row r="185" spans="1:22" ht="31.5" customHeight="1">
      <c r="A185" s="334" t="s">
        <v>617</v>
      </c>
      <c r="B185" s="8">
        <v>45997</v>
      </c>
      <c r="C185" s="310" t="s">
        <v>309</v>
      </c>
      <c r="D185" s="81" t="s">
        <v>618</v>
      </c>
      <c r="E185" s="65" t="s">
        <v>16</v>
      </c>
      <c r="F185" s="65" t="s">
        <v>36</v>
      </c>
      <c r="G185" s="154">
        <v>3</v>
      </c>
      <c r="H185" s="171"/>
      <c r="I185" s="171"/>
      <c r="J185" s="148"/>
      <c r="P185" s="327">
        <v>0</v>
      </c>
      <c r="Q185" s="327">
        <v>0</v>
      </c>
      <c r="R185" s="327">
        <v>3</v>
      </c>
      <c r="S185" s="327">
        <v>0</v>
      </c>
      <c r="T185" s="327">
        <v>0</v>
      </c>
      <c r="U185" s="327">
        <v>0</v>
      </c>
      <c r="V185" s="327">
        <v>0</v>
      </c>
    </row>
    <row r="186" spans="1:22" ht="31.5" customHeight="1">
      <c r="A186" s="334" t="s">
        <v>619</v>
      </c>
      <c r="B186" s="8">
        <v>46000</v>
      </c>
      <c r="C186" s="310" t="s">
        <v>552</v>
      </c>
      <c r="D186" s="81" t="s">
        <v>620</v>
      </c>
      <c r="E186" s="65" t="s">
        <v>16</v>
      </c>
      <c r="F186" s="65" t="s">
        <v>31</v>
      </c>
      <c r="G186" s="154">
        <v>2</v>
      </c>
      <c r="H186" s="171"/>
      <c r="I186" s="171"/>
      <c r="J186" s="148"/>
      <c r="P186" s="327">
        <v>0</v>
      </c>
      <c r="Q186" s="327">
        <v>0</v>
      </c>
      <c r="R186" s="327">
        <v>2</v>
      </c>
      <c r="S186" s="327">
        <v>0</v>
      </c>
      <c r="T186" s="327">
        <v>0</v>
      </c>
      <c r="U186" s="327">
        <v>0</v>
      </c>
      <c r="V186" s="327">
        <v>0</v>
      </c>
    </row>
    <row r="187" spans="1:22" ht="31.5" customHeight="1">
      <c r="A187" s="334" t="s">
        <v>621</v>
      </c>
      <c r="B187" s="8">
        <v>46000</v>
      </c>
      <c r="C187" s="310" t="s">
        <v>29</v>
      </c>
      <c r="D187" s="81" t="s">
        <v>622</v>
      </c>
      <c r="E187" s="65" t="s">
        <v>19</v>
      </c>
      <c r="F187" s="65" t="s">
        <v>31</v>
      </c>
      <c r="G187" s="154">
        <v>1</v>
      </c>
      <c r="H187" s="171"/>
      <c r="I187" s="171"/>
      <c r="J187" s="148"/>
      <c r="P187" s="327">
        <v>0</v>
      </c>
      <c r="Q187" s="327">
        <v>0</v>
      </c>
      <c r="R187" s="327">
        <v>0</v>
      </c>
      <c r="S187" s="327">
        <v>0</v>
      </c>
      <c r="T187" s="327">
        <v>0</v>
      </c>
      <c r="U187" s="327">
        <v>0</v>
      </c>
      <c r="V187" s="327">
        <v>1</v>
      </c>
    </row>
    <row r="188" spans="1:22" ht="31.5" customHeight="1">
      <c r="A188" s="461" t="s">
        <v>623</v>
      </c>
      <c r="B188" s="8">
        <v>46001</v>
      </c>
      <c r="C188" s="310" t="s">
        <v>105</v>
      </c>
      <c r="D188" s="81" t="s">
        <v>624</v>
      </c>
      <c r="E188" s="65" t="s">
        <v>17</v>
      </c>
      <c r="F188" s="65" t="s">
        <v>31</v>
      </c>
      <c r="G188" s="154">
        <v>1</v>
      </c>
      <c r="H188" s="171"/>
      <c r="I188" s="171"/>
      <c r="J188" s="148"/>
      <c r="P188" s="327">
        <v>0</v>
      </c>
      <c r="Q188" s="327">
        <v>0</v>
      </c>
      <c r="R188" s="327">
        <v>0</v>
      </c>
      <c r="S188" s="327">
        <v>1</v>
      </c>
      <c r="T188" s="327">
        <v>0</v>
      </c>
      <c r="U188" s="327">
        <v>0</v>
      </c>
      <c r="V188" s="327">
        <v>0</v>
      </c>
    </row>
    <row r="189" spans="1:22" ht="31.5" customHeight="1">
      <c r="A189" s="334" t="s">
        <v>625</v>
      </c>
      <c r="B189" s="8">
        <v>46001</v>
      </c>
      <c r="C189" s="310" t="s">
        <v>105</v>
      </c>
      <c r="D189" s="81" t="s">
        <v>626</v>
      </c>
      <c r="E189" s="65" t="s">
        <v>16</v>
      </c>
      <c r="F189" s="65" t="s">
        <v>31</v>
      </c>
      <c r="G189" s="154">
        <v>1</v>
      </c>
      <c r="H189" s="171"/>
      <c r="I189" s="171"/>
      <c r="J189" s="148"/>
      <c r="P189" s="327">
        <v>0</v>
      </c>
      <c r="Q189" s="327">
        <v>0</v>
      </c>
      <c r="R189" s="327">
        <v>1</v>
      </c>
      <c r="S189" s="327">
        <v>0</v>
      </c>
      <c r="T189" s="327">
        <v>0</v>
      </c>
      <c r="U189" s="327">
        <v>0</v>
      </c>
      <c r="V189" s="327">
        <v>0</v>
      </c>
    </row>
    <row r="190" spans="1:22" ht="31.5" customHeight="1">
      <c r="A190" s="334" t="s">
        <v>627</v>
      </c>
      <c r="B190" s="8">
        <v>46002</v>
      </c>
      <c r="C190" s="310" t="s">
        <v>29</v>
      </c>
      <c r="D190" s="81" t="s">
        <v>628</v>
      </c>
      <c r="E190" s="65" t="s">
        <v>19</v>
      </c>
      <c r="F190" s="65" t="s">
        <v>31</v>
      </c>
      <c r="G190" s="154">
        <v>1</v>
      </c>
      <c r="H190" s="171"/>
      <c r="I190" s="171"/>
      <c r="J190" s="148"/>
      <c r="P190" s="327">
        <v>0</v>
      </c>
      <c r="Q190" s="327">
        <v>0</v>
      </c>
      <c r="R190" s="327">
        <v>0</v>
      </c>
      <c r="S190" s="327">
        <v>0</v>
      </c>
      <c r="T190" s="327">
        <v>0</v>
      </c>
      <c r="U190" s="327">
        <v>0</v>
      </c>
      <c r="V190" s="327">
        <v>1</v>
      </c>
    </row>
    <row r="191" spans="1:22" ht="31.5" customHeight="1">
      <c r="A191" s="334" t="s">
        <v>629</v>
      </c>
      <c r="B191" s="8">
        <v>46002</v>
      </c>
      <c r="C191" s="310" t="s">
        <v>91</v>
      </c>
      <c r="D191" s="81" t="s">
        <v>630</v>
      </c>
      <c r="E191" s="65" t="s">
        <v>15</v>
      </c>
      <c r="F191" s="65" t="s">
        <v>31</v>
      </c>
      <c r="G191" s="213">
        <v>2.5</v>
      </c>
      <c r="H191" s="171"/>
      <c r="I191" s="171"/>
      <c r="J191" s="148"/>
      <c r="P191" s="327">
        <v>0</v>
      </c>
      <c r="Q191" s="327">
        <v>2.5</v>
      </c>
      <c r="R191" s="327">
        <v>0</v>
      </c>
      <c r="S191" s="327">
        <v>0</v>
      </c>
      <c r="T191" s="327">
        <v>0</v>
      </c>
      <c r="U191" s="327">
        <v>0</v>
      </c>
      <c r="V191" s="327">
        <v>0</v>
      </c>
    </row>
    <row r="192" spans="1:22" ht="31.5" customHeight="1">
      <c r="A192" s="334" t="s">
        <v>631</v>
      </c>
      <c r="B192" s="8">
        <v>46006</v>
      </c>
      <c r="C192" s="310" t="s">
        <v>95</v>
      </c>
      <c r="D192" s="81" t="s">
        <v>630</v>
      </c>
      <c r="E192" s="65" t="s">
        <v>19</v>
      </c>
      <c r="F192" s="65" t="s">
        <v>31</v>
      </c>
      <c r="G192" s="213">
        <v>1</v>
      </c>
      <c r="H192" s="171"/>
      <c r="I192" s="171"/>
      <c r="J192" s="148"/>
      <c r="K192" s="196" t="s">
        <v>138</v>
      </c>
      <c r="P192" s="327">
        <v>0</v>
      </c>
      <c r="Q192" s="327">
        <v>0</v>
      </c>
      <c r="R192" s="327">
        <v>0</v>
      </c>
      <c r="S192" s="327">
        <v>0</v>
      </c>
      <c r="T192" s="327">
        <v>0</v>
      </c>
      <c r="U192" s="327">
        <v>0</v>
      </c>
      <c r="V192" s="327">
        <v>1</v>
      </c>
    </row>
    <row r="193" spans="1:22" ht="31.5" customHeight="1">
      <c r="A193" s="334" t="s">
        <v>632</v>
      </c>
      <c r="B193" s="8">
        <v>46006</v>
      </c>
      <c r="C193" s="310" t="s">
        <v>105</v>
      </c>
      <c r="D193" s="81" t="s">
        <v>633</v>
      </c>
      <c r="E193" s="65" t="s">
        <v>15</v>
      </c>
      <c r="F193" s="65" t="s">
        <v>36</v>
      </c>
      <c r="G193" s="213">
        <v>1</v>
      </c>
      <c r="H193" s="171"/>
      <c r="I193" s="171"/>
      <c r="J193" s="148"/>
      <c r="P193" s="327">
        <v>0</v>
      </c>
      <c r="Q193" s="327">
        <v>1</v>
      </c>
      <c r="R193" s="327">
        <v>0</v>
      </c>
      <c r="S193" s="327">
        <v>0</v>
      </c>
      <c r="T193" s="327">
        <v>0</v>
      </c>
      <c r="U193" s="327">
        <v>0</v>
      </c>
      <c r="V193" s="327">
        <v>0</v>
      </c>
    </row>
    <row r="194" spans="1:22" ht="31.5" customHeight="1">
      <c r="A194" s="334" t="s">
        <v>634</v>
      </c>
      <c r="B194" s="8">
        <v>46007</v>
      </c>
      <c r="C194" s="310" t="s">
        <v>105</v>
      </c>
      <c r="D194" s="81" t="s">
        <v>635</v>
      </c>
      <c r="E194" s="65" t="s">
        <v>15</v>
      </c>
      <c r="F194" s="65" t="s">
        <v>36</v>
      </c>
      <c r="G194" s="213">
        <v>1</v>
      </c>
      <c r="H194" s="171"/>
      <c r="I194" s="171"/>
      <c r="J194" s="148"/>
      <c r="P194" s="327">
        <v>0</v>
      </c>
      <c r="Q194" s="327">
        <v>1</v>
      </c>
      <c r="R194" s="327">
        <v>0</v>
      </c>
      <c r="S194" s="327">
        <v>0</v>
      </c>
      <c r="T194" s="327">
        <v>0</v>
      </c>
      <c r="U194" s="327">
        <v>0</v>
      </c>
      <c r="V194" s="327">
        <v>0</v>
      </c>
    </row>
    <row r="195" spans="1:22" ht="31.5" customHeight="1">
      <c r="A195" s="334" t="s">
        <v>636</v>
      </c>
      <c r="B195" s="8">
        <v>46007</v>
      </c>
      <c r="C195" s="310" t="s">
        <v>34</v>
      </c>
      <c r="D195" s="81" t="s">
        <v>637</v>
      </c>
      <c r="E195" s="65" t="s">
        <v>14</v>
      </c>
      <c r="F195" s="65" t="s">
        <v>36</v>
      </c>
      <c r="G195" s="213">
        <v>1</v>
      </c>
      <c r="H195" s="171"/>
      <c r="I195" s="171"/>
      <c r="J195" s="148"/>
      <c r="P195" s="327">
        <v>1</v>
      </c>
      <c r="Q195" s="327">
        <v>0</v>
      </c>
      <c r="R195" s="327">
        <v>0</v>
      </c>
      <c r="S195" s="327">
        <v>0</v>
      </c>
      <c r="T195" s="327">
        <v>0</v>
      </c>
      <c r="U195" s="327">
        <v>0</v>
      </c>
      <c r="V195" s="327">
        <v>0</v>
      </c>
    </row>
    <row r="196" spans="1:22" ht="31.5" customHeight="1">
      <c r="A196" s="336" t="s">
        <v>638</v>
      </c>
      <c r="B196" s="337">
        <v>46007</v>
      </c>
      <c r="C196" s="338" t="s">
        <v>153</v>
      </c>
      <c r="D196" s="339" t="s">
        <v>639</v>
      </c>
      <c r="E196" s="340" t="s">
        <v>18</v>
      </c>
      <c r="F196" s="340" t="s">
        <v>36</v>
      </c>
      <c r="G196" s="341">
        <v>1</v>
      </c>
      <c r="H196" s="209" t="s">
        <v>98</v>
      </c>
      <c r="I196" s="177">
        <f>SUM(G178:G196)</f>
        <v>24.5</v>
      </c>
      <c r="J196" s="148"/>
      <c r="P196" s="327">
        <v>0</v>
      </c>
      <c r="Q196" s="327">
        <v>0</v>
      </c>
      <c r="R196" s="327">
        <v>0</v>
      </c>
      <c r="S196" s="327">
        <v>0</v>
      </c>
      <c r="T196" s="327">
        <v>0</v>
      </c>
      <c r="U196" s="327">
        <v>1</v>
      </c>
      <c r="V196" s="327">
        <v>0</v>
      </c>
    </row>
    <row r="197" spans="1:22" ht="31.5" customHeight="1" thickBot="1">
      <c r="A197" s="118"/>
      <c r="F197" s="93" t="s">
        <v>640</v>
      </c>
      <c r="G197" s="44">
        <f>SUM(G3:G196)</f>
        <v>546.5</v>
      </c>
      <c r="H197" s="171"/>
      <c r="I197" s="171"/>
      <c r="J197" s="148"/>
      <c r="M197" s="42"/>
      <c r="P197" s="328"/>
      <c r="Q197" s="328"/>
      <c r="R197" s="328"/>
      <c r="S197" s="328"/>
      <c r="T197" s="328"/>
      <c r="U197" s="328"/>
      <c r="V197" s="328"/>
    </row>
    <row r="198" spans="1:22" ht="31.5" customHeight="1">
      <c r="A198" s="118"/>
      <c r="H198" s="171"/>
      <c r="I198" s="171"/>
      <c r="J198" s="148"/>
      <c r="M198" s="42"/>
    </row>
    <row r="199" spans="1:22" ht="31.5" customHeight="1">
      <c r="A199" s="118"/>
      <c r="H199" s="171"/>
      <c r="I199" s="171"/>
      <c r="J199" s="148"/>
    </row>
    <row r="200" spans="1:22" ht="31.5" customHeight="1">
      <c r="A200" s="118"/>
      <c r="H200" s="171"/>
      <c r="I200" s="171"/>
      <c r="J200" s="148"/>
    </row>
    <row r="201" spans="1:22" ht="31.5" customHeight="1">
      <c r="A201" s="118"/>
      <c r="H201" s="171"/>
      <c r="I201" s="171"/>
      <c r="J201" s="148"/>
    </row>
    <row r="202" spans="1:22" ht="31.5" customHeight="1">
      <c r="A202" s="118"/>
      <c r="H202" s="171"/>
      <c r="I202" s="171"/>
      <c r="J202" s="148"/>
    </row>
    <row r="203" spans="1:22" ht="31.5" customHeight="1">
      <c r="A203" s="118"/>
      <c r="H203" s="171"/>
      <c r="I203" s="171"/>
      <c r="J203" s="148"/>
    </row>
    <row r="204" spans="1:22" ht="31.5" customHeight="1">
      <c r="A204" s="118"/>
      <c r="H204" s="171"/>
      <c r="I204" s="171"/>
      <c r="J204" s="148"/>
    </row>
    <row r="205" spans="1:22" ht="31.5" customHeight="1">
      <c r="A205" s="118"/>
      <c r="H205" s="171"/>
      <c r="I205" s="171"/>
      <c r="J205" s="148"/>
    </row>
    <row r="206" spans="1:22" ht="31.5" customHeight="1">
      <c r="A206" s="118"/>
      <c r="H206" s="171"/>
      <c r="I206" s="171"/>
      <c r="J206" s="148"/>
    </row>
    <row r="207" spans="1:22" ht="31.5" customHeight="1">
      <c r="H207" s="171"/>
      <c r="I207" s="171"/>
      <c r="J207" s="148"/>
    </row>
    <row r="208" spans="1:22" ht="31.5" customHeight="1">
      <c r="H208" s="171"/>
      <c r="I208" s="171"/>
      <c r="J208" s="148"/>
    </row>
    <row r="209" spans="8:10" ht="31.5" customHeight="1">
      <c r="H209" s="171"/>
      <c r="I209" s="171"/>
      <c r="J209" s="148"/>
    </row>
    <row r="210" spans="8:10" ht="31.5" customHeight="1">
      <c r="H210" s="171"/>
      <c r="I210" s="171"/>
      <c r="J210" s="148"/>
    </row>
    <row r="211" spans="8:10" ht="31.5" customHeight="1">
      <c r="H211" s="171"/>
      <c r="I211" s="171"/>
      <c r="J211" s="148"/>
    </row>
    <row r="212" spans="8:10" ht="31.5" customHeight="1">
      <c r="H212" s="171"/>
      <c r="I212" s="171"/>
      <c r="J212" s="148"/>
    </row>
    <row r="213" spans="8:10" ht="31.5" customHeight="1">
      <c r="H213" s="171"/>
      <c r="I213" s="171"/>
      <c r="J213" s="148"/>
    </row>
    <row r="214" spans="8:10" ht="31.5" customHeight="1">
      <c r="H214" s="171"/>
      <c r="I214" s="171"/>
      <c r="J214" s="148"/>
    </row>
    <row r="215" spans="8:10" ht="31.5" customHeight="1">
      <c r="H215" s="171"/>
      <c r="I215" s="171"/>
      <c r="J215" s="148"/>
    </row>
    <row r="216" spans="8:10" ht="31.5" customHeight="1">
      <c r="H216" s="171"/>
      <c r="I216" s="171"/>
      <c r="J216" s="148"/>
    </row>
    <row r="217" spans="8:10" ht="31.5" customHeight="1">
      <c r="H217" s="171"/>
      <c r="I217" s="171"/>
      <c r="J217" s="148"/>
    </row>
    <row r="218" spans="8:10" ht="31.5" customHeight="1">
      <c r="H218" s="171"/>
      <c r="I218" s="171"/>
      <c r="J218" s="148"/>
    </row>
    <row r="219" spans="8:10" ht="31.5" customHeight="1">
      <c r="H219" s="171"/>
      <c r="I219" s="171"/>
      <c r="J219" s="148"/>
    </row>
    <row r="220" spans="8:10" ht="31.5" customHeight="1">
      <c r="H220" s="171"/>
      <c r="I220" s="171"/>
      <c r="J220" s="148"/>
    </row>
    <row r="221" spans="8:10" ht="31.5" customHeight="1">
      <c r="H221" s="171"/>
      <c r="I221" s="171"/>
      <c r="J221" s="148"/>
    </row>
    <row r="222" spans="8:10" ht="31.5" customHeight="1">
      <c r="H222" s="171"/>
      <c r="I222" s="171"/>
      <c r="J222" s="148"/>
    </row>
    <row r="223" spans="8:10" ht="31.5" customHeight="1">
      <c r="H223" s="171"/>
      <c r="I223" s="171"/>
      <c r="J223" s="148"/>
    </row>
    <row r="224" spans="8:10" ht="31.5" customHeight="1">
      <c r="H224" s="171"/>
      <c r="I224" s="171"/>
      <c r="J224" s="148"/>
    </row>
    <row r="225" spans="8:10" ht="31.5" customHeight="1">
      <c r="H225" s="171"/>
      <c r="I225" s="171"/>
      <c r="J225" s="148"/>
    </row>
    <row r="226" spans="8:10" ht="31.5" customHeight="1">
      <c r="H226" s="171"/>
      <c r="I226" s="171"/>
      <c r="J226" s="148"/>
    </row>
    <row r="227" spans="8:10" ht="31.5" customHeight="1">
      <c r="H227" s="171"/>
      <c r="I227" s="171"/>
      <c r="J227" s="148"/>
    </row>
    <row r="228" spans="8:10" ht="31.5" customHeight="1">
      <c r="H228" s="171"/>
      <c r="I228" s="171"/>
      <c r="J228" s="148"/>
    </row>
    <row r="229" spans="8:10" ht="31.5" customHeight="1">
      <c r="H229" s="171"/>
      <c r="I229" s="171"/>
      <c r="J229" s="148"/>
    </row>
    <row r="230" spans="8:10" ht="31.5" customHeight="1"/>
    <row r="231" spans="8:10" ht="31.5" customHeight="1"/>
    <row r="232" spans="8:10" ht="31.5" customHeight="1"/>
    <row r="233" spans="8:10" ht="31.5" customHeight="1"/>
    <row r="234" spans="8:10" ht="31.5" customHeight="1"/>
    <row r="235" spans="8:10" ht="31.5" customHeight="1"/>
    <row r="236" spans="8:10" ht="31.5" customHeight="1"/>
    <row r="237" spans="8:10" ht="31.5" customHeight="1"/>
    <row r="238" spans="8:10" ht="31.5" customHeight="1"/>
    <row r="239" spans="8:10" ht="31.5" customHeight="1"/>
    <row r="240" spans="8:10" ht="31.5" customHeight="1"/>
    <row r="241" ht="31.5" customHeight="1"/>
  </sheetData>
  <autoFilter ref="A2:G198" xr:uid="{00000000-0001-0000-0000-000000000000}"/>
  <mergeCells count="1">
    <mergeCell ref="A1:G1"/>
  </mergeCells>
  <phoneticPr fontId="13" type="noConversion"/>
  <conditionalFormatting sqref="P3:V196">
    <cfRule type="cellIs" dxfId="1" priority="1" operator="greaterThan">
      <formula>0</formula>
    </cfRule>
  </conditionalFormatting>
  <dataValidations count="1">
    <dataValidation type="custom" showInputMessage="1" showErrorMessage="1" sqref="E3" xr:uid="{A66CD6AD-8BB1-4C22-A944-229FC503F06D}">
      <formula1>"José Miguel Perea, Fernando Langreo, Mariano grillo, José Luis Cartas, Liviu Lazar, José Luis de Juan, Héctor Felipe"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0"/>
  <sheetViews>
    <sheetView workbookViewId="0">
      <pane xSplit="1" ySplit="2" topLeftCell="B51" activePane="bottomRight" state="frozen"/>
      <selection pane="bottomRight" activeCell="E12" sqref="E12"/>
      <selection pane="bottomLeft" activeCell="A3" sqref="A3"/>
      <selection pane="topRight" activeCell="B1" sqref="B1"/>
    </sheetView>
  </sheetViews>
  <sheetFormatPr defaultColWidth="8.85546875" defaultRowHeight="18.75"/>
  <cols>
    <col min="1" max="1" width="15.28515625" style="118" customWidth="1"/>
    <col min="2" max="2" width="14.42578125" style="118" customWidth="1"/>
    <col min="3" max="3" width="78.140625" style="91" customWidth="1"/>
    <col min="4" max="4" width="17.7109375" style="92" customWidth="1"/>
    <col min="5" max="5" width="22.28515625" style="92" customWidth="1"/>
    <col min="6" max="6" width="17.5703125" style="92" customWidth="1"/>
    <col min="7" max="7" width="15.7109375" style="94" customWidth="1"/>
    <col min="8" max="8" width="17.5703125" style="94" customWidth="1"/>
    <col min="9" max="9" width="23.5703125" bestFit="1" customWidth="1"/>
    <col min="10" max="10" width="9.28515625" style="42" customWidth="1"/>
    <col min="12" max="12" width="10.140625" customWidth="1"/>
    <col min="14" max="16" width="16.28515625" style="2" customWidth="1"/>
    <col min="17" max="17" width="19" style="2" customWidth="1"/>
    <col min="18" max="20" width="16.28515625" style="2" customWidth="1"/>
  </cols>
  <sheetData>
    <row r="1" spans="1:20" ht="21.75" thickBot="1">
      <c r="A1" s="460" t="s">
        <v>256</v>
      </c>
      <c r="B1" s="460"/>
      <c r="C1" s="460"/>
      <c r="D1" s="460"/>
      <c r="E1" s="460"/>
      <c r="F1" s="460"/>
      <c r="G1" s="460"/>
      <c r="H1"/>
      <c r="N1" s="2" t="s">
        <v>14</v>
      </c>
      <c r="O1" s="2" t="s">
        <v>15</v>
      </c>
      <c r="P1" s="2" t="s">
        <v>11</v>
      </c>
      <c r="Q1" s="2" t="s">
        <v>17</v>
      </c>
      <c r="R1" s="2" t="s">
        <v>12</v>
      </c>
      <c r="S1" s="2" t="s">
        <v>18</v>
      </c>
      <c r="T1" s="2" t="s">
        <v>19</v>
      </c>
    </row>
    <row r="2" spans="1:20" ht="31.5" customHeight="1" thickBot="1">
      <c r="A2" s="95" t="s">
        <v>257</v>
      </c>
      <c r="B2" s="9" t="s">
        <v>21</v>
      </c>
      <c r="C2" s="69" t="s">
        <v>23</v>
      </c>
      <c r="D2" s="45" t="s">
        <v>22</v>
      </c>
      <c r="E2" s="45" t="s">
        <v>24</v>
      </c>
      <c r="F2" s="45" t="s">
        <v>25</v>
      </c>
      <c r="G2" s="43" t="s">
        <v>26</v>
      </c>
      <c r="H2"/>
      <c r="N2" s="2">
        <f t="shared" ref="N2:S2" si="0">SUM(_xlfn.ANCHORARRAY(N3))</f>
        <v>139</v>
      </c>
      <c r="O2" s="2">
        <f t="shared" si="0"/>
        <v>33</v>
      </c>
      <c r="P2" s="2">
        <f t="shared" si="0"/>
        <v>48</v>
      </c>
      <c r="Q2" s="2">
        <f t="shared" si="0"/>
        <v>95</v>
      </c>
      <c r="R2" s="2">
        <f t="shared" si="0"/>
        <v>40</v>
      </c>
      <c r="S2" s="2">
        <f t="shared" si="0"/>
        <v>17</v>
      </c>
      <c r="T2" s="2">
        <f>SUM(_xlfn.ANCHORARRAY(T3))</f>
        <v>57</v>
      </c>
    </row>
    <row r="3" spans="1:20" ht="31.5" customHeight="1" thickBot="1">
      <c r="A3" s="96" t="s">
        <v>641</v>
      </c>
      <c r="B3" s="12">
        <v>45275</v>
      </c>
      <c r="C3" s="70" t="s">
        <v>642</v>
      </c>
      <c r="D3" s="46" t="s">
        <v>643</v>
      </c>
      <c r="E3" s="46" t="s">
        <v>19</v>
      </c>
      <c r="F3" s="46" t="s">
        <v>36</v>
      </c>
      <c r="G3" s="23">
        <v>3</v>
      </c>
      <c r="H3"/>
      <c r="I3" s="119" t="s">
        <v>32</v>
      </c>
      <c r="J3" s="120">
        <v>480</v>
      </c>
      <c r="L3" s="1" t="s">
        <v>46</v>
      </c>
      <c r="N3" s="2" cm="1">
        <f t="array" ref="N3:N121">IF(E3:E121=N1,G3:G121,0)</f>
        <v>0</v>
      </c>
      <c r="O3" s="2" cm="1">
        <f t="array" ref="O3:O121">IF(E3:E121=O1,G3:G121,0)</f>
        <v>0</v>
      </c>
      <c r="P3" s="2" cm="1">
        <f t="array" ref="P3:P121">IF(E3:E121=P1,G3:G121,0)</f>
        <v>0</v>
      </c>
      <c r="Q3" s="2" cm="1">
        <f t="array" ref="Q3:Q121">IF(E3:E121=Q1,G3:G121,0)</f>
        <v>0</v>
      </c>
      <c r="R3" s="2" cm="1">
        <f t="array" ref="R3:R121">IF(E3:E121=R1,G3:G121,0)</f>
        <v>0</v>
      </c>
      <c r="S3" s="2" cm="1">
        <f t="array" ref="S3:S121">IF(E3:E121=S1,G3:G121,0)</f>
        <v>0</v>
      </c>
      <c r="T3" s="2" cm="1">
        <f t="array" ref="T3:T121">IF(E3:E121=T1,G3:G121,0)</f>
        <v>3</v>
      </c>
    </row>
    <row r="4" spans="1:20" ht="31.5" customHeight="1">
      <c r="A4" s="97" t="s">
        <v>644</v>
      </c>
      <c r="B4" s="10">
        <v>45299</v>
      </c>
      <c r="C4" s="71" t="s">
        <v>645</v>
      </c>
      <c r="D4" s="47" t="s">
        <v>646</v>
      </c>
      <c r="E4" s="47" t="s">
        <v>17</v>
      </c>
      <c r="F4" s="47" t="s">
        <v>36</v>
      </c>
      <c r="G4" s="24">
        <v>1</v>
      </c>
      <c r="H4"/>
      <c r="I4" s="121" t="s">
        <v>37</v>
      </c>
      <c r="J4" s="122">
        <f>J3-G122</f>
        <v>15.5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</row>
    <row r="5" spans="1:20" ht="31.5" customHeight="1" thickBot="1">
      <c r="A5" s="98" t="s">
        <v>647</v>
      </c>
      <c r="B5" s="6">
        <v>45301</v>
      </c>
      <c r="C5" s="72" t="s">
        <v>648</v>
      </c>
      <c r="D5" s="48" t="s">
        <v>649</v>
      </c>
      <c r="E5" s="48" t="s">
        <v>650</v>
      </c>
      <c r="F5" s="48" t="s">
        <v>36</v>
      </c>
      <c r="G5" s="25">
        <v>2</v>
      </c>
      <c r="H5"/>
      <c r="I5" s="123" t="s">
        <v>45</v>
      </c>
      <c r="J5" s="124">
        <f>1-(J4/J3)</f>
        <v>0.96770833333333328</v>
      </c>
      <c r="L5">
        <f>192+256</f>
        <v>448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ht="31.5" customHeight="1">
      <c r="A6" s="98" t="s">
        <v>651</v>
      </c>
      <c r="B6" s="6">
        <v>45301</v>
      </c>
      <c r="C6" s="72" t="s">
        <v>652</v>
      </c>
      <c r="D6" s="48" t="s">
        <v>653</v>
      </c>
      <c r="E6" s="48" t="s">
        <v>14</v>
      </c>
      <c r="F6" s="48" t="s">
        <v>36</v>
      </c>
      <c r="G6" s="25">
        <v>2</v>
      </c>
      <c r="H6"/>
      <c r="I6" s="118"/>
      <c r="J6" s="94"/>
      <c r="N6" s="2">
        <v>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ht="31.5" customHeight="1" thickBot="1">
      <c r="A7" s="98" t="s">
        <v>654</v>
      </c>
      <c r="B7" s="6">
        <v>45304</v>
      </c>
      <c r="C7" s="72" t="s">
        <v>642</v>
      </c>
      <c r="D7" s="48" t="s">
        <v>655</v>
      </c>
      <c r="E7" s="48" t="s">
        <v>19</v>
      </c>
      <c r="F7" s="48" t="s">
        <v>36</v>
      </c>
      <c r="G7" s="25">
        <v>4</v>
      </c>
      <c r="H7"/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4</v>
      </c>
    </row>
    <row r="8" spans="1:20" ht="31.5" customHeight="1">
      <c r="A8" s="99" t="s">
        <v>656</v>
      </c>
      <c r="B8" s="6">
        <v>45309</v>
      </c>
      <c r="C8" s="72" t="s">
        <v>657</v>
      </c>
      <c r="D8" s="48" t="s">
        <v>658</v>
      </c>
      <c r="E8" s="48" t="s">
        <v>659</v>
      </c>
      <c r="F8" s="48" t="s">
        <v>36</v>
      </c>
      <c r="G8" s="25">
        <v>2.5</v>
      </c>
      <c r="H8"/>
      <c r="I8" s="125" t="s">
        <v>14</v>
      </c>
      <c r="J8" s="143">
        <f>N2</f>
        <v>139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ht="31.5" customHeight="1">
      <c r="A9" s="99" t="s">
        <v>660</v>
      </c>
      <c r="B9" s="6">
        <v>45312</v>
      </c>
      <c r="C9" s="72" t="s">
        <v>661</v>
      </c>
      <c r="D9" s="48" t="s">
        <v>662</v>
      </c>
      <c r="E9" s="48" t="s">
        <v>12</v>
      </c>
      <c r="F9" s="48" t="s">
        <v>36</v>
      </c>
      <c r="G9" s="25">
        <v>5.5</v>
      </c>
      <c r="H9"/>
      <c r="I9" s="126" t="s">
        <v>15</v>
      </c>
      <c r="J9" s="127">
        <f>O2</f>
        <v>33</v>
      </c>
      <c r="N9" s="2">
        <v>0</v>
      </c>
      <c r="O9" s="2">
        <v>0</v>
      </c>
      <c r="P9" s="2">
        <v>0</v>
      </c>
      <c r="Q9" s="2">
        <v>0</v>
      </c>
      <c r="R9" s="2">
        <v>5.5</v>
      </c>
      <c r="S9" s="2">
        <v>0</v>
      </c>
      <c r="T9" s="2">
        <v>0</v>
      </c>
    </row>
    <row r="10" spans="1:20" ht="31.5" customHeight="1">
      <c r="A10" s="98" t="s">
        <v>663</v>
      </c>
      <c r="B10" s="6">
        <v>45315</v>
      </c>
      <c r="C10" s="72" t="s">
        <v>664</v>
      </c>
      <c r="D10" s="48" t="s">
        <v>665</v>
      </c>
      <c r="E10" s="48" t="s">
        <v>14</v>
      </c>
      <c r="F10" s="48" t="s">
        <v>36</v>
      </c>
      <c r="G10" s="25">
        <v>2</v>
      </c>
      <c r="H10"/>
      <c r="I10" s="126" t="s">
        <v>11</v>
      </c>
      <c r="J10" s="127">
        <f>P2</f>
        <v>48</v>
      </c>
      <c r="N10" s="2">
        <v>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ht="31.5" customHeight="1">
      <c r="A11" s="98" t="s">
        <v>666</v>
      </c>
      <c r="B11" s="6">
        <v>45317</v>
      </c>
      <c r="C11" s="72" t="s">
        <v>667</v>
      </c>
      <c r="D11" s="48" t="s">
        <v>668</v>
      </c>
      <c r="E11" s="48" t="s">
        <v>12</v>
      </c>
      <c r="F11" s="48" t="s">
        <v>36</v>
      </c>
      <c r="G11" s="25">
        <v>5.5</v>
      </c>
      <c r="H11"/>
      <c r="I11" s="126" t="s">
        <v>17</v>
      </c>
      <c r="J11" s="144">
        <f>Q2</f>
        <v>95</v>
      </c>
      <c r="N11" s="2">
        <v>0</v>
      </c>
      <c r="O11" s="2">
        <v>0</v>
      </c>
      <c r="P11" s="2">
        <v>0</v>
      </c>
      <c r="Q11" s="2">
        <v>0</v>
      </c>
      <c r="R11" s="2">
        <v>5.5</v>
      </c>
      <c r="S11" s="2">
        <v>0</v>
      </c>
      <c r="T11" s="2">
        <v>0</v>
      </c>
    </row>
    <row r="12" spans="1:20" ht="31.5" customHeight="1">
      <c r="A12" s="98" t="s">
        <v>666</v>
      </c>
      <c r="B12" s="6">
        <v>45318</v>
      </c>
      <c r="C12" s="72" t="s">
        <v>667</v>
      </c>
      <c r="D12" s="48" t="s">
        <v>669</v>
      </c>
      <c r="E12" s="48" t="s">
        <v>659</v>
      </c>
      <c r="F12" s="48" t="s">
        <v>36</v>
      </c>
      <c r="G12" s="25">
        <v>5</v>
      </c>
      <c r="H12"/>
      <c r="I12" s="126" t="s">
        <v>12</v>
      </c>
      <c r="J12" s="127">
        <f>R2</f>
        <v>40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ht="31.5" customHeight="1" thickBot="1">
      <c r="A13" s="100" t="s">
        <v>666</v>
      </c>
      <c r="B13" s="11">
        <v>45318</v>
      </c>
      <c r="C13" s="73" t="s">
        <v>667</v>
      </c>
      <c r="D13" s="49" t="s">
        <v>670</v>
      </c>
      <c r="E13" s="49" t="s">
        <v>19</v>
      </c>
      <c r="F13" s="49" t="s">
        <v>36</v>
      </c>
      <c r="G13" s="26">
        <v>2</v>
      </c>
      <c r="H13">
        <f>SUM(G4:G13)</f>
        <v>31.5</v>
      </c>
      <c r="I13" s="126" t="s">
        <v>18</v>
      </c>
      <c r="J13" s="127">
        <f>S2</f>
        <v>17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2</v>
      </c>
    </row>
    <row r="14" spans="1:20" ht="31.5" customHeight="1" thickBot="1">
      <c r="A14" s="101" t="s">
        <v>671</v>
      </c>
      <c r="B14" s="13">
        <v>45332</v>
      </c>
      <c r="C14" s="74" t="s">
        <v>672</v>
      </c>
      <c r="D14" s="50" t="s">
        <v>673</v>
      </c>
      <c r="E14" s="50" t="s">
        <v>17</v>
      </c>
      <c r="F14" s="50" t="s">
        <v>36</v>
      </c>
      <c r="G14" s="27">
        <v>2</v>
      </c>
      <c r="H14"/>
      <c r="I14" s="128" t="s">
        <v>19</v>
      </c>
      <c r="J14" s="129">
        <f>T2</f>
        <v>57</v>
      </c>
      <c r="N14" s="2">
        <v>0</v>
      </c>
      <c r="O14" s="2">
        <v>0</v>
      </c>
      <c r="P14" s="2">
        <v>0</v>
      </c>
      <c r="Q14" s="2">
        <v>2</v>
      </c>
      <c r="R14" s="2">
        <v>0</v>
      </c>
      <c r="S14" s="2">
        <v>0</v>
      </c>
      <c r="T14" s="2">
        <v>0</v>
      </c>
    </row>
    <row r="15" spans="1:20" ht="31.5" customHeight="1">
      <c r="A15" s="102" t="s">
        <v>674</v>
      </c>
      <c r="B15" s="5">
        <v>45332</v>
      </c>
      <c r="C15" s="75" t="s">
        <v>675</v>
      </c>
      <c r="D15" s="51" t="s">
        <v>676</v>
      </c>
      <c r="E15" s="51" t="s">
        <v>14</v>
      </c>
      <c r="F15" s="51" t="s">
        <v>36</v>
      </c>
      <c r="G15" s="28">
        <v>8</v>
      </c>
      <c r="H15"/>
      <c r="N15" s="2">
        <v>8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</row>
    <row r="16" spans="1:20" ht="31.5" customHeight="1" thickBot="1">
      <c r="A16" s="102" t="s">
        <v>674</v>
      </c>
      <c r="B16" s="5">
        <v>45332</v>
      </c>
      <c r="C16" s="75" t="s">
        <v>675</v>
      </c>
      <c r="D16" s="51" t="s">
        <v>676</v>
      </c>
      <c r="E16" s="51" t="s">
        <v>15</v>
      </c>
      <c r="F16" s="51" t="s">
        <v>36</v>
      </c>
      <c r="G16" s="28">
        <v>8</v>
      </c>
      <c r="H16"/>
      <c r="N16" s="2">
        <v>0</v>
      </c>
      <c r="O16" s="2">
        <v>8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ht="31.5" customHeight="1">
      <c r="A17" s="102" t="s">
        <v>677</v>
      </c>
      <c r="B17" s="5">
        <v>45340</v>
      </c>
      <c r="C17" s="75" t="s">
        <v>678</v>
      </c>
      <c r="D17" s="51" t="s">
        <v>679</v>
      </c>
      <c r="E17" s="51" t="s">
        <v>12</v>
      </c>
      <c r="F17" s="51" t="s">
        <v>36</v>
      </c>
      <c r="G17" s="28">
        <v>2</v>
      </c>
      <c r="H17"/>
      <c r="I17" s="130" t="s">
        <v>650</v>
      </c>
      <c r="J17" s="131">
        <v>2</v>
      </c>
      <c r="N17" s="2">
        <v>0</v>
      </c>
      <c r="O17" s="2">
        <v>0</v>
      </c>
      <c r="P17" s="2">
        <v>0</v>
      </c>
      <c r="Q17" s="2">
        <v>0</v>
      </c>
      <c r="R17" s="2">
        <v>2</v>
      </c>
      <c r="S17" s="2">
        <v>0</v>
      </c>
      <c r="T17" s="2">
        <v>0</v>
      </c>
    </row>
    <row r="18" spans="1:20" ht="31.5" customHeight="1">
      <c r="A18" s="102" t="s">
        <v>680</v>
      </c>
      <c r="B18" s="5">
        <v>45339</v>
      </c>
      <c r="C18" s="75" t="s">
        <v>675</v>
      </c>
      <c r="D18" s="51" t="s">
        <v>676</v>
      </c>
      <c r="E18" s="51" t="s">
        <v>14</v>
      </c>
      <c r="F18" s="51" t="s">
        <v>36</v>
      </c>
      <c r="G18" s="28">
        <v>8</v>
      </c>
      <c r="H18"/>
      <c r="I18" s="132" t="s">
        <v>659</v>
      </c>
      <c r="J18" s="133">
        <v>15.5</v>
      </c>
      <c r="N18" s="2">
        <v>8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</row>
    <row r="19" spans="1:20" ht="31.5" customHeight="1" thickBot="1">
      <c r="A19" s="102" t="s">
        <v>680</v>
      </c>
      <c r="B19" s="5">
        <v>45339</v>
      </c>
      <c r="C19" s="75" t="s">
        <v>675</v>
      </c>
      <c r="D19" s="51" t="s">
        <v>676</v>
      </c>
      <c r="E19" s="51" t="s">
        <v>17</v>
      </c>
      <c r="F19" s="51" t="s">
        <v>36</v>
      </c>
      <c r="G19" s="28">
        <v>8</v>
      </c>
      <c r="H19"/>
      <c r="I19" s="134" t="s">
        <v>681</v>
      </c>
      <c r="J19" s="135">
        <v>24</v>
      </c>
      <c r="N19" s="2">
        <v>0</v>
      </c>
      <c r="O19" s="2">
        <v>0</v>
      </c>
      <c r="P19" s="2">
        <v>0</v>
      </c>
      <c r="Q19" s="2">
        <v>8</v>
      </c>
      <c r="R19" s="2">
        <v>0</v>
      </c>
      <c r="S19" s="2">
        <v>0</v>
      </c>
      <c r="T19" s="2">
        <v>0</v>
      </c>
    </row>
    <row r="20" spans="1:20" ht="31.5" customHeight="1">
      <c r="A20" s="102" t="s">
        <v>682</v>
      </c>
      <c r="B20" s="5">
        <v>45346</v>
      </c>
      <c r="C20" s="75" t="s">
        <v>675</v>
      </c>
      <c r="D20" s="51" t="s">
        <v>676</v>
      </c>
      <c r="E20" s="51" t="s">
        <v>14</v>
      </c>
      <c r="F20" s="51" t="s">
        <v>36</v>
      </c>
      <c r="G20" s="28">
        <v>7</v>
      </c>
      <c r="H20"/>
      <c r="N20" s="2">
        <v>7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</row>
    <row r="21" spans="1:20" ht="31.5" customHeight="1">
      <c r="A21" s="102" t="s">
        <v>682</v>
      </c>
      <c r="B21" s="5">
        <v>45346</v>
      </c>
      <c r="C21" s="75" t="s">
        <v>675</v>
      </c>
      <c r="D21" s="51" t="s">
        <v>676</v>
      </c>
      <c r="E21" s="51" t="s">
        <v>659</v>
      </c>
      <c r="F21" s="51" t="s">
        <v>36</v>
      </c>
      <c r="G21" s="28">
        <v>7</v>
      </c>
      <c r="H21"/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</row>
    <row r="22" spans="1:20" ht="31.5" customHeight="1" thickBot="1">
      <c r="A22" s="103" t="s">
        <v>682</v>
      </c>
      <c r="B22" s="16">
        <v>45346</v>
      </c>
      <c r="C22" s="76" t="s">
        <v>675</v>
      </c>
      <c r="D22" s="52" t="s">
        <v>676</v>
      </c>
      <c r="E22" s="52" t="s">
        <v>15</v>
      </c>
      <c r="F22" s="52" t="s">
        <v>36</v>
      </c>
      <c r="G22" s="29">
        <v>7</v>
      </c>
      <c r="H22">
        <f>SUM(G14:G22)</f>
        <v>57</v>
      </c>
      <c r="N22" s="2">
        <v>0</v>
      </c>
      <c r="O22" s="2">
        <v>7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</row>
    <row r="23" spans="1:20" ht="31.5" customHeight="1">
      <c r="A23" s="104" t="s">
        <v>683</v>
      </c>
      <c r="B23" s="14">
        <v>45358</v>
      </c>
      <c r="C23" s="77" t="s">
        <v>684</v>
      </c>
      <c r="D23" s="53" t="s">
        <v>685</v>
      </c>
      <c r="E23" s="53" t="s">
        <v>659</v>
      </c>
      <c r="F23" s="53" t="s">
        <v>36</v>
      </c>
      <c r="G23" s="30">
        <v>1</v>
      </c>
      <c r="H23"/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</row>
    <row r="24" spans="1:20" ht="31.5" customHeight="1">
      <c r="A24" s="105" t="s">
        <v>686</v>
      </c>
      <c r="B24" s="4">
        <v>45374</v>
      </c>
      <c r="C24" s="78" t="s">
        <v>687</v>
      </c>
      <c r="D24" s="54" t="s">
        <v>688</v>
      </c>
      <c r="E24" s="54" t="s">
        <v>11</v>
      </c>
      <c r="F24" s="54" t="s">
        <v>36</v>
      </c>
      <c r="G24" s="31">
        <v>6</v>
      </c>
      <c r="H24"/>
      <c r="N24" s="2">
        <v>0</v>
      </c>
      <c r="O24" s="2">
        <v>0</v>
      </c>
      <c r="P24" s="2">
        <v>6</v>
      </c>
      <c r="Q24" s="2">
        <v>0</v>
      </c>
      <c r="R24" s="2">
        <v>0</v>
      </c>
      <c r="S24" s="2">
        <v>0</v>
      </c>
      <c r="T24" s="2">
        <v>0</v>
      </c>
    </row>
    <row r="25" spans="1:20" ht="31.5" customHeight="1" thickBot="1">
      <c r="A25" s="106" t="s">
        <v>689</v>
      </c>
      <c r="B25" s="15">
        <v>45378</v>
      </c>
      <c r="C25" s="79" t="s">
        <v>690</v>
      </c>
      <c r="D25" s="55" t="s">
        <v>653</v>
      </c>
      <c r="E25" s="55" t="s">
        <v>19</v>
      </c>
      <c r="F25" s="55" t="s">
        <v>36</v>
      </c>
      <c r="G25" s="32">
        <v>2</v>
      </c>
      <c r="H25">
        <f>SUM(G23:G25)</f>
        <v>9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2</v>
      </c>
    </row>
    <row r="26" spans="1:20" ht="31.5" customHeight="1">
      <c r="A26" s="107" t="s">
        <v>691</v>
      </c>
      <c r="B26" s="17">
        <v>45385</v>
      </c>
      <c r="C26" s="85" t="s">
        <v>692</v>
      </c>
      <c r="D26" s="56" t="s">
        <v>693</v>
      </c>
      <c r="E26" s="56" t="s">
        <v>17</v>
      </c>
      <c r="F26" s="56" t="s">
        <v>36</v>
      </c>
      <c r="G26" s="33">
        <v>1</v>
      </c>
      <c r="H26"/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</row>
    <row r="27" spans="1:20" ht="31.5" customHeight="1">
      <c r="A27" s="108" t="s">
        <v>694</v>
      </c>
      <c r="B27" s="3">
        <v>45388</v>
      </c>
      <c r="C27" s="86" t="s">
        <v>695</v>
      </c>
      <c r="D27" s="57" t="s">
        <v>696</v>
      </c>
      <c r="E27" s="57" t="s">
        <v>17</v>
      </c>
      <c r="F27" s="57" t="s">
        <v>36</v>
      </c>
      <c r="G27" s="34">
        <v>6.5</v>
      </c>
      <c r="H27"/>
      <c r="N27" s="2">
        <v>0</v>
      </c>
      <c r="O27" s="2">
        <v>0</v>
      </c>
      <c r="P27" s="2">
        <v>0</v>
      </c>
      <c r="Q27" s="2">
        <v>6.5</v>
      </c>
      <c r="R27" s="2">
        <v>0</v>
      </c>
      <c r="S27" s="2">
        <v>0</v>
      </c>
      <c r="T27" s="2">
        <v>0</v>
      </c>
    </row>
    <row r="28" spans="1:20" ht="31.5" customHeight="1">
      <c r="A28" s="108" t="s">
        <v>694</v>
      </c>
      <c r="B28" s="3">
        <v>45388</v>
      </c>
      <c r="C28" s="86" t="s">
        <v>695</v>
      </c>
      <c r="D28" s="57" t="s">
        <v>696</v>
      </c>
      <c r="E28" s="57" t="s">
        <v>681</v>
      </c>
      <c r="F28" s="57" t="s">
        <v>36</v>
      </c>
      <c r="G28" s="34">
        <v>6.5</v>
      </c>
      <c r="H28"/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</row>
    <row r="29" spans="1:20" ht="31.5" customHeight="1">
      <c r="A29" s="108" t="s">
        <v>697</v>
      </c>
      <c r="B29" s="3">
        <v>45392</v>
      </c>
      <c r="C29" s="86" t="s">
        <v>698</v>
      </c>
      <c r="D29" s="57" t="s">
        <v>653</v>
      </c>
      <c r="E29" s="57" t="s">
        <v>11</v>
      </c>
      <c r="F29" s="57" t="s">
        <v>36</v>
      </c>
      <c r="G29" s="34">
        <v>2</v>
      </c>
      <c r="H29"/>
      <c r="N29" s="2">
        <v>0</v>
      </c>
      <c r="O29" s="2">
        <v>0</v>
      </c>
      <c r="P29" s="2">
        <v>2</v>
      </c>
      <c r="Q29" s="2">
        <v>0</v>
      </c>
      <c r="R29" s="2">
        <v>0</v>
      </c>
      <c r="S29" s="2">
        <v>0</v>
      </c>
      <c r="T29" s="2">
        <v>0</v>
      </c>
    </row>
    <row r="30" spans="1:20" ht="31.5" customHeight="1">
      <c r="A30" s="108" t="s">
        <v>699</v>
      </c>
      <c r="B30" s="3">
        <v>45395</v>
      </c>
      <c r="C30" s="86" t="s">
        <v>700</v>
      </c>
      <c r="D30" s="57" t="s">
        <v>701</v>
      </c>
      <c r="E30" s="57" t="s">
        <v>17</v>
      </c>
      <c r="F30" s="57" t="s">
        <v>36</v>
      </c>
      <c r="G30" s="34">
        <v>7.5</v>
      </c>
      <c r="H30"/>
      <c r="N30" s="2">
        <v>0</v>
      </c>
      <c r="O30" s="2">
        <v>0</v>
      </c>
      <c r="P30" s="2">
        <v>0</v>
      </c>
      <c r="Q30" s="2">
        <v>7.5</v>
      </c>
      <c r="R30" s="2">
        <v>0</v>
      </c>
      <c r="S30" s="2">
        <v>0</v>
      </c>
      <c r="T30" s="2">
        <v>0</v>
      </c>
    </row>
    <row r="31" spans="1:20" ht="31.5" customHeight="1">
      <c r="A31" s="108" t="s">
        <v>699</v>
      </c>
      <c r="B31" s="3">
        <v>45395</v>
      </c>
      <c r="C31" s="86" t="s">
        <v>700</v>
      </c>
      <c r="D31" s="57" t="s">
        <v>701</v>
      </c>
      <c r="E31" s="57" t="s">
        <v>681</v>
      </c>
      <c r="F31" s="57" t="s">
        <v>36</v>
      </c>
      <c r="G31" s="34">
        <v>7.5</v>
      </c>
      <c r="H31"/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</row>
    <row r="32" spans="1:20" ht="31.5" customHeight="1">
      <c r="A32" s="108" t="s">
        <v>702</v>
      </c>
      <c r="B32" s="3">
        <v>45402</v>
      </c>
      <c r="C32" s="86" t="s">
        <v>703</v>
      </c>
      <c r="D32" s="57" t="s">
        <v>676</v>
      </c>
      <c r="E32" s="57" t="s">
        <v>14</v>
      </c>
      <c r="F32" s="57" t="s">
        <v>36</v>
      </c>
      <c r="G32" s="34">
        <v>8</v>
      </c>
      <c r="H32"/>
      <c r="N32" s="2">
        <v>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</row>
    <row r="33" spans="1:20" ht="31.5" customHeight="1">
      <c r="A33" s="108" t="s">
        <v>702</v>
      </c>
      <c r="B33" s="3">
        <v>45402</v>
      </c>
      <c r="C33" s="86" t="s">
        <v>703</v>
      </c>
      <c r="D33" s="57" t="s">
        <v>676</v>
      </c>
      <c r="E33" s="57" t="s">
        <v>681</v>
      </c>
      <c r="F33" s="57" t="s">
        <v>36</v>
      </c>
      <c r="G33" s="34">
        <v>8</v>
      </c>
      <c r="H33"/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</row>
    <row r="34" spans="1:20" ht="31.5" customHeight="1">
      <c r="A34" s="108" t="s">
        <v>446</v>
      </c>
      <c r="B34" s="3">
        <v>45403</v>
      </c>
      <c r="C34" s="86" t="s">
        <v>446</v>
      </c>
      <c r="D34" s="57" t="s">
        <v>704</v>
      </c>
      <c r="E34" s="57" t="s">
        <v>12</v>
      </c>
      <c r="F34" s="57" t="s">
        <v>36</v>
      </c>
      <c r="G34" s="34">
        <v>8</v>
      </c>
      <c r="H34"/>
      <c r="N34" s="2">
        <v>0</v>
      </c>
      <c r="O34" s="2">
        <v>0</v>
      </c>
      <c r="P34" s="2">
        <v>0</v>
      </c>
      <c r="Q34" s="2">
        <v>0</v>
      </c>
      <c r="R34" s="2">
        <v>8</v>
      </c>
      <c r="S34" s="2">
        <v>0</v>
      </c>
      <c r="T34" s="2">
        <v>0</v>
      </c>
    </row>
    <row r="35" spans="1:20" ht="31.5" customHeight="1">
      <c r="A35" s="108" t="s">
        <v>446</v>
      </c>
      <c r="B35" s="3">
        <v>45403</v>
      </c>
      <c r="C35" s="86" t="s">
        <v>446</v>
      </c>
      <c r="D35" s="57" t="s">
        <v>705</v>
      </c>
      <c r="E35" s="57" t="s">
        <v>19</v>
      </c>
      <c r="F35" s="57" t="s">
        <v>36</v>
      </c>
      <c r="G35" s="34">
        <v>10.5</v>
      </c>
      <c r="H35"/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10.5</v>
      </c>
    </row>
    <row r="36" spans="1:20" ht="31.5" customHeight="1">
      <c r="A36" s="108" t="s">
        <v>706</v>
      </c>
      <c r="B36" s="3">
        <v>45409</v>
      </c>
      <c r="C36" s="86" t="s">
        <v>707</v>
      </c>
      <c r="D36" s="57" t="s">
        <v>708</v>
      </c>
      <c r="E36" s="57" t="s">
        <v>17</v>
      </c>
      <c r="F36" s="57" t="s">
        <v>36</v>
      </c>
      <c r="G36" s="34">
        <v>5</v>
      </c>
      <c r="H36"/>
      <c r="N36" s="2">
        <v>0</v>
      </c>
      <c r="O36" s="2">
        <v>0</v>
      </c>
      <c r="P36" s="2">
        <v>0</v>
      </c>
      <c r="Q36" s="2">
        <v>5</v>
      </c>
      <c r="R36" s="2">
        <v>0</v>
      </c>
      <c r="S36" s="2">
        <v>0</v>
      </c>
      <c r="T36" s="2">
        <v>0</v>
      </c>
    </row>
    <row r="37" spans="1:20" ht="31.5" customHeight="1">
      <c r="A37" s="108" t="s">
        <v>706</v>
      </c>
      <c r="B37" s="3">
        <v>45412</v>
      </c>
      <c r="C37" s="86" t="s">
        <v>709</v>
      </c>
      <c r="D37" s="57" t="s">
        <v>710</v>
      </c>
      <c r="E37" s="57" t="s">
        <v>14</v>
      </c>
      <c r="F37" s="57" t="s">
        <v>36</v>
      </c>
      <c r="G37" s="34">
        <v>5</v>
      </c>
      <c r="H37"/>
      <c r="N37" s="2">
        <v>5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</row>
    <row r="38" spans="1:20" ht="31.5" customHeight="1" thickBot="1">
      <c r="A38" s="109" t="s">
        <v>706</v>
      </c>
      <c r="B38" s="20">
        <v>45412</v>
      </c>
      <c r="C38" s="87" t="s">
        <v>711</v>
      </c>
      <c r="D38" s="58" t="s">
        <v>710</v>
      </c>
      <c r="E38" s="58" t="s">
        <v>11</v>
      </c>
      <c r="F38" s="58" t="s">
        <v>36</v>
      </c>
      <c r="G38" s="35">
        <v>5</v>
      </c>
      <c r="H38">
        <f>SUM(G26:G38)</f>
        <v>80.5</v>
      </c>
      <c r="N38" s="2">
        <v>0</v>
      </c>
      <c r="O38" s="2">
        <v>0</v>
      </c>
      <c r="P38" s="2">
        <v>5</v>
      </c>
      <c r="Q38" s="2">
        <v>0</v>
      </c>
      <c r="R38" s="2">
        <v>0</v>
      </c>
      <c r="S38" s="2">
        <v>0</v>
      </c>
      <c r="T38" s="2">
        <v>0</v>
      </c>
    </row>
    <row r="39" spans="1:20" ht="31.5" customHeight="1">
      <c r="A39" s="110" t="s">
        <v>712</v>
      </c>
      <c r="B39" s="18">
        <v>45421</v>
      </c>
      <c r="C39" s="88" t="s">
        <v>713</v>
      </c>
      <c r="D39" s="59" t="s">
        <v>653</v>
      </c>
      <c r="E39" s="59" t="s">
        <v>19</v>
      </c>
      <c r="F39" s="59" t="s">
        <v>36</v>
      </c>
      <c r="G39" s="36">
        <v>0.5</v>
      </c>
      <c r="H39"/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0.5</v>
      </c>
    </row>
    <row r="40" spans="1:20" ht="31.5" customHeight="1">
      <c r="A40" s="111" t="s">
        <v>714</v>
      </c>
      <c r="B40" s="7">
        <v>45428</v>
      </c>
      <c r="C40" s="89" t="s">
        <v>715</v>
      </c>
      <c r="D40" s="60" t="s">
        <v>653</v>
      </c>
      <c r="E40" s="60" t="s">
        <v>19</v>
      </c>
      <c r="F40" s="60" t="s">
        <v>36</v>
      </c>
      <c r="G40" s="37">
        <v>2</v>
      </c>
      <c r="H40"/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2</v>
      </c>
    </row>
    <row r="41" spans="1:20" ht="31.5" customHeight="1">
      <c r="A41" s="111" t="s">
        <v>716</v>
      </c>
      <c r="B41" s="7">
        <v>45434</v>
      </c>
      <c r="C41" s="89" t="s">
        <v>717</v>
      </c>
      <c r="D41" s="60" t="s">
        <v>653</v>
      </c>
      <c r="E41" s="60" t="s">
        <v>15</v>
      </c>
      <c r="F41" s="60" t="s">
        <v>36</v>
      </c>
      <c r="G41" s="37">
        <v>2</v>
      </c>
      <c r="H41"/>
      <c r="N41" s="2">
        <v>0</v>
      </c>
      <c r="O41" s="2">
        <v>2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</row>
    <row r="42" spans="1:20" ht="31.5" customHeight="1">
      <c r="A42" s="111" t="s">
        <v>718</v>
      </c>
      <c r="B42" s="7">
        <v>45435</v>
      </c>
      <c r="C42" s="89" t="s">
        <v>719</v>
      </c>
      <c r="D42" s="60" t="s">
        <v>653</v>
      </c>
      <c r="E42" s="60" t="s">
        <v>681</v>
      </c>
      <c r="F42" s="60" t="s">
        <v>36</v>
      </c>
      <c r="G42" s="37">
        <v>2</v>
      </c>
      <c r="H42"/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</row>
    <row r="43" spans="1:20" ht="31.5" customHeight="1" thickBot="1">
      <c r="A43" s="112" t="s">
        <v>720</v>
      </c>
      <c r="B43" s="19">
        <v>45441</v>
      </c>
      <c r="C43" s="90" t="s">
        <v>721</v>
      </c>
      <c r="D43" s="61" t="s">
        <v>722</v>
      </c>
      <c r="E43" s="61" t="s">
        <v>14</v>
      </c>
      <c r="F43" s="61" t="s">
        <v>36</v>
      </c>
      <c r="G43" s="38">
        <v>4</v>
      </c>
      <c r="H43">
        <f>SUM(G39:G43)</f>
        <v>10.5</v>
      </c>
      <c r="N43" s="2">
        <v>4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</row>
    <row r="44" spans="1:20" ht="31.5" customHeight="1">
      <c r="A44" s="113" t="s">
        <v>723</v>
      </c>
      <c r="B44" s="21">
        <v>45449</v>
      </c>
      <c r="C44" s="80" t="s">
        <v>724</v>
      </c>
      <c r="D44" s="62" t="s">
        <v>725</v>
      </c>
      <c r="E44" s="63" t="s">
        <v>14</v>
      </c>
      <c r="F44" s="63" t="s">
        <v>36</v>
      </c>
      <c r="G44" s="39">
        <v>2</v>
      </c>
      <c r="H44"/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</row>
    <row r="45" spans="1:20" ht="31.5" customHeight="1">
      <c r="A45" s="114" t="s">
        <v>723</v>
      </c>
      <c r="B45" s="8">
        <v>45449</v>
      </c>
      <c r="C45" s="81" t="s">
        <v>724</v>
      </c>
      <c r="D45" s="64" t="s">
        <v>725</v>
      </c>
      <c r="E45" s="65" t="s">
        <v>19</v>
      </c>
      <c r="F45" s="65" t="s">
        <v>36</v>
      </c>
      <c r="G45" s="40">
        <v>2</v>
      </c>
      <c r="H45"/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2</v>
      </c>
    </row>
    <row r="46" spans="1:20" ht="31.5" customHeight="1">
      <c r="A46" s="114" t="s">
        <v>726</v>
      </c>
      <c r="B46" s="8">
        <v>45450</v>
      </c>
      <c r="C46" s="81" t="s">
        <v>727</v>
      </c>
      <c r="D46" s="64" t="s">
        <v>728</v>
      </c>
      <c r="E46" s="65" t="s">
        <v>17</v>
      </c>
      <c r="F46" s="65" t="s">
        <v>36</v>
      </c>
      <c r="G46" s="40">
        <v>2</v>
      </c>
      <c r="H46"/>
      <c r="N46" s="2">
        <v>0</v>
      </c>
      <c r="O46" s="2">
        <v>0</v>
      </c>
      <c r="P46" s="2">
        <v>0</v>
      </c>
      <c r="Q46" s="2">
        <v>2</v>
      </c>
      <c r="R46" s="2">
        <v>0</v>
      </c>
      <c r="S46" s="2">
        <v>0</v>
      </c>
      <c r="T46" s="2">
        <v>0</v>
      </c>
    </row>
    <row r="47" spans="1:20" ht="31.5" customHeight="1">
      <c r="A47" s="114" t="s">
        <v>729</v>
      </c>
      <c r="B47" s="8">
        <v>45453</v>
      </c>
      <c r="C47" s="81" t="s">
        <v>730</v>
      </c>
      <c r="D47" s="64" t="s">
        <v>105</v>
      </c>
      <c r="E47" s="65" t="s">
        <v>19</v>
      </c>
      <c r="F47" s="65" t="s">
        <v>36</v>
      </c>
      <c r="G47" s="40">
        <v>1</v>
      </c>
      <c r="H47"/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</row>
    <row r="48" spans="1:20" ht="31.5" customHeight="1">
      <c r="A48" s="114" t="s">
        <v>731</v>
      </c>
      <c r="B48" s="8">
        <v>45453</v>
      </c>
      <c r="C48" s="81" t="s">
        <v>732</v>
      </c>
      <c r="D48" s="64" t="s">
        <v>452</v>
      </c>
      <c r="E48" s="65" t="s">
        <v>12</v>
      </c>
      <c r="F48" s="65" t="s">
        <v>36</v>
      </c>
      <c r="G48" s="40">
        <v>5</v>
      </c>
      <c r="H48"/>
      <c r="N48" s="2">
        <v>0</v>
      </c>
      <c r="O48" s="2">
        <v>0</v>
      </c>
      <c r="P48" s="2">
        <v>0</v>
      </c>
      <c r="Q48" s="2">
        <v>0</v>
      </c>
      <c r="R48" s="2">
        <v>5</v>
      </c>
      <c r="S48" s="2">
        <v>0</v>
      </c>
      <c r="T48" s="2">
        <v>0</v>
      </c>
    </row>
    <row r="49" spans="1:20" ht="31.5" customHeight="1">
      <c r="A49" s="114" t="s">
        <v>733</v>
      </c>
      <c r="B49" s="8">
        <v>45454</v>
      </c>
      <c r="C49" s="81" t="s">
        <v>734</v>
      </c>
      <c r="D49" s="64" t="s">
        <v>725</v>
      </c>
      <c r="E49" s="65" t="s">
        <v>15</v>
      </c>
      <c r="F49" s="65" t="s">
        <v>36</v>
      </c>
      <c r="G49" s="40">
        <v>2</v>
      </c>
      <c r="H49"/>
      <c r="N49" s="2">
        <v>0</v>
      </c>
      <c r="O49" s="2">
        <v>2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</row>
    <row r="50" spans="1:20" ht="31.5" customHeight="1">
      <c r="A50" s="114" t="s">
        <v>735</v>
      </c>
      <c r="B50" s="8">
        <v>45458</v>
      </c>
      <c r="C50" s="81" t="s">
        <v>736</v>
      </c>
      <c r="D50" s="64" t="s">
        <v>737</v>
      </c>
      <c r="E50" s="65" t="s">
        <v>12</v>
      </c>
      <c r="F50" s="65" t="s">
        <v>36</v>
      </c>
      <c r="G50" s="40">
        <v>5</v>
      </c>
      <c r="H50"/>
      <c r="N50" s="2">
        <v>0</v>
      </c>
      <c r="O50" s="2">
        <v>0</v>
      </c>
      <c r="P50" s="2">
        <v>0</v>
      </c>
      <c r="Q50" s="2">
        <v>0</v>
      </c>
      <c r="R50" s="2">
        <v>5</v>
      </c>
      <c r="S50" s="2">
        <v>0</v>
      </c>
      <c r="T50" s="2">
        <v>0</v>
      </c>
    </row>
    <row r="51" spans="1:20" ht="31.5" customHeight="1">
      <c r="A51" s="114" t="s">
        <v>738</v>
      </c>
      <c r="B51" s="8">
        <v>45463</v>
      </c>
      <c r="C51" s="81" t="s">
        <v>739</v>
      </c>
      <c r="D51" s="64" t="s">
        <v>740</v>
      </c>
      <c r="E51" s="65" t="s">
        <v>14</v>
      </c>
      <c r="F51" s="65" t="s">
        <v>36</v>
      </c>
      <c r="G51" s="40">
        <v>4</v>
      </c>
      <c r="H51"/>
      <c r="N51" s="2">
        <v>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</row>
    <row r="52" spans="1:20" ht="31.5" customHeight="1">
      <c r="A52" s="114" t="s">
        <v>738</v>
      </c>
      <c r="B52" s="8">
        <v>45463</v>
      </c>
      <c r="C52" s="81" t="s">
        <v>739</v>
      </c>
      <c r="D52" s="64" t="s">
        <v>740</v>
      </c>
      <c r="E52" s="65" t="s">
        <v>681</v>
      </c>
      <c r="F52" s="65" t="s">
        <v>36</v>
      </c>
      <c r="G52" s="40">
        <v>4</v>
      </c>
      <c r="H52"/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</row>
    <row r="53" spans="1:20" ht="31.5" customHeight="1">
      <c r="A53" s="114" t="s">
        <v>741</v>
      </c>
      <c r="B53" s="8">
        <v>45463</v>
      </c>
      <c r="C53" s="81" t="s">
        <v>742</v>
      </c>
      <c r="D53" s="64" t="s">
        <v>743</v>
      </c>
      <c r="E53" s="65" t="s">
        <v>19</v>
      </c>
      <c r="F53" s="65" t="s">
        <v>36</v>
      </c>
      <c r="G53" s="40">
        <v>3</v>
      </c>
      <c r="H53"/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3</v>
      </c>
    </row>
    <row r="54" spans="1:20" ht="31.5" customHeight="1">
      <c r="A54" s="114" t="s">
        <v>741</v>
      </c>
      <c r="B54" s="8">
        <v>45463</v>
      </c>
      <c r="C54" s="81" t="s">
        <v>742</v>
      </c>
      <c r="D54" s="64" t="s">
        <v>743</v>
      </c>
      <c r="E54" s="65" t="s">
        <v>15</v>
      </c>
      <c r="F54" s="65" t="s">
        <v>36</v>
      </c>
      <c r="G54" s="40">
        <v>3</v>
      </c>
      <c r="H54"/>
      <c r="N54" s="2">
        <v>0</v>
      </c>
      <c r="O54" s="2">
        <v>3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</row>
    <row r="55" spans="1:20" ht="31.5" customHeight="1">
      <c r="A55" s="114" t="s">
        <v>744</v>
      </c>
      <c r="B55" s="8">
        <v>45464</v>
      </c>
      <c r="C55" s="81" t="s">
        <v>745</v>
      </c>
      <c r="D55" s="64" t="s">
        <v>725</v>
      </c>
      <c r="E55" s="65" t="s">
        <v>14</v>
      </c>
      <c r="F55" s="65" t="s">
        <v>36</v>
      </c>
      <c r="G55" s="40">
        <v>2</v>
      </c>
      <c r="H55"/>
      <c r="N55" s="2">
        <v>2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</row>
    <row r="56" spans="1:20" ht="31.5" customHeight="1">
      <c r="A56" s="114" t="s">
        <v>746</v>
      </c>
      <c r="B56" s="8">
        <v>45465</v>
      </c>
      <c r="C56" s="81" t="s">
        <v>747</v>
      </c>
      <c r="D56" s="64" t="s">
        <v>748</v>
      </c>
      <c r="E56" s="65" t="s">
        <v>17</v>
      </c>
      <c r="F56" s="65" t="s">
        <v>36</v>
      </c>
      <c r="G56" s="40">
        <v>5.5</v>
      </c>
      <c r="H56"/>
      <c r="N56" s="2">
        <v>0</v>
      </c>
      <c r="O56" s="2">
        <v>0</v>
      </c>
      <c r="P56" s="2">
        <v>0</v>
      </c>
      <c r="Q56" s="2">
        <v>5.5</v>
      </c>
      <c r="R56" s="2">
        <v>0</v>
      </c>
      <c r="S56" s="2">
        <v>0</v>
      </c>
      <c r="T56" s="2">
        <v>0</v>
      </c>
    </row>
    <row r="57" spans="1:20" ht="31.5" customHeight="1">
      <c r="A57" s="114" t="s">
        <v>749</v>
      </c>
      <c r="B57" s="8">
        <v>45467</v>
      </c>
      <c r="C57" s="81" t="s">
        <v>750</v>
      </c>
      <c r="D57" s="64" t="s">
        <v>209</v>
      </c>
      <c r="E57" s="65" t="s">
        <v>14</v>
      </c>
      <c r="F57" s="65" t="s">
        <v>36</v>
      </c>
      <c r="G57" s="40">
        <v>1</v>
      </c>
      <c r="H57"/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</row>
    <row r="58" spans="1:20" ht="31.5" customHeight="1">
      <c r="A58" s="114" t="s">
        <v>751</v>
      </c>
      <c r="B58" s="8">
        <v>45469</v>
      </c>
      <c r="C58" s="81" t="s">
        <v>752</v>
      </c>
      <c r="D58" s="64" t="s">
        <v>352</v>
      </c>
      <c r="E58" s="65" t="s">
        <v>11</v>
      </c>
      <c r="F58" s="65" t="s">
        <v>36</v>
      </c>
      <c r="G58" s="40">
        <v>3</v>
      </c>
      <c r="H58"/>
      <c r="N58" s="2">
        <v>0</v>
      </c>
      <c r="O58" s="2">
        <v>0</v>
      </c>
      <c r="P58" s="2">
        <v>3</v>
      </c>
      <c r="Q58" s="2">
        <v>0</v>
      </c>
      <c r="R58" s="2">
        <v>0</v>
      </c>
      <c r="S58" s="2">
        <v>0</v>
      </c>
      <c r="T58" s="2">
        <v>0</v>
      </c>
    </row>
    <row r="59" spans="1:20" ht="31.5" customHeight="1">
      <c r="A59" s="114" t="s">
        <v>753</v>
      </c>
      <c r="B59" s="8">
        <v>45470</v>
      </c>
      <c r="C59" s="81" t="s">
        <v>754</v>
      </c>
      <c r="D59" s="64" t="s">
        <v>755</v>
      </c>
      <c r="E59" s="65" t="s">
        <v>17</v>
      </c>
      <c r="F59" s="65" t="s">
        <v>36</v>
      </c>
      <c r="G59" s="40">
        <v>4</v>
      </c>
      <c r="H59"/>
      <c r="N59" s="2">
        <v>0</v>
      </c>
      <c r="O59" s="2">
        <v>0</v>
      </c>
      <c r="P59" s="2">
        <v>0</v>
      </c>
      <c r="Q59" s="2">
        <v>4</v>
      </c>
      <c r="R59" s="2">
        <v>0</v>
      </c>
      <c r="S59" s="2">
        <v>0</v>
      </c>
      <c r="T59" s="2">
        <v>0</v>
      </c>
    </row>
    <row r="60" spans="1:20" ht="31.5" customHeight="1">
      <c r="A60" s="114" t="s">
        <v>753</v>
      </c>
      <c r="B60" s="8">
        <v>45470</v>
      </c>
      <c r="C60" s="81" t="s">
        <v>754</v>
      </c>
      <c r="D60" s="64" t="s">
        <v>755</v>
      </c>
      <c r="E60" s="65" t="s">
        <v>14</v>
      </c>
      <c r="F60" s="65" t="s">
        <v>36</v>
      </c>
      <c r="G60" s="40">
        <v>4</v>
      </c>
      <c r="H60"/>
      <c r="N60" s="2">
        <v>4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</row>
    <row r="61" spans="1:20" ht="31.5" customHeight="1" thickBot="1">
      <c r="A61" s="115" t="s">
        <v>756</v>
      </c>
      <c r="B61" s="22">
        <v>45470</v>
      </c>
      <c r="C61" s="82" t="s">
        <v>757</v>
      </c>
      <c r="D61" s="66" t="s">
        <v>725</v>
      </c>
      <c r="E61" s="67" t="s">
        <v>681</v>
      </c>
      <c r="F61" s="67" t="s">
        <v>36</v>
      </c>
      <c r="G61" s="41">
        <v>2</v>
      </c>
      <c r="H61">
        <f>SUM(G44:G61)</f>
        <v>54.5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</row>
    <row r="62" spans="1:20" ht="31.5" customHeight="1">
      <c r="A62" s="116" t="s">
        <v>758</v>
      </c>
      <c r="B62" s="10">
        <v>45477</v>
      </c>
      <c r="C62" s="71" t="s">
        <v>759</v>
      </c>
      <c r="D62" s="47" t="s">
        <v>272</v>
      </c>
      <c r="E62" s="47" t="s">
        <v>17</v>
      </c>
      <c r="F62" s="47" t="s">
        <v>36</v>
      </c>
      <c r="G62" s="24">
        <v>2</v>
      </c>
      <c r="H62"/>
      <c r="N62" s="2">
        <v>0</v>
      </c>
      <c r="O62" s="2">
        <v>0</v>
      </c>
      <c r="P62" s="2">
        <v>0</v>
      </c>
      <c r="Q62" s="2">
        <v>2</v>
      </c>
      <c r="R62" s="2">
        <v>0</v>
      </c>
      <c r="S62" s="2">
        <v>0</v>
      </c>
      <c r="T62" s="2">
        <v>0</v>
      </c>
    </row>
    <row r="63" spans="1:20" ht="31.5" customHeight="1">
      <c r="A63" s="99" t="s">
        <v>760</v>
      </c>
      <c r="B63" s="6">
        <v>45477</v>
      </c>
      <c r="C63" s="72" t="s">
        <v>761</v>
      </c>
      <c r="D63" s="48" t="s">
        <v>102</v>
      </c>
      <c r="E63" s="48" t="s">
        <v>15</v>
      </c>
      <c r="F63" s="48" t="s">
        <v>36</v>
      </c>
      <c r="G63" s="25">
        <v>1</v>
      </c>
      <c r="H63"/>
      <c r="N63" s="2">
        <v>0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</row>
    <row r="64" spans="1:20" ht="31.5" customHeight="1">
      <c r="A64" s="99" t="s">
        <v>762</v>
      </c>
      <c r="B64" s="6">
        <v>45478</v>
      </c>
      <c r="C64" s="72" t="s">
        <v>763</v>
      </c>
      <c r="D64" s="48" t="s">
        <v>34</v>
      </c>
      <c r="E64" s="48" t="s">
        <v>681</v>
      </c>
      <c r="F64" s="48" t="s">
        <v>36</v>
      </c>
      <c r="G64" s="25">
        <v>4</v>
      </c>
      <c r="H64"/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</row>
    <row r="65" spans="1:20" ht="31.5" customHeight="1">
      <c r="A65" s="99" t="s">
        <v>764</v>
      </c>
      <c r="B65" s="6">
        <v>45479</v>
      </c>
      <c r="C65" s="72" t="s">
        <v>765</v>
      </c>
      <c r="D65" s="48" t="s">
        <v>766</v>
      </c>
      <c r="E65" s="48" t="s">
        <v>17</v>
      </c>
      <c r="F65" s="48" t="s">
        <v>36</v>
      </c>
      <c r="G65" s="25">
        <v>7</v>
      </c>
      <c r="H65"/>
      <c r="N65" s="2">
        <v>0</v>
      </c>
      <c r="O65" s="2">
        <v>0</v>
      </c>
      <c r="P65" s="2">
        <v>0</v>
      </c>
      <c r="Q65" s="2">
        <v>7</v>
      </c>
      <c r="R65" s="2">
        <v>0</v>
      </c>
      <c r="S65" s="2">
        <v>0</v>
      </c>
      <c r="T65" s="2">
        <v>0</v>
      </c>
    </row>
    <row r="66" spans="1:20" ht="31.5" customHeight="1">
      <c r="A66" s="99" t="s">
        <v>767</v>
      </c>
      <c r="B66" s="6">
        <v>45485</v>
      </c>
      <c r="C66" s="72" t="s">
        <v>768</v>
      </c>
      <c r="D66" s="48" t="s">
        <v>769</v>
      </c>
      <c r="E66" s="48" t="s">
        <v>11</v>
      </c>
      <c r="F66" s="48" t="s">
        <v>36</v>
      </c>
      <c r="G66" s="25">
        <v>6</v>
      </c>
      <c r="H66"/>
      <c r="N66" s="2">
        <v>0</v>
      </c>
      <c r="O66" s="2">
        <v>0</v>
      </c>
      <c r="P66" s="2">
        <v>6</v>
      </c>
      <c r="Q66" s="2">
        <v>0</v>
      </c>
      <c r="R66" s="2">
        <v>0</v>
      </c>
      <c r="S66" s="2">
        <v>0</v>
      </c>
      <c r="T66" s="2">
        <v>0</v>
      </c>
    </row>
    <row r="67" spans="1:20" ht="31.5" customHeight="1">
      <c r="A67" s="99" t="s">
        <v>770</v>
      </c>
      <c r="B67" s="6">
        <v>45489</v>
      </c>
      <c r="C67" s="72" t="s">
        <v>771</v>
      </c>
      <c r="D67" s="48" t="s">
        <v>384</v>
      </c>
      <c r="E67" s="48" t="s">
        <v>12</v>
      </c>
      <c r="F67" s="48" t="s">
        <v>36</v>
      </c>
      <c r="G67" s="25">
        <v>3</v>
      </c>
      <c r="H67"/>
      <c r="N67" s="2">
        <v>0</v>
      </c>
      <c r="O67" s="2">
        <v>0</v>
      </c>
      <c r="P67" s="2">
        <v>0</v>
      </c>
      <c r="Q67" s="2">
        <v>0</v>
      </c>
      <c r="R67" s="2">
        <v>3</v>
      </c>
      <c r="S67" s="2">
        <v>0</v>
      </c>
      <c r="T67" s="2">
        <v>0</v>
      </c>
    </row>
    <row r="68" spans="1:20" ht="31.5" customHeight="1">
      <c r="A68" s="99" t="s">
        <v>772</v>
      </c>
      <c r="B68" s="6">
        <v>45491</v>
      </c>
      <c r="C68" s="72" t="s">
        <v>773</v>
      </c>
      <c r="D68" s="48" t="s">
        <v>272</v>
      </c>
      <c r="E68" s="48" t="s">
        <v>17</v>
      </c>
      <c r="F68" s="48" t="s">
        <v>36</v>
      </c>
      <c r="G68" s="25">
        <v>2</v>
      </c>
      <c r="H68"/>
      <c r="N68" s="2">
        <v>0</v>
      </c>
      <c r="O68" s="2">
        <v>0</v>
      </c>
      <c r="P68" s="2">
        <v>0</v>
      </c>
      <c r="Q68" s="2">
        <v>2</v>
      </c>
      <c r="R68" s="2">
        <v>0</v>
      </c>
      <c r="S68" s="2">
        <v>0</v>
      </c>
      <c r="T68" s="2">
        <v>0</v>
      </c>
    </row>
    <row r="69" spans="1:20" ht="31.5" customHeight="1">
      <c r="A69" s="99" t="s">
        <v>774</v>
      </c>
      <c r="B69" s="6">
        <v>45491</v>
      </c>
      <c r="C69" s="72" t="s">
        <v>775</v>
      </c>
      <c r="D69" s="48" t="s">
        <v>297</v>
      </c>
      <c r="E69" s="48" t="s">
        <v>15</v>
      </c>
      <c r="F69" s="48" t="s">
        <v>36</v>
      </c>
      <c r="G69" s="25">
        <v>3</v>
      </c>
      <c r="H69"/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</row>
    <row r="70" spans="1:20" ht="31.5" customHeight="1">
      <c r="A70" s="99" t="s">
        <v>776</v>
      </c>
      <c r="B70" s="6">
        <v>45492</v>
      </c>
      <c r="C70" s="72" t="s">
        <v>777</v>
      </c>
      <c r="D70" s="48" t="s">
        <v>349</v>
      </c>
      <c r="E70" s="48" t="s">
        <v>778</v>
      </c>
      <c r="F70" s="48" t="s">
        <v>36</v>
      </c>
      <c r="G70" s="25">
        <v>5</v>
      </c>
      <c r="H70"/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</row>
    <row r="71" spans="1:20" ht="31.5" customHeight="1" thickBot="1">
      <c r="A71" s="117" t="s">
        <v>779</v>
      </c>
      <c r="B71" s="11" t="s">
        <v>780</v>
      </c>
      <c r="C71" s="73" t="s">
        <v>781</v>
      </c>
      <c r="D71" s="49" t="s">
        <v>145</v>
      </c>
      <c r="E71" s="49" t="s">
        <v>778</v>
      </c>
      <c r="F71" s="49" t="s">
        <v>36</v>
      </c>
      <c r="G71" s="26">
        <v>2</v>
      </c>
      <c r="H71">
        <f>SUM(G62:G71)</f>
        <v>35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</row>
    <row r="72" spans="1:20" ht="31.5" customHeight="1">
      <c r="A72" s="101" t="s">
        <v>782</v>
      </c>
      <c r="B72" s="13">
        <v>45507</v>
      </c>
      <c r="C72" s="74" t="s">
        <v>783</v>
      </c>
      <c r="D72" s="50" t="s">
        <v>116</v>
      </c>
      <c r="E72" s="50" t="s">
        <v>14</v>
      </c>
      <c r="F72" s="50" t="s">
        <v>36</v>
      </c>
      <c r="G72" s="27">
        <v>5</v>
      </c>
      <c r="H72"/>
      <c r="N72" s="2">
        <v>5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</row>
    <row r="73" spans="1:20" ht="31.5" customHeight="1">
      <c r="A73" s="102" t="s">
        <v>784</v>
      </c>
      <c r="B73" s="5">
        <v>45509</v>
      </c>
      <c r="C73" s="75" t="s">
        <v>785</v>
      </c>
      <c r="D73" s="51" t="s">
        <v>740</v>
      </c>
      <c r="E73" s="51" t="s">
        <v>15</v>
      </c>
      <c r="F73" s="51" t="s">
        <v>36</v>
      </c>
      <c r="G73" s="28">
        <v>2</v>
      </c>
      <c r="H73"/>
      <c r="N73" s="2">
        <v>0</v>
      </c>
      <c r="O73" s="2">
        <v>2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</row>
    <row r="74" spans="1:20" ht="31.5" customHeight="1">
      <c r="A74" s="102" t="s">
        <v>786</v>
      </c>
      <c r="B74" s="5">
        <v>45512</v>
      </c>
      <c r="C74" s="75" t="s">
        <v>787</v>
      </c>
      <c r="D74" s="51" t="s">
        <v>788</v>
      </c>
      <c r="E74" s="51" t="s">
        <v>14</v>
      </c>
      <c r="F74" s="51" t="s">
        <v>36</v>
      </c>
      <c r="G74" s="28">
        <v>5</v>
      </c>
      <c r="H74"/>
      <c r="N74" s="2">
        <v>5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</row>
    <row r="75" spans="1:20" ht="31.5" customHeight="1">
      <c r="A75" s="102" t="s">
        <v>789</v>
      </c>
      <c r="B75" s="5">
        <v>45512</v>
      </c>
      <c r="C75" s="75" t="s">
        <v>790</v>
      </c>
      <c r="D75" s="51" t="s">
        <v>740</v>
      </c>
      <c r="E75" s="51" t="s">
        <v>15</v>
      </c>
      <c r="F75" s="51" t="s">
        <v>36</v>
      </c>
      <c r="G75" s="28">
        <v>1</v>
      </c>
      <c r="H75"/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</row>
    <row r="76" spans="1:20" ht="31.5" customHeight="1">
      <c r="A76" s="102" t="s">
        <v>791</v>
      </c>
      <c r="B76" s="5">
        <v>45513</v>
      </c>
      <c r="C76" s="75" t="s">
        <v>792</v>
      </c>
      <c r="D76" s="51" t="s">
        <v>793</v>
      </c>
      <c r="E76" s="51" t="s">
        <v>14</v>
      </c>
      <c r="F76" s="51" t="s">
        <v>36</v>
      </c>
      <c r="G76" s="28">
        <v>3</v>
      </c>
      <c r="H76"/>
      <c r="N76" s="2">
        <v>3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</row>
    <row r="77" spans="1:20" ht="31.5" customHeight="1">
      <c r="A77" s="102" t="s">
        <v>794</v>
      </c>
      <c r="B77" s="5">
        <v>45513</v>
      </c>
      <c r="C77" s="75" t="s">
        <v>795</v>
      </c>
      <c r="D77" s="51" t="s">
        <v>796</v>
      </c>
      <c r="E77" s="51" t="s">
        <v>11</v>
      </c>
      <c r="F77" s="51" t="s">
        <v>36</v>
      </c>
      <c r="G77" s="28">
        <v>6</v>
      </c>
      <c r="H77"/>
      <c r="N77" s="2">
        <v>0</v>
      </c>
      <c r="O77" s="2">
        <v>0</v>
      </c>
      <c r="P77" s="2">
        <v>6</v>
      </c>
      <c r="Q77" s="2">
        <v>0</v>
      </c>
      <c r="R77" s="2">
        <v>0</v>
      </c>
      <c r="S77" s="2">
        <v>0</v>
      </c>
      <c r="T77" s="2">
        <v>0</v>
      </c>
    </row>
    <row r="78" spans="1:20" ht="31.5" customHeight="1">
      <c r="A78" s="102" t="s">
        <v>797</v>
      </c>
      <c r="B78" s="5">
        <v>45520</v>
      </c>
      <c r="C78" s="75" t="s">
        <v>798</v>
      </c>
      <c r="D78" s="51" t="s">
        <v>300</v>
      </c>
      <c r="E78" s="51" t="s">
        <v>18</v>
      </c>
      <c r="F78" s="51" t="s">
        <v>36</v>
      </c>
      <c r="G78" s="28">
        <v>3</v>
      </c>
      <c r="H78"/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3</v>
      </c>
      <c r="T78" s="2">
        <v>0</v>
      </c>
    </row>
    <row r="79" spans="1:20" ht="31.5" customHeight="1">
      <c r="A79" s="102" t="s">
        <v>799</v>
      </c>
      <c r="B79" s="5">
        <v>45523</v>
      </c>
      <c r="C79" s="75" t="s">
        <v>800</v>
      </c>
      <c r="D79" s="51" t="s">
        <v>102</v>
      </c>
      <c r="E79" s="51" t="s">
        <v>14</v>
      </c>
      <c r="F79" s="51" t="s">
        <v>36</v>
      </c>
      <c r="G79" s="28">
        <v>1</v>
      </c>
      <c r="H79"/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</row>
    <row r="80" spans="1:20" ht="31.5" customHeight="1">
      <c r="A80" s="102" t="s">
        <v>801</v>
      </c>
      <c r="B80" s="5">
        <v>45524</v>
      </c>
      <c r="C80" s="75" t="s">
        <v>787</v>
      </c>
      <c r="D80" s="51" t="s">
        <v>802</v>
      </c>
      <c r="E80" s="51" t="s">
        <v>14</v>
      </c>
      <c r="F80" s="51" t="s">
        <v>36</v>
      </c>
      <c r="G80" s="28">
        <v>3</v>
      </c>
      <c r="H80"/>
      <c r="N80" s="2">
        <v>3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</row>
    <row r="81" spans="1:20" ht="31.5" customHeight="1">
      <c r="A81" s="102" t="s">
        <v>803</v>
      </c>
      <c r="B81" s="5">
        <v>45525</v>
      </c>
      <c r="C81" s="75" t="s">
        <v>804</v>
      </c>
      <c r="D81" s="51" t="s">
        <v>333</v>
      </c>
      <c r="E81" s="51" t="s">
        <v>14</v>
      </c>
      <c r="F81" s="51" t="s">
        <v>36</v>
      </c>
      <c r="G81" s="28">
        <v>2</v>
      </c>
      <c r="H81"/>
      <c r="N81" s="2">
        <v>2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</row>
    <row r="82" spans="1:20" ht="31.5" customHeight="1">
      <c r="A82" s="102" t="s">
        <v>805</v>
      </c>
      <c r="B82" s="5">
        <v>45532</v>
      </c>
      <c r="C82" s="75" t="s">
        <v>806</v>
      </c>
      <c r="D82" s="51" t="s">
        <v>43</v>
      </c>
      <c r="E82" s="51" t="s">
        <v>17</v>
      </c>
      <c r="F82" s="51" t="s">
        <v>36</v>
      </c>
      <c r="G82" s="28">
        <v>3</v>
      </c>
      <c r="H82"/>
      <c r="N82" s="2">
        <v>0</v>
      </c>
      <c r="O82" s="2">
        <v>0</v>
      </c>
      <c r="P82" s="2">
        <v>0</v>
      </c>
      <c r="Q82" s="2">
        <v>3</v>
      </c>
      <c r="R82" s="2">
        <v>0</v>
      </c>
      <c r="S82" s="2">
        <v>0</v>
      </c>
      <c r="T82" s="2">
        <v>0</v>
      </c>
    </row>
    <row r="83" spans="1:20" ht="31.5" customHeight="1" thickBot="1">
      <c r="A83" s="103" t="s">
        <v>807</v>
      </c>
      <c r="B83" s="16">
        <v>45533</v>
      </c>
      <c r="C83" s="76" t="s">
        <v>808</v>
      </c>
      <c r="D83" s="52" t="s">
        <v>34</v>
      </c>
      <c r="E83" s="52" t="s">
        <v>18</v>
      </c>
      <c r="F83" s="52" t="s">
        <v>36</v>
      </c>
      <c r="G83" s="29">
        <v>4</v>
      </c>
      <c r="H83">
        <f>SUM(G72:G83)</f>
        <v>38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4</v>
      </c>
      <c r="T83" s="2">
        <v>0</v>
      </c>
    </row>
    <row r="84" spans="1:20" ht="31.5" customHeight="1">
      <c r="A84" s="104" t="s">
        <v>809</v>
      </c>
      <c r="B84" s="14">
        <v>45539</v>
      </c>
      <c r="C84" s="83" t="s">
        <v>810</v>
      </c>
      <c r="D84" s="53" t="s">
        <v>811</v>
      </c>
      <c r="E84" s="53" t="s">
        <v>14</v>
      </c>
      <c r="F84" s="53" t="s">
        <v>36</v>
      </c>
      <c r="G84" s="30">
        <v>1</v>
      </c>
      <c r="H84"/>
      <c r="N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</row>
    <row r="85" spans="1:20" ht="31.5" customHeight="1">
      <c r="A85" s="105" t="s">
        <v>812</v>
      </c>
      <c r="B85" s="4">
        <v>45540</v>
      </c>
      <c r="C85" s="84" t="s">
        <v>813</v>
      </c>
      <c r="D85" s="54" t="s">
        <v>72</v>
      </c>
      <c r="E85" s="54" t="s">
        <v>18</v>
      </c>
      <c r="F85" s="54" t="s">
        <v>36</v>
      </c>
      <c r="G85" s="31">
        <v>3</v>
      </c>
      <c r="H85"/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</v>
      </c>
      <c r="T85" s="2">
        <v>0</v>
      </c>
    </row>
    <row r="86" spans="1:20" ht="31.5" customHeight="1">
      <c r="A86" s="105" t="s">
        <v>814</v>
      </c>
      <c r="B86" s="4">
        <v>45541</v>
      </c>
      <c r="C86" s="78" t="s">
        <v>815</v>
      </c>
      <c r="D86" s="68" t="s">
        <v>272</v>
      </c>
      <c r="E86" s="54" t="s">
        <v>11</v>
      </c>
      <c r="F86" s="54" t="s">
        <v>36</v>
      </c>
      <c r="G86" s="31">
        <v>2</v>
      </c>
      <c r="H86"/>
      <c r="N86" s="2">
        <v>0</v>
      </c>
      <c r="O86" s="2">
        <v>0</v>
      </c>
      <c r="P86" s="2">
        <v>2</v>
      </c>
      <c r="Q86" s="2">
        <v>0</v>
      </c>
      <c r="R86" s="2">
        <v>0</v>
      </c>
      <c r="S86" s="2">
        <v>0</v>
      </c>
      <c r="T86" s="2">
        <v>0</v>
      </c>
    </row>
    <row r="87" spans="1:20" ht="31.5" customHeight="1">
      <c r="A87" s="105" t="s">
        <v>816</v>
      </c>
      <c r="B87" s="4">
        <v>45542</v>
      </c>
      <c r="C87" s="84" t="s">
        <v>817</v>
      </c>
      <c r="D87" s="54" t="s">
        <v>116</v>
      </c>
      <c r="E87" s="54" t="s">
        <v>14</v>
      </c>
      <c r="F87" s="54" t="s">
        <v>36</v>
      </c>
      <c r="G87" s="31">
        <v>5</v>
      </c>
      <c r="H87"/>
      <c r="N87" s="2">
        <v>5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</row>
    <row r="88" spans="1:20" ht="31.5" customHeight="1">
      <c r="A88" s="105" t="s">
        <v>816</v>
      </c>
      <c r="B88" s="4">
        <v>45542</v>
      </c>
      <c r="C88" s="84" t="s">
        <v>817</v>
      </c>
      <c r="D88" s="54" t="s">
        <v>116</v>
      </c>
      <c r="E88" s="54" t="s">
        <v>18</v>
      </c>
      <c r="F88" s="54" t="s">
        <v>36</v>
      </c>
      <c r="G88" s="31">
        <v>5</v>
      </c>
      <c r="H88"/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5</v>
      </c>
      <c r="T88" s="2">
        <v>0</v>
      </c>
    </row>
    <row r="89" spans="1:20" ht="31.5" customHeight="1">
      <c r="A89" s="105" t="s">
        <v>818</v>
      </c>
      <c r="B89" s="4">
        <v>45544</v>
      </c>
      <c r="C89" s="84" t="s">
        <v>819</v>
      </c>
      <c r="D89" s="54" t="s">
        <v>728</v>
      </c>
      <c r="E89" s="54" t="s">
        <v>17</v>
      </c>
      <c r="F89" s="54" t="s">
        <v>31</v>
      </c>
      <c r="G89" s="31">
        <v>2</v>
      </c>
      <c r="H89"/>
      <c r="N89" s="2">
        <v>0</v>
      </c>
      <c r="O89" s="2">
        <v>0</v>
      </c>
      <c r="P89" s="2">
        <v>0</v>
      </c>
      <c r="Q89" s="2">
        <v>2</v>
      </c>
      <c r="R89" s="2">
        <v>0</v>
      </c>
      <c r="S89" s="2">
        <v>0</v>
      </c>
      <c r="T89" s="2">
        <v>0</v>
      </c>
    </row>
    <row r="90" spans="1:20" ht="31.5" customHeight="1">
      <c r="A90" s="105" t="s">
        <v>820</v>
      </c>
      <c r="B90" s="4">
        <v>45549</v>
      </c>
      <c r="C90" s="84" t="s">
        <v>821</v>
      </c>
      <c r="D90" s="68" t="s">
        <v>150</v>
      </c>
      <c r="E90" s="54" t="s">
        <v>14</v>
      </c>
      <c r="F90" s="54" t="s">
        <v>36</v>
      </c>
      <c r="G90" s="31">
        <v>6</v>
      </c>
      <c r="H90"/>
      <c r="N90" s="2">
        <v>6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</row>
    <row r="91" spans="1:20" ht="31.5" customHeight="1">
      <c r="A91" s="105" t="s">
        <v>818</v>
      </c>
      <c r="B91" s="4">
        <v>45550</v>
      </c>
      <c r="C91" s="84" t="s">
        <v>819</v>
      </c>
      <c r="D91" s="136" t="s">
        <v>822</v>
      </c>
      <c r="E91" s="54" t="s">
        <v>17</v>
      </c>
      <c r="F91" s="54" t="s">
        <v>31</v>
      </c>
      <c r="G91" s="31">
        <v>12</v>
      </c>
      <c r="H91"/>
      <c r="N91" s="2">
        <v>0</v>
      </c>
      <c r="O91" s="2">
        <v>0</v>
      </c>
      <c r="P91" s="2">
        <v>0</v>
      </c>
      <c r="Q91" s="2">
        <v>12</v>
      </c>
      <c r="R91" s="2">
        <v>0</v>
      </c>
      <c r="S91" s="2">
        <v>0</v>
      </c>
      <c r="T91" s="2">
        <v>0</v>
      </c>
    </row>
    <row r="92" spans="1:20" ht="31.5" customHeight="1">
      <c r="A92" s="105" t="s">
        <v>823</v>
      </c>
      <c r="B92" s="4">
        <v>45553</v>
      </c>
      <c r="C92" s="84" t="s">
        <v>824</v>
      </c>
      <c r="D92" s="54" t="s">
        <v>34</v>
      </c>
      <c r="E92" s="54" t="s">
        <v>14</v>
      </c>
      <c r="F92" s="54" t="s">
        <v>36</v>
      </c>
      <c r="G92" s="31">
        <v>2</v>
      </c>
      <c r="H92"/>
      <c r="N92" s="2">
        <v>2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</row>
    <row r="93" spans="1:20" ht="31.5" customHeight="1">
      <c r="A93" s="105" t="s">
        <v>825</v>
      </c>
      <c r="B93" s="4">
        <v>45556</v>
      </c>
      <c r="C93" s="84" t="s">
        <v>826</v>
      </c>
      <c r="D93" s="68" t="s">
        <v>150</v>
      </c>
      <c r="E93" s="54" t="s">
        <v>11</v>
      </c>
      <c r="F93" s="54" t="s">
        <v>36</v>
      </c>
      <c r="G93" s="31">
        <v>7</v>
      </c>
      <c r="H93"/>
      <c r="N93" s="2">
        <v>0</v>
      </c>
      <c r="O93" s="2">
        <v>0</v>
      </c>
      <c r="P93" s="2">
        <v>7</v>
      </c>
      <c r="Q93" s="2">
        <v>0</v>
      </c>
      <c r="R93" s="2">
        <v>0</v>
      </c>
      <c r="S93" s="2">
        <v>0</v>
      </c>
      <c r="T93" s="2">
        <v>0</v>
      </c>
    </row>
    <row r="94" spans="1:20" ht="31.5" customHeight="1">
      <c r="A94" s="105" t="s">
        <v>825</v>
      </c>
      <c r="B94" s="4">
        <v>45556</v>
      </c>
      <c r="C94" s="84" t="s">
        <v>827</v>
      </c>
      <c r="D94" s="68" t="s">
        <v>150</v>
      </c>
      <c r="E94" s="54" t="s">
        <v>17</v>
      </c>
      <c r="F94" s="54" t="s">
        <v>36</v>
      </c>
      <c r="G94" s="31">
        <v>7</v>
      </c>
      <c r="H94"/>
      <c r="N94" s="2">
        <v>0</v>
      </c>
      <c r="O94" s="2">
        <v>0</v>
      </c>
      <c r="P94" s="2">
        <v>0</v>
      </c>
      <c r="Q94" s="2">
        <v>7</v>
      </c>
      <c r="R94" s="2">
        <v>0</v>
      </c>
      <c r="S94" s="2">
        <v>0</v>
      </c>
      <c r="T94" s="2">
        <v>0</v>
      </c>
    </row>
    <row r="95" spans="1:20" ht="31.5" customHeight="1">
      <c r="A95" s="105" t="s">
        <v>828</v>
      </c>
      <c r="B95" s="4">
        <v>45557</v>
      </c>
      <c r="C95" s="84" t="s">
        <v>829</v>
      </c>
      <c r="D95" s="136" t="s">
        <v>830</v>
      </c>
      <c r="E95" s="54" t="s">
        <v>19</v>
      </c>
      <c r="F95" s="54" t="s">
        <v>36</v>
      </c>
      <c r="G95" s="31">
        <v>6</v>
      </c>
      <c r="H95"/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6</v>
      </c>
    </row>
    <row r="96" spans="1:20" ht="31.5" customHeight="1">
      <c r="A96" s="105" t="s">
        <v>831</v>
      </c>
      <c r="B96" s="4">
        <v>45560</v>
      </c>
      <c r="C96" s="84" t="s">
        <v>832</v>
      </c>
      <c r="D96" s="136" t="s">
        <v>833</v>
      </c>
      <c r="E96" s="54" t="s">
        <v>14</v>
      </c>
      <c r="F96" s="54" t="s">
        <v>36</v>
      </c>
      <c r="G96" s="31">
        <v>7</v>
      </c>
      <c r="H96">
        <f>SUM(G84:G96)</f>
        <v>65</v>
      </c>
      <c r="N96" s="2">
        <v>7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</row>
    <row r="97" spans="1:20" ht="31.5" customHeight="1">
      <c r="A97" s="107" t="s">
        <v>834</v>
      </c>
      <c r="B97" s="17">
        <v>45570</v>
      </c>
      <c r="C97" s="85" t="s">
        <v>835</v>
      </c>
      <c r="D97" s="56" t="s">
        <v>150</v>
      </c>
      <c r="E97" s="56" t="s">
        <v>14</v>
      </c>
      <c r="F97" s="56" t="s">
        <v>36</v>
      </c>
      <c r="G97" s="33">
        <v>7</v>
      </c>
      <c r="H97"/>
      <c r="N97" s="2">
        <v>7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</row>
    <row r="98" spans="1:20" ht="31.5" customHeight="1">
      <c r="A98" s="108" t="s">
        <v>836</v>
      </c>
      <c r="B98" s="3">
        <v>45571</v>
      </c>
      <c r="C98" s="86" t="s">
        <v>837</v>
      </c>
      <c r="D98" s="57" t="s">
        <v>838</v>
      </c>
      <c r="E98" s="57" t="s">
        <v>17</v>
      </c>
      <c r="F98" s="57" t="s">
        <v>31</v>
      </c>
      <c r="G98" s="34">
        <v>10</v>
      </c>
      <c r="H98"/>
      <c r="N98" s="2">
        <v>0</v>
      </c>
      <c r="O98" s="2">
        <v>0</v>
      </c>
      <c r="P98" s="2">
        <v>0</v>
      </c>
      <c r="Q98" s="2">
        <v>10</v>
      </c>
      <c r="R98" s="2">
        <v>0</v>
      </c>
      <c r="S98" s="2">
        <v>0</v>
      </c>
      <c r="T98" s="2">
        <v>0</v>
      </c>
    </row>
    <row r="99" spans="1:20" ht="31.5" customHeight="1">
      <c r="A99" s="108" t="s">
        <v>839</v>
      </c>
      <c r="B99" s="3">
        <v>45575</v>
      </c>
      <c r="C99" s="86" t="s">
        <v>840</v>
      </c>
      <c r="D99" s="57" t="s">
        <v>145</v>
      </c>
      <c r="E99" s="57" t="s">
        <v>14</v>
      </c>
      <c r="F99" s="57" t="s">
        <v>36</v>
      </c>
      <c r="G99" s="34">
        <v>2</v>
      </c>
      <c r="H99"/>
      <c r="N99" s="2">
        <v>2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</row>
    <row r="100" spans="1:20" ht="31.5" customHeight="1">
      <c r="A100" s="108" t="s">
        <v>841</v>
      </c>
      <c r="B100" s="3">
        <v>45575</v>
      </c>
      <c r="C100" s="86" t="s">
        <v>842</v>
      </c>
      <c r="D100" s="57" t="s">
        <v>272</v>
      </c>
      <c r="E100" s="57" t="s">
        <v>778</v>
      </c>
      <c r="F100" s="57" t="s">
        <v>36</v>
      </c>
      <c r="G100" s="34">
        <v>2</v>
      </c>
      <c r="H100"/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</row>
    <row r="101" spans="1:20" ht="31.5" customHeight="1">
      <c r="A101" s="108" t="s">
        <v>843</v>
      </c>
      <c r="B101" s="3">
        <v>45582</v>
      </c>
      <c r="C101" s="86" t="s">
        <v>844</v>
      </c>
      <c r="D101" s="57" t="s">
        <v>272</v>
      </c>
      <c r="E101" s="57" t="s">
        <v>12</v>
      </c>
      <c r="F101" s="57" t="s">
        <v>36</v>
      </c>
      <c r="G101" s="34">
        <v>2</v>
      </c>
      <c r="H101"/>
      <c r="N101" s="2">
        <v>0</v>
      </c>
      <c r="O101" s="2">
        <v>0</v>
      </c>
      <c r="P101" s="2">
        <v>0</v>
      </c>
      <c r="Q101" s="2">
        <v>0</v>
      </c>
      <c r="R101" s="2">
        <v>2</v>
      </c>
      <c r="S101" s="2">
        <v>0</v>
      </c>
      <c r="T101" s="2">
        <v>0</v>
      </c>
    </row>
    <row r="102" spans="1:20" ht="31.5" customHeight="1">
      <c r="A102" s="108" t="s">
        <v>845</v>
      </c>
      <c r="B102" s="3">
        <v>45583</v>
      </c>
      <c r="C102" s="86" t="s">
        <v>846</v>
      </c>
      <c r="D102" s="57" t="s">
        <v>847</v>
      </c>
      <c r="E102" s="57" t="s">
        <v>19</v>
      </c>
      <c r="F102" s="57" t="s">
        <v>36</v>
      </c>
      <c r="G102" s="34">
        <v>6.5</v>
      </c>
      <c r="H102"/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6.5</v>
      </c>
    </row>
    <row r="103" spans="1:20" ht="31.5" customHeight="1">
      <c r="A103" s="108" t="s">
        <v>848</v>
      </c>
      <c r="B103" s="3">
        <v>45584</v>
      </c>
      <c r="C103" s="86" t="s">
        <v>849</v>
      </c>
      <c r="D103" s="57" t="s">
        <v>463</v>
      </c>
      <c r="E103" s="57" t="s">
        <v>11</v>
      </c>
      <c r="F103" s="57" t="s">
        <v>36</v>
      </c>
      <c r="G103" s="34">
        <v>4</v>
      </c>
      <c r="H103"/>
      <c r="N103" s="2">
        <v>0</v>
      </c>
      <c r="O103" s="2">
        <v>0</v>
      </c>
      <c r="P103" s="2">
        <v>4</v>
      </c>
      <c r="Q103" s="2">
        <v>0</v>
      </c>
      <c r="R103" s="2">
        <v>0</v>
      </c>
      <c r="S103" s="2">
        <v>0</v>
      </c>
      <c r="T103" s="2">
        <v>0</v>
      </c>
    </row>
    <row r="104" spans="1:20" ht="31.5" customHeight="1">
      <c r="A104" s="107" t="s">
        <v>850</v>
      </c>
      <c r="B104" s="17">
        <v>45589</v>
      </c>
      <c r="C104" s="85" t="s">
        <v>851</v>
      </c>
      <c r="D104" s="56" t="s">
        <v>272</v>
      </c>
      <c r="E104" s="56" t="s">
        <v>18</v>
      </c>
      <c r="F104" s="56" t="s">
        <v>36</v>
      </c>
      <c r="G104" s="33">
        <v>2</v>
      </c>
      <c r="H104">
        <f>SUM(G97:G104)</f>
        <v>35.5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2</v>
      </c>
      <c r="T104" s="2">
        <v>0</v>
      </c>
    </row>
    <row r="105" spans="1:20" ht="31.5" customHeight="1">
      <c r="A105" s="137" t="s">
        <v>852</v>
      </c>
      <c r="B105" s="138">
        <v>45603</v>
      </c>
      <c r="C105" s="139" t="s">
        <v>853</v>
      </c>
      <c r="D105" s="140" t="s">
        <v>272</v>
      </c>
      <c r="E105" s="141" t="s">
        <v>19</v>
      </c>
      <c r="F105" s="141" t="s">
        <v>36</v>
      </c>
      <c r="G105" s="142">
        <v>2</v>
      </c>
      <c r="H105"/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2</v>
      </c>
    </row>
    <row r="106" spans="1:20" ht="31.5" customHeight="1">
      <c r="A106" s="137" t="s">
        <v>854</v>
      </c>
      <c r="B106" s="138">
        <v>45604</v>
      </c>
      <c r="C106" s="139" t="s">
        <v>855</v>
      </c>
      <c r="D106" s="140" t="s">
        <v>272</v>
      </c>
      <c r="E106" s="141" t="s">
        <v>12</v>
      </c>
      <c r="F106" s="141" t="s">
        <v>36</v>
      </c>
      <c r="G106" s="142">
        <v>2</v>
      </c>
      <c r="H106"/>
      <c r="N106" s="2">
        <v>0</v>
      </c>
      <c r="O106" s="2">
        <v>0</v>
      </c>
      <c r="P106" s="2">
        <v>0</v>
      </c>
      <c r="Q106" s="2">
        <v>0</v>
      </c>
      <c r="R106" s="2">
        <v>2</v>
      </c>
      <c r="S106" s="2">
        <v>0</v>
      </c>
      <c r="T106" s="2">
        <v>0</v>
      </c>
    </row>
    <row r="107" spans="1:20" ht="31.5" customHeight="1">
      <c r="A107" s="137" t="s">
        <v>856</v>
      </c>
      <c r="B107" s="138">
        <v>45607</v>
      </c>
      <c r="C107" s="139" t="s">
        <v>857</v>
      </c>
      <c r="D107" s="140" t="s">
        <v>272</v>
      </c>
      <c r="E107" s="141" t="s">
        <v>19</v>
      </c>
      <c r="F107" s="141" t="s">
        <v>31</v>
      </c>
      <c r="G107" s="142">
        <v>2</v>
      </c>
      <c r="H107"/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2</v>
      </c>
    </row>
    <row r="108" spans="1:20" ht="31.5" customHeight="1">
      <c r="A108" s="137" t="s">
        <v>858</v>
      </c>
      <c r="B108" s="138">
        <v>45610</v>
      </c>
      <c r="C108" s="139" t="s">
        <v>859</v>
      </c>
      <c r="D108" s="140" t="s">
        <v>811</v>
      </c>
      <c r="E108" s="141" t="s">
        <v>14</v>
      </c>
      <c r="F108" s="141" t="s">
        <v>36</v>
      </c>
      <c r="G108" s="142">
        <v>5</v>
      </c>
      <c r="H108"/>
      <c r="N108" s="2">
        <v>5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</row>
    <row r="109" spans="1:20" ht="31.5" customHeight="1">
      <c r="A109" s="137" t="s">
        <v>860</v>
      </c>
      <c r="B109" s="138">
        <v>45610</v>
      </c>
      <c r="C109" s="139" t="s">
        <v>861</v>
      </c>
      <c r="D109" s="140" t="s">
        <v>862</v>
      </c>
      <c r="E109" s="141" t="s">
        <v>11</v>
      </c>
      <c r="F109" s="141" t="s">
        <v>36</v>
      </c>
      <c r="G109" s="142">
        <v>6</v>
      </c>
      <c r="H109"/>
      <c r="N109" s="2">
        <v>0</v>
      </c>
      <c r="O109" s="2">
        <v>0</v>
      </c>
      <c r="P109" s="2">
        <v>6</v>
      </c>
      <c r="Q109" s="2">
        <v>0</v>
      </c>
      <c r="R109" s="2">
        <v>0</v>
      </c>
      <c r="S109" s="2">
        <v>0</v>
      </c>
      <c r="T109" s="2">
        <v>0</v>
      </c>
    </row>
    <row r="110" spans="1:20" ht="31.5" customHeight="1">
      <c r="A110" s="137" t="s">
        <v>863</v>
      </c>
      <c r="B110" s="138">
        <v>45610</v>
      </c>
      <c r="C110" s="139" t="s">
        <v>864</v>
      </c>
      <c r="D110" s="140" t="s">
        <v>740</v>
      </c>
      <c r="E110" s="141" t="s">
        <v>15</v>
      </c>
      <c r="F110" s="141" t="s">
        <v>36</v>
      </c>
      <c r="G110" s="142">
        <v>4</v>
      </c>
      <c r="H110"/>
      <c r="N110" s="2">
        <v>0</v>
      </c>
      <c r="O110" s="2">
        <v>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</row>
    <row r="111" spans="1:20" ht="31.5" customHeight="1">
      <c r="A111" s="137" t="s">
        <v>865</v>
      </c>
      <c r="B111" s="138">
        <v>45612</v>
      </c>
      <c r="C111" s="139" t="s">
        <v>866</v>
      </c>
      <c r="D111" s="140" t="s">
        <v>150</v>
      </c>
      <c r="E111" s="141" t="s">
        <v>14</v>
      </c>
      <c r="F111" s="141" t="s">
        <v>36</v>
      </c>
      <c r="G111" s="142">
        <v>7</v>
      </c>
      <c r="H111"/>
      <c r="N111" s="2">
        <v>7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</row>
    <row r="112" spans="1:20" ht="31.5" customHeight="1">
      <c r="A112" s="137" t="s">
        <v>867</v>
      </c>
      <c r="B112" s="138">
        <v>45613</v>
      </c>
      <c r="C112" s="139" t="s">
        <v>868</v>
      </c>
      <c r="D112" s="140" t="s">
        <v>869</v>
      </c>
      <c r="E112" s="141" t="s">
        <v>19</v>
      </c>
      <c r="F112" s="141" t="s">
        <v>31</v>
      </c>
      <c r="G112" s="142">
        <v>7</v>
      </c>
      <c r="H112"/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7</v>
      </c>
    </row>
    <row r="113" spans="1:20" ht="31.5" customHeight="1">
      <c r="A113" s="137" t="s">
        <v>870</v>
      </c>
      <c r="B113" s="138">
        <v>45619</v>
      </c>
      <c r="C113" s="139" t="s">
        <v>871</v>
      </c>
      <c r="D113" s="140" t="s">
        <v>872</v>
      </c>
      <c r="E113" s="141" t="s">
        <v>14</v>
      </c>
      <c r="F113" s="141" t="s">
        <v>36</v>
      </c>
      <c r="G113" s="142">
        <v>8</v>
      </c>
      <c r="H113"/>
      <c r="N113" s="2">
        <v>8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</row>
    <row r="114" spans="1:20" ht="31.5" customHeight="1">
      <c r="A114" s="274" t="s">
        <v>873</v>
      </c>
      <c r="B114" s="275">
        <v>45624</v>
      </c>
      <c r="C114" s="276" t="s">
        <v>874</v>
      </c>
      <c r="D114" s="277" t="s">
        <v>124</v>
      </c>
      <c r="E114" s="278" t="s">
        <v>12</v>
      </c>
      <c r="F114" s="141" t="s">
        <v>36</v>
      </c>
      <c r="G114" s="142">
        <v>2</v>
      </c>
      <c r="H114">
        <f>SUM(G105:G114)</f>
        <v>45</v>
      </c>
      <c r="N114" s="2">
        <v>0</v>
      </c>
      <c r="O114" s="2">
        <v>0</v>
      </c>
      <c r="P114" s="2">
        <v>0</v>
      </c>
      <c r="Q114" s="2">
        <v>0</v>
      </c>
      <c r="R114" s="2">
        <v>2</v>
      </c>
      <c r="S114" s="2">
        <v>0</v>
      </c>
      <c r="T114" s="2">
        <v>0</v>
      </c>
    </row>
    <row r="115" spans="1:20" ht="31.5" customHeight="1">
      <c r="A115" s="97" t="s">
        <v>875</v>
      </c>
      <c r="B115" s="10">
        <v>45631</v>
      </c>
      <c r="C115" s="71" t="s">
        <v>876</v>
      </c>
      <c r="D115" s="47" t="s">
        <v>194</v>
      </c>
      <c r="E115" s="47" t="s">
        <v>19</v>
      </c>
      <c r="F115" s="273" t="s">
        <v>36</v>
      </c>
      <c r="G115" s="145">
        <v>3.5</v>
      </c>
      <c r="H115" s="171"/>
      <c r="I115" s="171"/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3.5</v>
      </c>
    </row>
    <row r="116" spans="1:20" ht="31.5" customHeight="1">
      <c r="A116" s="98" t="s">
        <v>877</v>
      </c>
      <c r="B116" s="6">
        <v>45632</v>
      </c>
      <c r="C116" s="72" t="s">
        <v>878</v>
      </c>
      <c r="D116" s="48" t="s">
        <v>39</v>
      </c>
      <c r="E116" s="48" t="s">
        <v>14</v>
      </c>
      <c r="F116" s="217" t="s">
        <v>36</v>
      </c>
      <c r="G116" s="146">
        <v>8</v>
      </c>
      <c r="H116" s="171"/>
      <c r="I116" s="171"/>
      <c r="K116" s="42"/>
      <c r="N116" s="2">
        <v>8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</row>
    <row r="117" spans="1:20" ht="31.5" customHeight="1">
      <c r="A117" s="98" t="s">
        <v>879</v>
      </c>
      <c r="B117" s="6">
        <v>45636</v>
      </c>
      <c r="C117" s="72" t="s">
        <v>880</v>
      </c>
      <c r="D117" s="48" t="s">
        <v>105</v>
      </c>
      <c r="E117" s="48" t="s">
        <v>11</v>
      </c>
      <c r="F117" s="217" t="s">
        <v>36</v>
      </c>
      <c r="G117" s="146">
        <v>1</v>
      </c>
      <c r="H117" s="171"/>
      <c r="I117" s="171"/>
      <c r="K117" s="42"/>
      <c r="N117" s="2">
        <v>0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</row>
    <row r="118" spans="1:20" ht="31.5" customHeight="1">
      <c r="A118" s="98" t="s">
        <v>881</v>
      </c>
      <c r="B118" s="6">
        <v>45638</v>
      </c>
      <c r="C118" s="147" t="s">
        <v>882</v>
      </c>
      <c r="D118" s="48" t="s">
        <v>145</v>
      </c>
      <c r="E118" s="48" t="s">
        <v>14</v>
      </c>
      <c r="F118" s="217" t="s">
        <v>36</v>
      </c>
      <c r="G118" s="146">
        <v>2</v>
      </c>
      <c r="H118" s="171"/>
      <c r="I118" s="171"/>
      <c r="N118" s="2">
        <v>2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</row>
    <row r="119" spans="1:20" ht="31.5" customHeight="1">
      <c r="A119" s="98" t="s">
        <v>883</v>
      </c>
      <c r="B119" s="6">
        <v>45639</v>
      </c>
      <c r="C119" s="147" t="s">
        <v>882</v>
      </c>
      <c r="D119" s="48" t="s">
        <v>884</v>
      </c>
      <c r="E119" s="48" t="s">
        <v>14</v>
      </c>
      <c r="F119" s="217" t="s">
        <v>36</v>
      </c>
      <c r="G119" s="146">
        <v>3</v>
      </c>
      <c r="H119" s="171"/>
      <c r="I119" s="171"/>
      <c r="N119" s="2">
        <v>3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</row>
    <row r="120" spans="1:20" ht="31.5" customHeight="1">
      <c r="A120" s="98" t="s">
        <v>885</v>
      </c>
      <c r="B120" s="6">
        <v>45640</v>
      </c>
      <c r="C120" s="72" t="s">
        <v>886</v>
      </c>
      <c r="D120" s="48" t="s">
        <v>887</v>
      </c>
      <c r="E120" s="48" t="s">
        <v>17</v>
      </c>
      <c r="F120" s="268" t="s">
        <v>36</v>
      </c>
      <c r="G120" s="146">
        <v>6.5</v>
      </c>
      <c r="H120" s="171"/>
      <c r="I120" s="171"/>
      <c r="N120" s="2">
        <v>0</v>
      </c>
      <c r="O120" s="2">
        <v>0</v>
      </c>
      <c r="P120" s="2">
        <v>0</v>
      </c>
      <c r="Q120" s="2">
        <v>6.5</v>
      </c>
      <c r="R120" s="2">
        <v>0</v>
      </c>
      <c r="S120" s="2">
        <v>0</v>
      </c>
      <c r="T120" s="2">
        <v>0</v>
      </c>
    </row>
    <row r="121" spans="1:20" ht="31.5" customHeight="1">
      <c r="A121" s="265" t="s">
        <v>888</v>
      </c>
      <c r="B121" s="11">
        <v>45645</v>
      </c>
      <c r="C121" s="73" t="s">
        <v>889</v>
      </c>
      <c r="D121" s="49" t="s">
        <v>105</v>
      </c>
      <c r="E121" s="49" t="s">
        <v>17</v>
      </c>
      <c r="F121" s="218" t="s">
        <v>36</v>
      </c>
      <c r="G121" s="279">
        <v>1</v>
      </c>
      <c r="H121">
        <f>SUM(G115:G121)</f>
        <v>25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  <c r="T121" s="2">
        <v>0</v>
      </c>
    </row>
    <row r="122" spans="1:20" ht="31.5" customHeight="1">
      <c r="F122" s="93" t="s">
        <v>640</v>
      </c>
      <c r="G122" s="44">
        <f>SUM(G3:G114)</f>
        <v>464.5</v>
      </c>
      <c r="H122"/>
    </row>
    <row r="123" spans="1:20" ht="31.5" customHeight="1">
      <c r="H123"/>
    </row>
    <row r="124" spans="1:20" ht="31.5" customHeight="1">
      <c r="H124"/>
    </row>
    <row r="125" spans="1:20" ht="31.5" customHeight="1">
      <c r="D125"/>
      <c r="H125"/>
    </row>
    <row r="126" spans="1:20" ht="31.5" customHeight="1">
      <c r="D126"/>
      <c r="H126"/>
    </row>
    <row r="127" spans="1:20" ht="31.5" customHeight="1">
      <c r="D127"/>
      <c r="H127"/>
    </row>
    <row r="128" spans="1:20" ht="31.5" customHeight="1">
      <c r="D128"/>
      <c r="H128"/>
    </row>
    <row r="129" spans="4:8" ht="31.5" customHeight="1">
      <c r="D129"/>
      <c r="H129"/>
    </row>
    <row r="130" spans="4:8" ht="31.5" customHeight="1">
      <c r="D130"/>
      <c r="H130"/>
    </row>
    <row r="131" spans="4:8" ht="31.5" customHeight="1">
      <c r="D131"/>
      <c r="H131"/>
    </row>
    <row r="132" spans="4:8" ht="31.5" customHeight="1">
      <c r="D132"/>
      <c r="H132"/>
    </row>
    <row r="133" spans="4:8" ht="31.5" customHeight="1">
      <c r="D133"/>
      <c r="H133"/>
    </row>
    <row r="134" spans="4:8" ht="31.5" customHeight="1">
      <c r="D134"/>
      <c r="H134"/>
    </row>
    <row r="135" spans="4:8" ht="31.5" customHeight="1">
      <c r="D135"/>
      <c r="H135"/>
    </row>
    <row r="136" spans="4:8" ht="31.5" customHeight="1">
      <c r="H136"/>
    </row>
    <row r="137" spans="4:8" ht="31.5" customHeight="1">
      <c r="H137"/>
    </row>
    <row r="138" spans="4:8" ht="31.5" customHeight="1">
      <c r="H138"/>
    </row>
    <row r="139" spans="4:8" ht="31.5" customHeight="1">
      <c r="H139"/>
    </row>
    <row r="140" spans="4:8" ht="31.5" customHeight="1"/>
    <row r="141" spans="4:8" ht="31.5" customHeight="1">
      <c r="H141"/>
    </row>
    <row r="142" spans="4:8" ht="31.5" customHeight="1">
      <c r="H142"/>
    </row>
    <row r="143" spans="4:8" ht="31.5" customHeight="1">
      <c r="H143"/>
    </row>
    <row r="144" spans="4:8" ht="31.5" customHeight="1">
      <c r="H144"/>
    </row>
    <row r="145" spans="8:8" ht="31.5" customHeight="1">
      <c r="H145"/>
    </row>
    <row r="146" spans="8:8" ht="31.5" customHeight="1">
      <c r="H146"/>
    </row>
    <row r="147" spans="8:8" ht="31.5" customHeight="1">
      <c r="H147"/>
    </row>
    <row r="148" spans="8:8" ht="31.5" customHeight="1">
      <c r="H148"/>
    </row>
    <row r="149" spans="8:8" ht="31.5" customHeight="1"/>
    <row r="150" spans="8:8" ht="31.5" customHeight="1"/>
    <row r="151" spans="8:8" ht="31.5" customHeight="1"/>
    <row r="152" spans="8:8" ht="31.5" customHeight="1"/>
    <row r="153" spans="8:8" ht="31.5" customHeight="1"/>
    <row r="154" spans="8:8" ht="31.5" customHeight="1"/>
    <row r="155" spans="8:8" ht="31.5" customHeight="1"/>
    <row r="156" spans="8:8" ht="31.5" customHeight="1"/>
    <row r="157" spans="8:8" ht="31.5" customHeight="1"/>
    <row r="158" spans="8:8" ht="31.5" customHeight="1"/>
    <row r="159" spans="8:8" ht="31.5" customHeight="1"/>
    <row r="160" spans="8:8" ht="31.5" customHeight="1"/>
  </sheetData>
  <autoFilter ref="A2:G116" xr:uid="{00000000-0001-0000-0000-000000000000}"/>
  <mergeCells count="1">
    <mergeCell ref="A1:G1"/>
  </mergeCells>
  <conditionalFormatting sqref="N3:T115 N116:N118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212C-F022-48CF-BD32-ED14098038AD}">
  <dimension ref="G2:K30"/>
  <sheetViews>
    <sheetView topLeftCell="A5" workbookViewId="0">
      <selection activeCell="H23" sqref="H23"/>
    </sheetView>
  </sheetViews>
  <sheetFormatPr defaultColWidth="9.140625" defaultRowHeight="15"/>
  <cols>
    <col min="7" max="7" width="15.7109375" customWidth="1"/>
    <col min="8" max="8" width="21.28515625" customWidth="1"/>
    <col min="9" max="9" width="22.7109375" customWidth="1"/>
    <col min="10" max="10" width="123.140625" customWidth="1"/>
    <col min="11" max="11" width="18" customWidth="1"/>
  </cols>
  <sheetData>
    <row r="2" spans="7:11" ht="15.75">
      <c r="G2" s="426" t="s">
        <v>890</v>
      </c>
      <c r="H2" s="427" t="s">
        <v>891</v>
      </c>
      <c r="I2" s="427" t="s">
        <v>892</v>
      </c>
      <c r="J2" s="428" t="s">
        <v>23</v>
      </c>
      <c r="K2" s="427" t="s">
        <v>26</v>
      </c>
    </row>
    <row r="3" spans="7:11" ht="36" customHeight="1">
      <c r="G3" s="422" t="s">
        <v>165</v>
      </c>
      <c r="H3" s="423">
        <v>46123</v>
      </c>
      <c r="I3" s="424" t="s">
        <v>60</v>
      </c>
      <c r="J3" s="425" t="s">
        <v>166</v>
      </c>
      <c r="K3" s="260">
        <v>6</v>
      </c>
    </row>
    <row r="4" spans="7:11" ht="36" customHeight="1">
      <c r="G4" s="363" t="s">
        <v>165</v>
      </c>
      <c r="H4" s="362">
        <v>46123</v>
      </c>
      <c r="I4" s="371" t="s">
        <v>60</v>
      </c>
      <c r="J4" s="421" t="s">
        <v>166</v>
      </c>
      <c r="K4" s="231">
        <v>6</v>
      </c>
    </row>
    <row r="5" spans="7:11" ht="36" customHeight="1">
      <c r="G5" s="363" t="s">
        <v>167</v>
      </c>
      <c r="H5" s="362">
        <v>46127</v>
      </c>
      <c r="I5" s="371" t="s">
        <v>168</v>
      </c>
      <c r="J5" s="421" t="s">
        <v>169</v>
      </c>
      <c r="K5" s="231">
        <v>8.5</v>
      </c>
    </row>
    <row r="6" spans="7:11" ht="36" customHeight="1">
      <c r="G6" s="363" t="s">
        <v>170</v>
      </c>
      <c r="H6" s="362">
        <v>46129</v>
      </c>
      <c r="I6" s="371" t="s">
        <v>171</v>
      </c>
      <c r="J6" s="421" t="s">
        <v>172</v>
      </c>
      <c r="K6" s="231">
        <v>7</v>
      </c>
    </row>
    <row r="7" spans="7:11" ht="36" customHeight="1">
      <c r="G7" s="363" t="s">
        <v>173</v>
      </c>
      <c r="H7" s="362">
        <v>46129</v>
      </c>
      <c r="I7" s="371" t="s">
        <v>145</v>
      </c>
      <c r="J7" s="421" t="s">
        <v>174</v>
      </c>
      <c r="K7" s="231">
        <v>2</v>
      </c>
    </row>
    <row r="8" spans="7:11" ht="36" customHeight="1">
      <c r="G8" s="363" t="s">
        <v>175</v>
      </c>
      <c r="H8" s="362">
        <v>46130</v>
      </c>
      <c r="I8" s="371" t="s">
        <v>176</v>
      </c>
      <c r="J8" s="421" t="s">
        <v>177</v>
      </c>
      <c r="K8" s="231">
        <v>10</v>
      </c>
    </row>
    <row r="9" spans="7:11" ht="36" customHeight="1">
      <c r="G9" s="363" t="s">
        <v>178</v>
      </c>
      <c r="H9" s="362">
        <v>46134</v>
      </c>
      <c r="I9" s="371" t="s">
        <v>72</v>
      </c>
      <c r="J9" s="421" t="s">
        <v>179</v>
      </c>
      <c r="K9" s="231">
        <v>3</v>
      </c>
    </row>
    <row r="10" spans="7:11" ht="36" customHeight="1">
      <c r="G10" s="363" t="s">
        <v>180</v>
      </c>
      <c r="H10" s="362">
        <v>46136</v>
      </c>
      <c r="I10" s="371" t="s">
        <v>145</v>
      </c>
      <c r="J10" s="421" t="s">
        <v>181</v>
      </c>
      <c r="K10" s="231">
        <v>2</v>
      </c>
    </row>
    <row r="11" spans="7:11" ht="36" customHeight="1">
      <c r="G11" s="454" t="s">
        <v>182</v>
      </c>
      <c r="H11" s="364">
        <v>46137</v>
      </c>
      <c r="I11" s="455" t="s">
        <v>116</v>
      </c>
      <c r="J11" s="439" t="s">
        <v>183</v>
      </c>
      <c r="K11" s="238">
        <v>5</v>
      </c>
    </row>
    <row r="19" spans="7:11" ht="15.75">
      <c r="G19" s="426" t="s">
        <v>890</v>
      </c>
      <c r="H19" s="427" t="s">
        <v>891</v>
      </c>
      <c r="I19" s="427" t="s">
        <v>892</v>
      </c>
      <c r="J19" s="428" t="s">
        <v>23</v>
      </c>
      <c r="K19" s="427" t="s">
        <v>26</v>
      </c>
    </row>
    <row r="20" spans="7:11" ht="36" customHeight="1">
      <c r="G20" s="422" t="s">
        <v>893</v>
      </c>
      <c r="H20" s="423">
        <v>46133</v>
      </c>
      <c r="I20" s="424" t="s">
        <v>381</v>
      </c>
      <c r="J20" s="425" t="s">
        <v>894</v>
      </c>
      <c r="K20" s="260">
        <v>2</v>
      </c>
    </row>
    <row r="21" spans="7:11" ht="36" customHeight="1">
      <c r="G21" s="454" t="s">
        <v>893</v>
      </c>
      <c r="H21" s="364">
        <v>46135</v>
      </c>
      <c r="I21" s="455" t="s">
        <v>381</v>
      </c>
      <c r="J21" s="439" t="s">
        <v>895</v>
      </c>
      <c r="K21" s="238">
        <v>2</v>
      </c>
    </row>
    <row r="22" spans="7:11" ht="36" customHeight="1">
      <c r="G22" s="456"/>
      <c r="H22" s="369"/>
      <c r="I22" s="457"/>
      <c r="J22" s="420"/>
      <c r="K22" s="370"/>
    </row>
    <row r="23" spans="7:11" ht="36" customHeight="1">
      <c r="G23" s="438"/>
      <c r="H23" s="364"/>
      <c r="I23" s="372"/>
      <c r="J23" s="439"/>
      <c r="K23" s="238"/>
    </row>
    <row r="26" spans="7:11">
      <c r="G26" s="429"/>
      <c r="H26" s="430"/>
      <c r="I26" s="431"/>
      <c r="J26" s="432"/>
      <c r="K26" s="432"/>
    </row>
    <row r="27" spans="7:11">
      <c r="G27" s="434"/>
      <c r="H27" s="435"/>
      <c r="I27" s="436"/>
      <c r="J27" s="437"/>
      <c r="K27" s="437"/>
    </row>
    <row r="28" spans="7:11">
      <c r="G28" s="433"/>
      <c r="H28" s="435"/>
      <c r="I28" s="436"/>
      <c r="J28" s="437"/>
      <c r="K28" s="437"/>
    </row>
    <row r="29" spans="7:11">
      <c r="G29" s="433"/>
      <c r="H29" s="435"/>
      <c r="I29" s="436"/>
      <c r="J29" s="437"/>
      <c r="K29" s="437"/>
    </row>
    <row r="30" spans="7:11">
      <c r="G30" s="433"/>
      <c r="H30" s="435"/>
      <c r="I30" s="436"/>
      <c r="J30" s="437"/>
      <c r="K30" s="43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9BAEC752AE244F9502C06005F084A1" ma:contentTypeVersion="14" ma:contentTypeDescription="Create a new document." ma:contentTypeScope="" ma:versionID="47e2eb81968b8f5ea2f1c72c7af0b667">
  <xsd:schema xmlns:xsd="http://www.w3.org/2001/XMLSchema" xmlns:xs="http://www.w3.org/2001/XMLSchema" xmlns:p="http://schemas.microsoft.com/office/2006/metadata/properties" xmlns:ns2="36660219-c962-45e7-9872-519fc2973fce" xmlns:ns3="24a51a34-0d7a-4e58-9404-102f636d12d4" targetNamespace="http://schemas.microsoft.com/office/2006/metadata/properties" ma:root="true" ma:fieldsID="475ab55f93bfce148441efd9fdc37d9b" ns2:_="" ns3:_="">
    <xsd:import namespace="36660219-c962-45e7-9872-519fc2973fce"/>
    <xsd:import namespace="24a51a34-0d7a-4e58-9404-102f636d12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60219-c962-45e7-9872-519fc2973f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51a34-0d7a-4e58-9404-102f636d12d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bb2e78-c1d4-4fd9-bf9f-1dd5c5498f66}" ma:internalName="TaxCatchAll" ma:showField="CatchAllData" ma:web="24a51a34-0d7a-4e58-9404-102f636d12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660219-c962-45e7-9872-519fc2973fce">
      <Terms xmlns="http://schemas.microsoft.com/office/infopath/2007/PartnerControls"/>
    </lcf76f155ced4ddcb4097134ff3c332f>
    <TaxCatchAll xmlns="24a51a34-0d7a-4e58-9404-102f636d12d4" xsi:nil="true"/>
  </documentManagement>
</p:properties>
</file>

<file path=customXml/itemProps1.xml><?xml version="1.0" encoding="utf-8"?>
<ds:datastoreItem xmlns:ds="http://schemas.openxmlformats.org/officeDocument/2006/customXml" ds:itemID="{8BFC8508-30D0-4B4B-9201-C0903D79F3FA}"/>
</file>

<file path=customXml/itemProps2.xml><?xml version="1.0" encoding="utf-8"?>
<ds:datastoreItem xmlns:ds="http://schemas.openxmlformats.org/officeDocument/2006/customXml" ds:itemID="{9DC37716-6022-4791-860E-216D1E8EADD1}"/>
</file>

<file path=customXml/itemProps3.xml><?xml version="1.0" encoding="utf-8"?>
<ds:datastoreItem xmlns:ds="http://schemas.openxmlformats.org/officeDocument/2006/customXml" ds:itemID="{384C7C91-10A8-45E9-96C3-EBC9355FD2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González Torija</dc:creator>
  <cp:keywords/>
  <dc:description/>
  <cp:lastModifiedBy>Perea Conde Jose Miguel</cp:lastModifiedBy>
  <cp:revision/>
  <dcterms:created xsi:type="dcterms:W3CDTF">2015-06-05T18:19:34Z</dcterms:created>
  <dcterms:modified xsi:type="dcterms:W3CDTF">2026-06-01T11:03:42Z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2023-12-27T10:24:36Z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21056f95-bc3b-43d8-80fb-2791c9d2ab4c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0x010100809BAEC752AE244F9502C06005F084A1</vt:lpwstr>
  </property>
  <property fmtid="{D5CDD505-2E9C-101B-9397-08002B2CF9AE}" pid="10" name="MediaServiceImageTags">
    <vt:lpwstr/>
  </property>
</Properties>
</file>