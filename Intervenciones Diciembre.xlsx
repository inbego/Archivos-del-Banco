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"/>
    </mc:Choice>
  </mc:AlternateContent>
  <xr:revisionPtr revIDLastSave="125" documentId="13_ncr:1_{001D584F-A143-44A9-9BDA-4F2FE7DC1176}" xr6:coauthVersionLast="47" xr6:coauthVersionMax="47" xr10:uidLastSave="{57026714-3654-40D8-AD43-0C83D88FDDE5}"/>
  <bookViews>
    <workbookView xWindow="-108" yWindow="-108" windowWidth="23256" windowHeight="12456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<sst xmlns="http://schemas.openxmlformats.org/spreadsheetml/2006/main" count="86" uniqueCount="54">
  <si>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</si>
  <si>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</si>
  <si>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</si>
  <si>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</si>
  <si>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</si>
  <si>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</si>
  <si>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</si>
  <si>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</si>
  <si>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</si>
  <si>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</si>
  <si>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</si>
  <si>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</si>
  <si>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</si>
  <si>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</si>
  <si>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</si>
  <si>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</si>
  <si>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</si>
  <si>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</si>
  <si>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</si>
  <si>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</si>
  <si>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</si>
  <si>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</si>
  <si>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</si>
  <si>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</si>
  <si>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</si>
  <si>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</si>
  <si>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</si>
  <si>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</si>
  <si>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</si>
  <si>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</si>
  <si>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Grillo</t>
  </si>
  <si>
    <t>Mariano</t>
  </si>
  <si>
    <t>Campus &amp; Branches - EUT</t>
  </si>
  <si>
    <t>X424149</t>
  </si>
  <si>
    <t xml:space="preserve">CHG002636453 </t>
  </si>
  <si>
    <t>Diciembre</t>
  </si>
  <si>
    <t>CHG002629277</t>
  </si>
  <si>
    <t>11:00</t>
  </si>
  <si>
    <t>Upgrade Controladoras Tunnel y Recoletos</t>
  </si>
  <si>
    <t>Descripción Puertos Unity Fase 2</t>
  </si>
  <si>
    <t>Descripción Puertos Unity Fase 1</t>
  </si>
  <si>
    <t>CHG002639231</t>
  </si>
  <si>
    <t>CHG002543669</t>
  </si>
  <si>
    <t>02:00</t>
  </si>
  <si>
    <t xml:space="preserve">Firewall SCF </t>
  </si>
  <si>
    <t>Cambio Autenticación y Vlan Multimedia 3811 Tena ESTJCC01, ERTJRG01</t>
  </si>
  <si>
    <t>21:00</t>
  </si>
  <si>
    <t>CHG002626753</t>
  </si>
  <si>
    <t>Mariano Nahuel</t>
  </si>
  <si>
    <t>SGS</t>
  </si>
  <si>
    <t>LAN-SGT</t>
  </si>
  <si>
    <t>GUARDIA MOVIL</t>
  </si>
  <si>
    <t>Y9340716Q</t>
  </si>
  <si>
    <t>Mariano Nahuel Grillo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</si>
</sst>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7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2" applyAlignment="1">
      <alignment vertical="center"/>
    </xf>
    <xf numFmtId="0" fontId="1" fillId="0" borderId="6" xfId="0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0" fontId="0" fillId="0" borderId="3" xfId="0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00000000-0005-0000-0000-000002000000}"/>
    <cellStyle name="Normal" xfId="0" builtinId="0"/>
    <cellStyle name="Normal 2" xfId="2" xr:uid="{00000000-0005-0000-0000-000004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2" totalsRowShown="0" headerRowDxfId="9" dataDxfId="8">
  <autoFilter ref="A1:H2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Tabla1[[#This Row],[ Nº Interv. ]]*30</calculatedColumnFormula>
    </tableColumn>
    <tableColumn id="7" xr3:uid="{00000000-0010-0000-0000-000007000000}" name="Total" dataDxfId="1">
      <calculatedColumnFormula>SUM(Tabla1[[#This Row],[ Importe   ]]+Tabla1[[#This Row],[ Importe 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90" zoomScaleNormal="90" workbookViewId="0">
      <selection activeCell="H17" sqref="H17"/>
    </sheetView>
  </sheetViews>
  <sheetFormatPr baseColWidth="10" defaultColWidth="11.44140625" defaultRowHeight="14.4"/>
  <cols>
    <col min="1" max="1" width="11.33203125" bestFit="1" customWidth="1"/>
    <col min="2" max="2" width="23.33203125" bestFit="1" customWidth="1"/>
    <col min="3" max="3" width="15.88671875" bestFit="1" customWidth="1"/>
    <col min="4" max="4" width="26.6640625" bestFit="1" customWidth="1"/>
    <col min="5" max="6" width="18.33203125" customWidth="1"/>
    <col min="7" max="7" width="11.5546875" bestFit="1" customWidth="1"/>
    <col min="8" max="8" width="26.44140625" bestFit="1" customWidth="1"/>
    <col min="9" max="9" width="11.88671875" bestFit="1" customWidth="1"/>
    <col min="10" max="10" width="12.5546875" bestFit="1" customWidth="1"/>
    <col min="11" max="11" width="30.33203125" bestFit="1" customWidth="1"/>
  </cols>
  <sheetData>
    <row r="1" spans="1:12" ht="53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33</v>
      </c>
      <c r="B2" s="86" t="s">
        <v>30</v>
      </c>
      <c r="C2" s="40" t="s">
        <v>48</v>
      </c>
      <c r="D2" s="81" t="s">
        <v>28</v>
      </c>
      <c r="E2" s="86" t="s">
        <v>49</v>
      </c>
      <c r="F2" s="86" t="s">
        <v>50</v>
      </c>
      <c r="G2" s="77">
        <v>46006</v>
      </c>
      <c r="H2" s="76" t="s">
        <v>51</v>
      </c>
      <c r="I2" s="77">
        <v>46012</v>
      </c>
      <c r="J2" s="78" t="s">
        <v>35</v>
      </c>
      <c r="K2" s="78"/>
      <c r="L2" s="78"/>
    </row>
    <row r="3" spans="1:12">
      <c r="A3" s="16"/>
      <c r="B3" s="74"/>
      <c r="C3" s="75"/>
      <c r="D3" s="74"/>
      <c r="E3" s="79"/>
      <c r="F3" s="79"/>
      <c r="G3" s="77"/>
      <c r="H3" s="76"/>
      <c r="I3" s="77"/>
      <c r="J3" s="78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showGridLines="0" tabSelected="1" zoomScale="85" zoomScaleNormal="85" workbookViewId="0">
      <selection activeCell="J7" sqref="J7"/>
    </sheetView>
  </sheetViews>
  <sheetFormatPr baseColWidth="10" defaultColWidth="11.44140625" defaultRowHeight="12" customHeight="1"/>
  <cols>
    <col min="2" max="2" width="23.6640625" customWidth="1"/>
    <col min="3" max="3" width="13.88671875" bestFit="1" customWidth="1"/>
    <col min="4" max="4" width="5.33203125" customWidth="1"/>
    <col min="5" max="5" width="9.5546875" bestFit="1" customWidth="1"/>
    <col min="6" max="6" width="13" customWidth="1"/>
    <col min="7" max="7" width="15.5546875" customWidth="1"/>
    <col min="8" max="8" width="13" bestFit="1" customWidth="1"/>
    <col min="9" max="9" width="15" bestFit="1" customWidth="1"/>
    <col min="10" max="10" width="11" bestFit="1" customWidth="1"/>
    <col min="11" max="11" width="12.5546875" bestFit="1" customWidth="1"/>
    <col min="12" max="12" width="16.88671875" bestFit="1" customWidth="1"/>
    <col min="13" max="13" width="64.33203125" customWidth="1"/>
    <col min="14" max="14" width="84.88671875" bestFit="1" customWidth="1"/>
    <col min="15" max="15" width="44.88671875" bestFit="1" customWidth="1"/>
    <col min="16" max="16" width="120.10937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81" t="s">
        <v>28</v>
      </c>
      <c r="B2" s="86" t="s">
        <v>32</v>
      </c>
      <c r="C2" s="87" t="s">
        <v>33</v>
      </c>
      <c r="D2" s="86" t="s">
        <v>30</v>
      </c>
      <c r="E2" s="40" t="s">
        <v>31</v>
      </c>
      <c r="F2" s="88">
        <v>45994</v>
      </c>
      <c r="G2" s="88">
        <v>45994</v>
      </c>
      <c r="H2" s="89">
        <v>0.79166666666666663</v>
      </c>
      <c r="I2" s="89">
        <v>0.83333333333333337</v>
      </c>
      <c r="J2" s="83">
        <v>1</v>
      </c>
      <c r="K2" s="84" t="s">
        <v>35</v>
      </c>
      <c r="L2" s="90" t="s">
        <v>34</v>
      </c>
      <c r="M2" s="40" t="s">
        <v>40</v>
      </c>
      <c r="N2" s="91"/>
    </row>
    <row r="3" spans="1:14" ht="12" customHeight="1" thickBot="1">
      <c r="A3" s="81" t="s">
        <v>28</v>
      </c>
      <c r="B3" s="86" t="s">
        <v>32</v>
      </c>
      <c r="C3" s="87" t="s">
        <v>33</v>
      </c>
      <c r="D3" s="86" t="s">
        <v>30</v>
      </c>
      <c r="E3" s="40" t="s">
        <v>31</v>
      </c>
      <c r="F3" s="88">
        <v>45995</v>
      </c>
      <c r="G3" s="88">
        <v>45995</v>
      </c>
      <c r="H3" s="89">
        <v>0.79166666666666663</v>
      </c>
      <c r="I3" s="89">
        <v>0.83333333333333337</v>
      </c>
      <c r="J3" s="83">
        <v>1</v>
      </c>
      <c r="K3" s="84" t="s">
        <v>35</v>
      </c>
      <c r="L3" s="90" t="s">
        <v>41</v>
      </c>
      <c r="M3" s="40" t="s">
        <v>39</v>
      </c>
      <c r="N3" s="92"/>
    </row>
    <row r="4" spans="1:14" ht="12" customHeight="1" thickBot="1">
      <c r="A4" s="81" t="s">
        <v>28</v>
      </c>
      <c r="B4" s="86" t="s">
        <v>32</v>
      </c>
      <c r="C4" s="87" t="s">
        <v>33</v>
      </c>
      <c r="D4" s="86" t="s">
        <v>30</v>
      </c>
      <c r="E4" s="40" t="s">
        <v>31</v>
      </c>
      <c r="F4" s="88">
        <v>45997</v>
      </c>
      <c r="G4" s="88">
        <v>45997</v>
      </c>
      <c r="H4" s="89">
        <v>0.33333333333333331</v>
      </c>
      <c r="I4" s="82" t="s">
        <v>37</v>
      </c>
      <c r="J4" s="83">
        <v>3</v>
      </c>
      <c r="K4" s="84" t="s">
        <v>35</v>
      </c>
      <c r="L4" s="40" t="s">
        <v>36</v>
      </c>
      <c r="M4" s="40" t="s">
        <v>38</v>
      </c>
      <c r="N4" s="92"/>
    </row>
    <row r="5" spans="1:14" ht="12" customHeight="1" thickBot="1">
      <c r="A5" s="81" t="s">
        <v>28</v>
      </c>
      <c r="B5" s="86" t="s">
        <v>32</v>
      </c>
      <c r="C5" s="87" t="s">
        <v>33</v>
      </c>
      <c r="D5" s="86" t="s">
        <v>30</v>
      </c>
      <c r="E5" s="40" t="s">
        <v>31</v>
      </c>
      <c r="F5" s="88">
        <v>46000</v>
      </c>
      <c r="G5" s="88">
        <v>46000</v>
      </c>
      <c r="H5" s="89">
        <v>0</v>
      </c>
      <c r="I5" s="82" t="s">
        <v>43</v>
      </c>
      <c r="J5" s="83">
        <v>2</v>
      </c>
      <c r="K5" s="84" t="s">
        <v>35</v>
      </c>
      <c r="L5" s="40" t="s">
        <v>42</v>
      </c>
      <c r="M5" s="40" t="s">
        <v>44</v>
      </c>
      <c r="N5" s="92"/>
    </row>
    <row r="6" spans="1:14" ht="12" customHeight="1" thickBot="1">
      <c r="A6" s="81" t="s">
        <v>28</v>
      </c>
      <c r="B6" s="86" t="s">
        <v>32</v>
      </c>
      <c r="C6" s="87" t="s">
        <v>33</v>
      </c>
      <c r="D6" s="86" t="s">
        <v>30</v>
      </c>
      <c r="E6" s="40" t="s">
        <v>31</v>
      </c>
      <c r="F6" s="88">
        <v>46001</v>
      </c>
      <c r="G6" s="88">
        <v>46001</v>
      </c>
      <c r="H6" s="89">
        <v>0.83333333333333337</v>
      </c>
      <c r="I6" s="82" t="s">
        <v>46</v>
      </c>
      <c r="J6" s="83">
        <v>1</v>
      </c>
      <c r="K6" s="84" t="s">
        <v>35</v>
      </c>
      <c r="L6" s="40" t="s">
        <v>47</v>
      </c>
      <c r="M6" s="40" t="s">
        <v>45</v>
      </c>
      <c r="N6" s="93"/>
    </row>
    <row r="7" spans="1:14" ht="12" customHeight="1" thickBot="1">
      <c r="A7" s="85"/>
      <c r="B7" s="86"/>
      <c r="C7" s="87"/>
      <c r="D7" s="86"/>
      <c r="E7" s="40"/>
      <c r="F7" s="88"/>
      <c r="G7" s="88"/>
      <c r="H7" s="89"/>
      <c r="I7" s="82"/>
      <c r="J7" s="83"/>
      <c r="K7" s="84"/>
      <c r="L7" s="40"/>
      <c r="M7" s="40"/>
      <c r="N7" s="51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>
      <c r="A9" s="32"/>
      <c r="B9" s="33"/>
      <c r="C9" s="34"/>
      <c r="D9" s="33"/>
      <c r="E9" s="35"/>
      <c r="F9" s="36"/>
      <c r="G9" s="36"/>
      <c r="H9" s="37"/>
      <c r="I9" s="37"/>
      <c r="J9" s="38"/>
      <c r="K9" s="39"/>
      <c r="L9" s="35"/>
      <c r="M9" s="40"/>
      <c r="N9" s="92"/>
    </row>
    <row r="10" spans="1:14" ht="12" customHeight="1" thickBot="1">
      <c r="A10" s="41"/>
      <c r="B10" s="42"/>
      <c r="C10" s="43"/>
      <c r="D10" s="42"/>
      <c r="E10" s="44"/>
      <c r="F10" s="45"/>
      <c r="G10" s="45"/>
      <c r="H10" s="46"/>
      <c r="I10" s="46"/>
      <c r="J10" s="47"/>
      <c r="K10" s="48"/>
      <c r="L10" s="44"/>
      <c r="M10" s="49"/>
      <c r="N10" s="93"/>
    </row>
    <row r="11" spans="1:14" ht="12" customHeight="1" thickBo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1"/>
    </row>
    <row r="12" spans="1:14" ht="12" customHeight="1">
      <c r="A12" s="23"/>
      <c r="B12" s="24"/>
      <c r="C12" s="25"/>
      <c r="D12" s="24"/>
      <c r="E12" s="26"/>
      <c r="F12" s="27"/>
      <c r="G12" s="27"/>
      <c r="H12" s="28"/>
      <c r="I12" s="28"/>
      <c r="J12" s="29"/>
      <c r="K12" s="30"/>
      <c r="L12" s="26"/>
      <c r="M12" s="31"/>
      <c r="N12" s="91"/>
    </row>
    <row r="13" spans="1:14" ht="12" customHeight="1" thickBot="1">
      <c r="A13" s="41"/>
      <c r="B13" s="42"/>
      <c r="C13" s="43"/>
      <c r="D13" s="42"/>
      <c r="E13" s="44"/>
      <c r="F13" s="45"/>
      <c r="G13" s="45"/>
      <c r="H13" s="46"/>
      <c r="I13" s="46"/>
      <c r="J13" s="47"/>
      <c r="K13" s="48"/>
      <c r="L13" s="44"/>
      <c r="M13" s="49"/>
      <c r="N13" s="93"/>
    </row>
    <row r="14" spans="1:14" ht="12" customHeight="1" thickBo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1"/>
    </row>
    <row r="15" spans="1:14" ht="12" customHeight="1">
      <c r="A15" s="23"/>
      <c r="B15" s="24"/>
      <c r="C15" s="25"/>
      <c r="D15" s="24"/>
      <c r="E15" s="26"/>
      <c r="F15" s="27"/>
      <c r="G15" s="27"/>
      <c r="H15" s="28"/>
      <c r="I15" s="28"/>
      <c r="J15" s="29"/>
      <c r="K15" s="30"/>
      <c r="L15" s="26"/>
      <c r="M15" s="31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2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2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2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2"/>
    </row>
    <row r="20" spans="1:14" ht="12" customHeight="1">
      <c r="A20" s="32"/>
      <c r="B20" s="33"/>
      <c r="C20" s="34"/>
      <c r="D20" s="33"/>
      <c r="E20" s="35"/>
      <c r="F20" s="36"/>
      <c r="G20" s="36"/>
      <c r="H20" s="37"/>
      <c r="I20" s="37"/>
      <c r="J20" s="38"/>
      <c r="K20" s="39"/>
      <c r="L20" s="35"/>
      <c r="M20" s="40"/>
      <c r="N20" s="92"/>
    </row>
    <row r="21" spans="1:14" ht="12" customHeight="1" thickBot="1">
      <c r="A21" s="41"/>
      <c r="B21" s="42"/>
      <c r="C21" s="43"/>
      <c r="D21" s="42"/>
      <c r="E21" s="44"/>
      <c r="F21" s="45"/>
      <c r="G21" s="45"/>
      <c r="H21" s="46"/>
      <c r="I21" s="46"/>
      <c r="J21" s="47"/>
      <c r="K21" s="48"/>
      <c r="L21" s="44"/>
      <c r="M21" s="49"/>
      <c r="N21" s="93"/>
    </row>
    <row r="22" spans="1:14" ht="12" customHeight="1" thickBo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</row>
    <row r="23" spans="1:14" ht="12" customHeight="1">
      <c r="A23" s="23"/>
      <c r="B23" s="24"/>
      <c r="C23" s="25"/>
      <c r="D23" s="24"/>
      <c r="E23" s="26"/>
      <c r="F23" s="27"/>
      <c r="G23" s="27"/>
      <c r="H23" s="28"/>
      <c r="I23" s="28"/>
      <c r="J23" s="29"/>
      <c r="K23" s="30"/>
      <c r="L23" s="26"/>
      <c r="M23" s="31"/>
      <c r="N23" s="91"/>
    </row>
    <row r="24" spans="1:14" ht="12" customHeight="1" thickBot="1">
      <c r="A24" s="41"/>
      <c r="B24" s="42"/>
      <c r="C24" s="43"/>
      <c r="D24" s="42"/>
      <c r="E24" s="44"/>
      <c r="F24" s="45"/>
      <c r="G24" s="45"/>
      <c r="H24" s="46"/>
      <c r="I24" s="46"/>
      <c r="J24" s="47"/>
      <c r="K24" s="48"/>
      <c r="L24" s="44"/>
      <c r="M24" s="49"/>
      <c r="N24" s="93"/>
    </row>
    <row r="25" spans="1:14" ht="12" customHeight="1" thickBot="1"/>
    <row r="26" spans="1:14" ht="12" customHeight="1">
      <c r="A26" s="57"/>
      <c r="B26" s="58"/>
      <c r="C26" s="58"/>
      <c r="D26" s="59"/>
      <c r="E26" s="59"/>
      <c r="F26" s="60"/>
      <c r="G26" s="60"/>
      <c r="H26" s="61"/>
      <c r="I26" s="61"/>
      <c r="J26" s="58"/>
      <c r="K26" s="59"/>
      <c r="L26" s="58"/>
      <c r="M26" s="62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5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5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5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5"/>
    </row>
    <row r="31" spans="1:14" ht="12" customHeight="1">
      <c r="A31" s="63"/>
      <c r="B31" s="52"/>
      <c r="C31" s="52"/>
      <c r="D31" s="53"/>
      <c r="E31" s="53"/>
      <c r="F31" s="54"/>
      <c r="G31" s="54"/>
      <c r="H31" s="55"/>
      <c r="I31" s="55"/>
      <c r="J31" s="52"/>
      <c r="K31" s="53"/>
      <c r="L31" s="52"/>
      <c r="M31" s="56"/>
      <c r="N31" s="95"/>
    </row>
    <row r="32" spans="1:14" ht="12" customHeight="1" thickBot="1">
      <c r="A32" s="64"/>
      <c r="B32" s="65"/>
      <c r="C32" s="65"/>
      <c r="D32" s="66"/>
      <c r="E32" s="66"/>
      <c r="F32" s="67"/>
      <c r="G32" s="67"/>
      <c r="H32" s="68"/>
      <c r="I32" s="68"/>
      <c r="J32" s="65"/>
      <c r="K32" s="66"/>
      <c r="L32" s="65"/>
      <c r="M32" s="69"/>
      <c r="N32" s="96"/>
    </row>
    <row r="33" spans="1:14" ht="12" customHeight="1" thickBot="1"/>
    <row r="34" spans="1:14" ht="12" customHeight="1">
      <c r="A34" s="23"/>
      <c r="B34" s="24"/>
      <c r="C34" s="25"/>
      <c r="D34" s="24"/>
      <c r="E34" s="26"/>
      <c r="F34" s="27"/>
      <c r="G34" s="27"/>
      <c r="H34" s="28"/>
      <c r="I34" s="28"/>
      <c r="J34" s="29"/>
      <c r="K34" s="30"/>
      <c r="L34" s="26"/>
      <c r="M34" s="31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2"/>
    </row>
    <row r="36" spans="1:14" ht="12" customHeight="1">
      <c r="A36" s="32"/>
      <c r="B36" s="33"/>
      <c r="C36" s="34"/>
      <c r="D36" s="33"/>
      <c r="E36" s="35"/>
      <c r="F36" s="36"/>
      <c r="G36" s="36"/>
      <c r="H36" s="37"/>
      <c r="I36" s="37"/>
      <c r="J36" s="38"/>
      <c r="K36" s="39"/>
      <c r="L36" s="35"/>
      <c r="M36" s="40"/>
      <c r="N36" s="92"/>
    </row>
    <row r="37" spans="1:14" ht="12" customHeight="1" thickBot="1">
      <c r="A37" s="41"/>
      <c r="B37" s="42"/>
      <c r="C37" s="43"/>
      <c r="D37" s="42"/>
      <c r="E37" s="44"/>
      <c r="F37" s="45"/>
      <c r="G37" s="45"/>
      <c r="H37" s="46"/>
      <c r="I37" s="46"/>
      <c r="J37" s="47"/>
      <c r="K37" s="48"/>
      <c r="L37" s="44"/>
      <c r="M37" s="49"/>
      <c r="N37" s="93"/>
    </row>
  </sheetData>
  <mergeCells count="7">
    <mergeCell ref="N34:N37"/>
    <mergeCell ref="N15:N21"/>
    <mergeCell ref="N23:N24"/>
    <mergeCell ref="N26:N32"/>
    <mergeCell ref="N2:N6"/>
    <mergeCell ref="N8:N10"/>
    <mergeCell ref="N12:N13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B34:B37 B8:B10 B12:B13 B15:B21 B23:B24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A34:A37 A8:A10 A12:A13 A15:A21 A23:A24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A26:B32 K26:K32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showGridLines="0" zoomScale="90" zoomScaleNormal="90" workbookViewId="0">
      <selection activeCell="E11" sqref="E11"/>
    </sheetView>
  </sheetViews>
  <sheetFormatPr baseColWidth="10" defaultColWidth="30.44140625" defaultRowHeight="13.2"/>
  <cols>
    <col min="1" max="1" width="11.88671875" style="8" bestFit="1" customWidth="1"/>
    <col min="2" max="2" width="31.44140625" style="8" bestFit="1" customWidth="1"/>
    <col min="3" max="3" width="18.6640625" style="8" bestFit="1" customWidth="1"/>
    <col min="4" max="4" width="15.88671875" style="8" bestFit="1" customWidth="1"/>
    <col min="5" max="5" width="16.6640625" style="8" bestFit="1" customWidth="1"/>
    <col min="6" max="6" width="16.44140625" style="8" bestFit="1" customWidth="1"/>
    <col min="7" max="7" width="11.44140625" style="8" bestFit="1" customWidth="1"/>
    <col min="8" max="8" width="83.33203125" style="8" customWidth="1"/>
    <col min="9" max="16384" width="30.44140625" style="8"/>
  </cols>
  <sheetData>
    <row r="1" spans="1:8" ht="13.8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4">
      <c r="A2" s="70" t="s">
        <v>52</v>
      </c>
      <c r="B2" s="11" t="s">
        <v>53</v>
      </c>
      <c r="C2" s="9">
        <v>1</v>
      </c>
      <c r="D2" s="10">
        <v>300</v>
      </c>
      <c r="E2" s="9">
        <v>4</v>
      </c>
      <c r="F2" s="10">
        <v>240</v>
      </c>
      <c r="G2" s="71">
        <f>SUM(Tabla1[[#This Row],[ Importe   ]]+Tabla1[[#This Row],[ Importe  ]])</f>
        <v>540</v>
      </c>
      <c r="H2" s="80"/>
    </row>
    <row r="4" spans="1:8">
      <c r="D4" s="72"/>
      <c r="F4" s="72"/>
      <c r="G4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Grillo Mariano</cp:lastModifiedBy>
  <dcterms:created xsi:type="dcterms:W3CDTF">2019-03-28T07:32:31Z</dcterms:created>
  <dcterms:modified xsi:type="dcterms:W3CDTF">2026-01-07T13:32:58Z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